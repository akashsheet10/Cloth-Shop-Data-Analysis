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trlProps/ctrlProp1.xml" ContentType="application/vnd.ms-excel.controlproperties+xml"/>
  <Override PartName="/xl/slicers/slicer2.xml" ContentType="application/vnd.ms-excel.slicer+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slicers/slicer3.xml" ContentType="application/vnd.ms-excel.slicer+xml"/>
  <Override PartName="/xl/charts/chartEx2.xml" ContentType="application/vnd.ms-office.chartex+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C:\Users\Akash Sheet\OneDrive\Desktop\extra\Excel\"/>
    </mc:Choice>
  </mc:AlternateContent>
  <xr:revisionPtr revIDLastSave="0" documentId="13_ncr:1_{C681FB59-6670-4E43-B479-E0559599396E}" xr6:coauthVersionLast="47" xr6:coauthVersionMax="47" xr10:uidLastSave="{00000000-0000-0000-0000-000000000000}"/>
  <bookViews>
    <workbookView xWindow="-108" yWindow="-108" windowWidth="23256" windowHeight="12456" activeTab="2" xr2:uid="{574B151F-F151-4FFC-BBC5-E8149515EFF1}"/>
  </bookViews>
  <sheets>
    <sheet name="Automated raw" sheetId="2" r:id="rId1"/>
    <sheet name="Dead Stock" sheetId="1" r:id="rId2"/>
    <sheet name="Slow Vs Fast Selling" sheetId="3" r:id="rId3"/>
  </sheets>
  <definedNames>
    <definedName name="_xlnm._FilterDatabase" localSheetId="0" hidden="1">'Automated raw'!$A$1:$T$502</definedName>
    <definedName name="_xlchart.v1.0" hidden="1">'Automated raw'!$AW$30:$AW$31</definedName>
    <definedName name="_xlchart.v1.1" hidden="1">'Automated raw'!$AX$29</definedName>
    <definedName name="_xlchart.v1.2" hidden="1">'Automated raw'!$AX$30:$AX$31</definedName>
    <definedName name="_xlchart.v1.3" hidden="1">'Automated raw'!$AW$30:$AW$31</definedName>
    <definedName name="_xlchart.v1.4" hidden="1">'Automated raw'!$AX$29</definedName>
    <definedName name="_xlchart.v1.5" hidden="1">'Automated raw'!$AX$30:$AX$31</definedName>
    <definedName name="Slicer_Category">#N/A</definedName>
    <definedName name="Slicer_Month">#N/A</definedName>
    <definedName name="Slicer_Supplier">#N/A</definedName>
  </definedNames>
  <calcPr calcId="181029"/>
  <pivotCaches>
    <pivotCache cacheId="3" r:id="rId4"/>
    <pivotCache cacheId="2"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506" i="2" l="1"/>
  <c r="M14" i="3" a="1"/>
  <c r="M14" i="3" s="1"/>
  <c r="M15" i="3" a="1"/>
  <c r="M15" i="3" s="1"/>
  <c r="M16" i="3" a="1"/>
  <c r="M16" i="3" s="1"/>
  <c r="M17" i="3" a="1"/>
  <c r="M17" i="3" s="1"/>
  <c r="M18" i="3" a="1"/>
  <c r="M18" i="3" s="1"/>
  <c r="M19" i="3" a="1"/>
  <c r="M19" i="3" s="1"/>
  <c r="M20" i="3" a="1"/>
  <c r="M20" i="3" s="1"/>
  <c r="M13" i="3" a="1"/>
  <c r="M13" i="3" s="1"/>
  <c r="A14" i="3" a="1"/>
  <c r="A14" i="3" s="1"/>
  <c r="A15" i="3" a="1"/>
  <c r="A15" i="3" s="1"/>
  <c r="A16" i="3" a="1"/>
  <c r="A16" i="3" s="1"/>
  <c r="A17" i="3" a="1"/>
  <c r="A17" i="3" s="1"/>
  <c r="A18" i="3" a="1"/>
  <c r="A18" i="3" s="1"/>
  <c r="A19" i="3" a="1"/>
  <c r="A19" i="3" s="1"/>
  <c r="A20" i="3" a="1"/>
  <c r="A20" i="3" s="1"/>
  <c r="A13" i="3" a="1"/>
  <c r="A13" i="3" s="1"/>
  <c r="T3" i="2"/>
  <c r="T79" i="2"/>
  <c r="T5" i="2"/>
  <c r="T6" i="2"/>
  <c r="T7" i="2"/>
  <c r="T8" i="2"/>
  <c r="T9" i="2"/>
  <c r="T173" i="2"/>
  <c r="T483" i="2"/>
  <c r="T497" i="2"/>
  <c r="T142" i="2"/>
  <c r="T14" i="2"/>
  <c r="T15" i="2"/>
  <c r="T490" i="2"/>
  <c r="T17" i="2"/>
  <c r="T323" i="2"/>
  <c r="T120" i="2"/>
  <c r="T20" i="2"/>
  <c r="T21" i="2"/>
  <c r="T22" i="2"/>
  <c r="T23" i="2"/>
  <c r="T383" i="2"/>
  <c r="T298" i="2"/>
  <c r="T457" i="2"/>
  <c r="T27" i="2"/>
  <c r="T28" i="2"/>
  <c r="T312" i="2"/>
  <c r="T34" i="2"/>
  <c r="T31" i="2"/>
  <c r="T431" i="2"/>
  <c r="T33" i="2"/>
  <c r="T375" i="2"/>
  <c r="T35" i="2"/>
  <c r="T36" i="2"/>
  <c r="T58" i="2"/>
  <c r="T38" i="2"/>
  <c r="T247" i="2"/>
  <c r="T52" i="2"/>
  <c r="T41" i="2"/>
  <c r="T42" i="2"/>
  <c r="T43" i="2"/>
  <c r="T361" i="2"/>
  <c r="T45" i="2"/>
  <c r="T46" i="2"/>
  <c r="T47" i="2"/>
  <c r="T48" i="2"/>
  <c r="T307" i="2"/>
  <c r="T50" i="2"/>
  <c r="T51" i="2"/>
  <c r="T75" i="2"/>
  <c r="T400" i="2"/>
  <c r="T413" i="2"/>
  <c r="T55" i="2"/>
  <c r="T295" i="2"/>
  <c r="T206" i="2"/>
  <c r="T452" i="2"/>
  <c r="T59" i="2"/>
  <c r="T60" i="2"/>
  <c r="T61" i="2"/>
  <c r="T239" i="2"/>
  <c r="T63" i="2"/>
  <c r="T49" i="2"/>
  <c r="T65" i="2"/>
  <c r="T66" i="2"/>
  <c r="T67" i="2"/>
  <c r="T209" i="2"/>
  <c r="T158" i="2"/>
  <c r="T279" i="2"/>
  <c r="T374" i="2"/>
  <c r="T446" i="2"/>
  <c r="T73" i="2"/>
  <c r="T313" i="2"/>
  <c r="T472" i="2"/>
  <c r="T176" i="2"/>
  <c r="T493" i="2"/>
  <c r="T78" i="2"/>
  <c r="T191" i="2"/>
  <c r="T77" i="2"/>
  <c r="T81" i="2"/>
  <c r="T82" i="2"/>
  <c r="T83" i="2"/>
  <c r="T84" i="2"/>
  <c r="T85" i="2"/>
  <c r="T86" i="2"/>
  <c r="T70" i="2"/>
  <c r="T121" i="2"/>
  <c r="T89" i="2"/>
  <c r="T90" i="2"/>
  <c r="T221" i="2"/>
  <c r="T407" i="2"/>
  <c r="T93" i="2"/>
  <c r="T170" i="2"/>
  <c r="T95" i="2"/>
  <c r="T96" i="2"/>
  <c r="T71" i="2"/>
  <c r="T152" i="2"/>
  <c r="T99" i="2"/>
  <c r="T100" i="2"/>
  <c r="T101" i="2"/>
  <c r="T102" i="2"/>
  <c r="T103" i="2"/>
  <c r="T104" i="2"/>
  <c r="T260" i="2"/>
  <c r="T106" i="2"/>
  <c r="T107" i="2"/>
  <c r="T416" i="2"/>
  <c r="T109" i="2"/>
  <c r="T405" i="2"/>
  <c r="T256" i="2"/>
  <c r="T112" i="2"/>
  <c r="T113" i="2"/>
  <c r="T240" i="2"/>
  <c r="T115" i="2"/>
  <c r="T163" i="2"/>
  <c r="T200" i="2"/>
  <c r="T118" i="2"/>
  <c r="T123" i="2"/>
  <c r="T164" i="2"/>
  <c r="T417" i="2"/>
  <c r="T481" i="2"/>
  <c r="T352" i="2"/>
  <c r="T124" i="2"/>
  <c r="T125" i="2"/>
  <c r="T463" i="2"/>
  <c r="T139" i="2"/>
  <c r="T128" i="2"/>
  <c r="T129" i="2"/>
  <c r="T130" i="2"/>
  <c r="T131" i="2"/>
  <c r="T250" i="2"/>
  <c r="T133" i="2"/>
  <c r="T134" i="2"/>
  <c r="T12" i="2"/>
  <c r="T136" i="2"/>
  <c r="T137" i="2"/>
  <c r="T303" i="2"/>
  <c r="T266" i="2"/>
  <c r="T343" i="2"/>
  <c r="T141" i="2"/>
  <c r="T76" i="2"/>
  <c r="T425" i="2"/>
  <c r="T144" i="2"/>
  <c r="T145" i="2"/>
  <c r="T146" i="2"/>
  <c r="T147" i="2"/>
  <c r="T263" i="2"/>
  <c r="T424" i="2"/>
  <c r="T329" i="2"/>
  <c r="T234" i="2"/>
  <c r="T459" i="2"/>
  <c r="T153" i="2"/>
  <c r="T92" i="2"/>
  <c r="T466" i="2"/>
  <c r="T156" i="2"/>
  <c r="T157" i="2"/>
  <c r="T480" i="2"/>
  <c r="T322" i="2"/>
  <c r="T18" i="2"/>
  <c r="T161" i="2"/>
  <c r="T429" i="2"/>
  <c r="T88" i="2"/>
  <c r="T87" i="2"/>
  <c r="T165" i="2"/>
  <c r="T414" i="2"/>
  <c r="T167" i="2"/>
  <c r="T168" i="2"/>
  <c r="T345" i="2"/>
  <c r="T494" i="2"/>
  <c r="T171" i="2"/>
  <c r="T172" i="2"/>
  <c r="T214" i="2"/>
  <c r="T174" i="2"/>
  <c r="T175" i="2"/>
  <c r="T335" i="2"/>
  <c r="T97" i="2"/>
  <c r="T178" i="2"/>
  <c r="T179" i="2"/>
  <c r="T180" i="2"/>
  <c r="T181" i="2"/>
  <c r="T182" i="2"/>
  <c r="T381" i="2"/>
  <c r="T184" i="2"/>
  <c r="T54" i="2"/>
  <c r="T186" i="2"/>
  <c r="T177" i="2"/>
  <c r="T188" i="2"/>
  <c r="T30" i="2"/>
  <c r="T190" i="2"/>
  <c r="T56" i="2"/>
  <c r="T486" i="2"/>
  <c r="T257" i="2"/>
  <c r="T194" i="2"/>
  <c r="T195" i="2"/>
  <c r="T196" i="2"/>
  <c r="T197" i="2"/>
  <c r="T223" i="2"/>
  <c r="T199" i="2"/>
  <c r="T98" i="2"/>
  <c r="T212" i="2"/>
  <c r="T273" i="2"/>
  <c r="T218" i="2"/>
  <c r="T204" i="2"/>
  <c r="T205" i="2"/>
  <c r="T288" i="2"/>
  <c r="T207" i="2"/>
  <c r="T397" i="2"/>
  <c r="T451" i="2"/>
  <c r="T210" i="2"/>
  <c r="T211" i="2"/>
  <c r="T91" i="2"/>
  <c r="T127" i="2"/>
  <c r="T183" i="2"/>
  <c r="T215" i="2"/>
  <c r="T216" i="2"/>
  <c r="T148" i="2"/>
  <c r="T111" i="2"/>
  <c r="T219" i="2"/>
  <c r="T185" i="2"/>
  <c r="T455" i="2"/>
  <c r="T225" i="2"/>
  <c r="T201" i="2"/>
  <c r="T377" i="2"/>
  <c r="T331" i="2"/>
  <c r="T149" i="2"/>
  <c r="T227" i="2"/>
  <c r="T228" i="2"/>
  <c r="T285" i="2"/>
  <c r="T230" i="2"/>
  <c r="T231" i="2"/>
  <c r="T232" i="2"/>
  <c r="T233" i="2"/>
  <c r="T217" i="2"/>
  <c r="T235" i="2"/>
  <c r="T304" i="2"/>
  <c r="T237" i="2"/>
  <c r="T238" i="2"/>
  <c r="T236" i="2"/>
  <c r="T226" i="2"/>
  <c r="T471" i="2"/>
  <c r="T242" i="2"/>
  <c r="T243" i="2"/>
  <c r="T244" i="2"/>
  <c r="T433" i="2"/>
  <c r="T135" i="2"/>
  <c r="T362" i="2"/>
  <c r="T248" i="2"/>
  <c r="T249" i="2"/>
  <c r="T154" i="2"/>
  <c r="T251" i="2"/>
  <c r="T252" i="2"/>
  <c r="T253" i="2"/>
  <c r="T398" i="2"/>
  <c r="T138" i="2"/>
  <c r="T208" i="2"/>
  <c r="T255" i="2"/>
  <c r="T258" i="2"/>
  <c r="T269" i="2"/>
  <c r="T105" i="2"/>
  <c r="T261" i="2"/>
  <c r="T151" i="2"/>
  <c r="T438" i="2"/>
  <c r="T264" i="2"/>
  <c r="T265" i="2"/>
  <c r="T415" i="2"/>
  <c r="T267" i="2"/>
  <c r="T53" i="2"/>
  <c r="T202" i="2"/>
  <c r="T110" i="2"/>
  <c r="T271" i="2"/>
  <c r="T272" i="2"/>
  <c r="T420" i="2"/>
  <c r="T499" i="2"/>
  <c r="T275" i="2"/>
  <c r="T276" i="2"/>
  <c r="T277" i="2"/>
  <c r="T498" i="2"/>
  <c r="T406" i="2"/>
  <c r="T280" i="2"/>
  <c r="T281" i="2"/>
  <c r="T321" i="2"/>
  <c r="T283" i="2"/>
  <c r="T409" i="2"/>
  <c r="T464" i="2"/>
  <c r="T286" i="2"/>
  <c r="T287" i="2"/>
  <c r="T220" i="2"/>
  <c r="T428" i="2"/>
  <c r="T44" i="2"/>
  <c r="T291" i="2"/>
  <c r="T292" i="2"/>
  <c r="T293" i="2"/>
  <c r="T294" i="2"/>
  <c r="T40" i="2"/>
  <c r="T296" i="2"/>
  <c r="T297" i="2"/>
  <c r="T143" i="2"/>
  <c r="T289" i="2"/>
  <c r="T300" i="2"/>
  <c r="T116" i="2"/>
  <c r="T444" i="2"/>
  <c r="T29" i="2"/>
  <c r="T299" i="2"/>
  <c r="T305" i="2"/>
  <c r="T26" i="2"/>
  <c r="T282" i="2"/>
  <c r="T308" i="2"/>
  <c r="T117" i="2"/>
  <c r="T310" i="2"/>
  <c r="T311" i="2"/>
  <c r="T306" i="2"/>
  <c r="T32" i="2"/>
  <c r="T314" i="2"/>
  <c r="T315" i="2"/>
  <c r="T316" i="2"/>
  <c r="T284" i="2"/>
  <c r="T318" i="2"/>
  <c r="T319" i="2"/>
  <c r="T320" i="2"/>
  <c r="T39" i="2"/>
  <c r="T419" i="2"/>
  <c r="T119" i="2"/>
  <c r="T324" i="2"/>
  <c r="T325" i="2"/>
  <c r="T326" i="2"/>
  <c r="T327" i="2"/>
  <c r="T328" i="2"/>
  <c r="T268" i="2"/>
  <c r="T330" i="2"/>
  <c r="T4" i="2"/>
  <c r="T332" i="2"/>
  <c r="T333" i="2"/>
  <c r="T430" i="2"/>
  <c r="T259" i="2"/>
  <c r="T336" i="2"/>
  <c r="T68" i="2"/>
  <c r="T338" i="2"/>
  <c r="T339" i="2"/>
  <c r="T80" i="2"/>
  <c r="T94" i="2"/>
  <c r="T342" i="2"/>
  <c r="T10" i="2"/>
  <c r="T344" i="2"/>
  <c r="T114" i="2"/>
  <c r="T385" i="2"/>
  <c r="T347" i="2"/>
  <c r="T348" i="2"/>
  <c r="T25" i="2"/>
  <c r="T350" i="2"/>
  <c r="T351" i="2"/>
  <c r="T495" i="2"/>
  <c r="T353" i="2"/>
  <c r="T354" i="2"/>
  <c r="T355" i="2"/>
  <c r="T356" i="2"/>
  <c r="T357" i="2"/>
  <c r="T57" i="2"/>
  <c r="T359" i="2"/>
  <c r="T132" i="2"/>
  <c r="T317" i="2"/>
  <c r="T213" i="2"/>
  <c r="T74" i="2"/>
  <c r="T364" i="2"/>
  <c r="T246" i="2"/>
  <c r="T193" i="2"/>
  <c r="T367" i="2"/>
  <c r="T368" i="2"/>
  <c r="T369" i="2"/>
  <c r="T370" i="2"/>
  <c r="T189" i="2"/>
  <c r="T372" i="2"/>
  <c r="T373" i="2"/>
  <c r="T309" i="2"/>
  <c r="T160" i="2"/>
  <c r="T376" i="2"/>
  <c r="T366" i="2"/>
  <c r="T378" i="2"/>
  <c r="T19" i="2"/>
  <c r="T380" i="2"/>
  <c r="T140" i="2"/>
  <c r="T382" i="2"/>
  <c r="T16" i="2"/>
  <c r="T108" i="2"/>
  <c r="T412" i="2"/>
  <c r="T386" i="2"/>
  <c r="T423" i="2"/>
  <c r="T388" i="2"/>
  <c r="T389" i="2"/>
  <c r="T390" i="2"/>
  <c r="T391" i="2"/>
  <c r="T392" i="2"/>
  <c r="T393" i="2"/>
  <c r="T394" i="2"/>
  <c r="T395" i="2"/>
  <c r="T396" i="2"/>
  <c r="T203" i="2"/>
  <c r="T334" i="2"/>
  <c r="T399" i="2"/>
  <c r="T384" i="2"/>
  <c r="T401" i="2"/>
  <c r="T402" i="2"/>
  <c r="T403" i="2"/>
  <c r="T404" i="2"/>
  <c r="T302" i="2"/>
  <c r="T371" i="2"/>
  <c r="T198" i="2"/>
  <c r="T408" i="2"/>
  <c r="T69" i="2"/>
  <c r="T410" i="2"/>
  <c r="T411" i="2"/>
  <c r="T262" i="2"/>
  <c r="T24" i="2"/>
  <c r="T166" i="2"/>
  <c r="T341" i="2"/>
  <c r="T449" i="2"/>
  <c r="T349" i="2"/>
  <c r="T418" i="2"/>
  <c r="T468" i="2"/>
  <c r="T224" i="2"/>
  <c r="T421" i="2"/>
  <c r="T422" i="2"/>
  <c r="T13" i="2"/>
  <c r="T229" i="2"/>
  <c r="T441" i="2"/>
  <c r="T426" i="2"/>
  <c r="T427" i="2"/>
  <c r="T360" i="2"/>
  <c r="T72" i="2"/>
  <c r="T484" i="2"/>
  <c r="T460" i="2"/>
  <c r="T358" i="2"/>
  <c r="T270" i="2"/>
  <c r="T434" i="2"/>
  <c r="T435" i="2"/>
  <c r="T436" i="2"/>
  <c r="T437" i="2"/>
  <c r="T254" i="2"/>
  <c r="T439" i="2"/>
  <c r="T440" i="2"/>
  <c r="T64" i="2"/>
  <c r="T442" i="2"/>
  <c r="T443" i="2"/>
  <c r="T482" i="2"/>
  <c r="T445" i="2"/>
  <c r="T37" i="2"/>
  <c r="T447" i="2"/>
  <c r="T448" i="2"/>
  <c r="T122" i="2"/>
  <c r="T450" i="2"/>
  <c r="T187" i="2"/>
  <c r="T245" i="2"/>
  <c r="T453" i="2"/>
  <c r="T62" i="2"/>
  <c r="T126" i="2"/>
  <c r="T456" i="2"/>
  <c r="T274" i="2"/>
  <c r="T458" i="2"/>
  <c r="T150" i="2"/>
  <c r="T301" i="2"/>
  <c r="T461" i="2"/>
  <c r="T462" i="2"/>
  <c r="T492" i="2"/>
  <c r="T11" i="2"/>
  <c r="T465" i="2"/>
  <c r="T222" i="2"/>
  <c r="T467" i="2"/>
  <c r="T340" i="2"/>
  <c r="T469" i="2"/>
  <c r="T470" i="2"/>
  <c r="T278" i="2"/>
  <c r="T162" i="2"/>
  <c r="T473" i="2"/>
  <c r="T474" i="2"/>
  <c r="T475" i="2"/>
  <c r="T476" i="2"/>
  <c r="T477" i="2"/>
  <c r="T478" i="2"/>
  <c r="T479" i="2"/>
  <c r="T241" i="2"/>
  <c r="T337" i="2"/>
  <c r="T192" i="2"/>
  <c r="T155" i="2"/>
  <c r="T169" i="2"/>
  <c r="T485" i="2"/>
  <c r="T379" i="2"/>
  <c r="T487" i="2"/>
  <c r="T365" i="2"/>
  <c r="T489" i="2"/>
  <c r="T454" i="2"/>
  <c r="T491" i="2"/>
  <c r="T159" i="2"/>
  <c r="T363" i="2"/>
  <c r="T290" i="2"/>
  <c r="T346" i="2"/>
  <c r="T496" i="2"/>
  <c r="T387" i="2"/>
  <c r="T488" i="2"/>
  <c r="T432" i="2"/>
  <c r="T500" i="2"/>
  <c r="T501" i="2"/>
  <c r="T2" i="2"/>
  <c r="H23" i="1" a="1"/>
  <c r="H23" i="1" s="1"/>
  <c r="I23" i="1" a="1"/>
  <c r="I23" i="1" s="1"/>
  <c r="J23" i="1" a="1"/>
  <c r="J23" i="1" s="1"/>
  <c r="H24" i="1" a="1"/>
  <c r="H24" i="1" s="1"/>
  <c r="I24" i="1" a="1"/>
  <c r="I24" i="1" s="1"/>
  <c r="J24" i="1" a="1"/>
  <c r="J24" i="1" s="1"/>
  <c r="H25" i="1" a="1"/>
  <c r="H25" i="1" s="1"/>
  <c r="I25" i="1" a="1"/>
  <c r="I25" i="1" s="1"/>
  <c r="J25" i="1" a="1"/>
  <c r="J25" i="1" s="1"/>
  <c r="H26" i="1" a="1"/>
  <c r="H26" i="1" s="1"/>
  <c r="I26" i="1" a="1"/>
  <c r="I26" i="1" s="1"/>
  <c r="J26" i="1" a="1"/>
  <c r="J26" i="1" s="1"/>
  <c r="H27" i="1" a="1"/>
  <c r="H27" i="1" s="1"/>
  <c r="I27" i="1" a="1"/>
  <c r="I27" i="1" s="1"/>
  <c r="J27" i="1" a="1"/>
  <c r="J27" i="1" s="1"/>
  <c r="H28" i="1" a="1"/>
  <c r="H28" i="1" s="1"/>
  <c r="I28" i="1" a="1"/>
  <c r="I28" i="1" s="1"/>
  <c r="J28" i="1" a="1"/>
  <c r="J28" i="1" s="1"/>
  <c r="H29" i="1" a="1"/>
  <c r="H29" i="1" s="1"/>
  <c r="I29" i="1" a="1"/>
  <c r="I29" i="1" s="1"/>
  <c r="J29" i="1" a="1"/>
  <c r="J29" i="1" s="1"/>
  <c r="H30" i="1" a="1"/>
  <c r="H30" i="1" s="1"/>
  <c r="I30" i="1" a="1"/>
  <c r="I30" i="1" s="1"/>
  <c r="J30" i="1" a="1"/>
  <c r="J30" i="1" s="1"/>
  <c r="H31" i="1" a="1"/>
  <c r="H31" i="1" s="1"/>
  <c r="I31" i="1" a="1"/>
  <c r="I31" i="1" s="1"/>
  <c r="J31" i="1" a="1"/>
  <c r="J31" i="1" s="1"/>
  <c r="H32" i="1" a="1"/>
  <c r="H32" i="1" s="1"/>
  <c r="I32" i="1" a="1"/>
  <c r="I32" i="1" s="1"/>
  <c r="J32" i="1" a="1"/>
  <c r="J32" i="1" s="1"/>
  <c r="H33" i="1" a="1"/>
  <c r="H33" i="1" s="1"/>
  <c r="I33" i="1" a="1"/>
  <c r="I33" i="1" s="1"/>
  <c r="J33" i="1" a="1"/>
  <c r="J33" i="1" s="1"/>
  <c r="H34" i="1" a="1"/>
  <c r="H34" i="1" s="1"/>
  <c r="I34" i="1" a="1"/>
  <c r="I34" i="1" s="1"/>
  <c r="J34" i="1" a="1"/>
  <c r="J34" i="1" s="1"/>
  <c r="H35" i="1" a="1"/>
  <c r="H35" i="1" s="1"/>
  <c r="I35" i="1" a="1"/>
  <c r="I35" i="1" s="1"/>
  <c r="J35" i="1" a="1"/>
  <c r="J35" i="1" s="1"/>
  <c r="D23" i="1" a="1"/>
  <c r="D23" i="1" s="1"/>
  <c r="D24" i="1" a="1"/>
  <c r="D24" i="1" s="1"/>
  <c r="D25" i="1" a="1"/>
  <c r="D25" i="1" s="1"/>
  <c r="D26" i="1" a="1"/>
  <c r="D26" i="1" s="1"/>
  <c r="D27" i="1" a="1"/>
  <c r="D27" i="1" s="1"/>
  <c r="D28" i="1" a="1"/>
  <c r="D28" i="1" s="1"/>
  <c r="D29" i="1" a="1"/>
  <c r="D29" i="1" s="1"/>
  <c r="D30" i="1" a="1"/>
  <c r="D30" i="1" s="1"/>
  <c r="D31" i="1" a="1"/>
  <c r="D31" i="1" s="1"/>
  <c r="D32" i="1" a="1"/>
  <c r="D32" i="1" s="1"/>
  <c r="D33" i="1" a="1"/>
  <c r="D33" i="1" s="1"/>
  <c r="D34" i="1" a="1"/>
  <c r="D34" i="1" s="1"/>
  <c r="D35" i="1" a="1"/>
  <c r="D35" i="1" s="1"/>
  <c r="I22" i="1" a="1"/>
  <c r="I22" i="1" s="1"/>
  <c r="J22" i="1" a="1"/>
  <c r="J22" i="1" s="1"/>
  <c r="H22" i="1" a="1"/>
  <c r="H22" i="1" s="1"/>
  <c r="S501" i="2"/>
  <c r="S500" i="2"/>
  <c r="S432" i="2"/>
  <c r="S488" i="2"/>
  <c r="S387" i="2"/>
  <c r="S496" i="2"/>
  <c r="S346" i="2"/>
  <c r="S290" i="2"/>
  <c r="S363" i="2"/>
  <c r="S159" i="2"/>
  <c r="S491" i="2"/>
  <c r="S454" i="2"/>
  <c r="S489" i="2"/>
  <c r="S365" i="2"/>
  <c r="S487" i="2"/>
  <c r="S379" i="2"/>
  <c r="S485" i="2"/>
  <c r="S169" i="2"/>
  <c r="S155" i="2"/>
  <c r="S192" i="2"/>
  <c r="S337" i="2"/>
  <c r="S241" i="2"/>
  <c r="S479" i="2"/>
  <c r="S478" i="2"/>
  <c r="S477" i="2"/>
  <c r="S476" i="2"/>
  <c r="S475" i="2"/>
  <c r="S474" i="2"/>
  <c r="S473" i="2"/>
  <c r="S162" i="2"/>
  <c r="S278" i="2"/>
  <c r="S470" i="2"/>
  <c r="S469" i="2"/>
  <c r="S340" i="2"/>
  <c r="S467" i="2"/>
  <c r="S222" i="2"/>
  <c r="S465" i="2"/>
  <c r="S11" i="2"/>
  <c r="S492" i="2"/>
  <c r="S462" i="2"/>
  <c r="S461" i="2"/>
  <c r="S301" i="2"/>
  <c r="S150" i="2"/>
  <c r="S458" i="2"/>
  <c r="S274" i="2"/>
  <c r="S456" i="2"/>
  <c r="S126" i="2"/>
  <c r="S62" i="2"/>
  <c r="S453" i="2"/>
  <c r="S245" i="2"/>
  <c r="S187" i="2"/>
  <c r="S450" i="2"/>
  <c r="S122" i="2"/>
  <c r="S448" i="2"/>
  <c r="S447" i="2"/>
  <c r="S37" i="2"/>
  <c r="S445" i="2"/>
  <c r="S482" i="2"/>
  <c r="S443" i="2"/>
  <c r="S442" i="2"/>
  <c r="S64" i="2"/>
  <c r="S440" i="2"/>
  <c r="S439" i="2"/>
  <c r="S254" i="2"/>
  <c r="S437" i="2"/>
  <c r="S436" i="2"/>
  <c r="S435" i="2"/>
  <c r="S434" i="2"/>
  <c r="S270" i="2"/>
  <c r="S358" i="2"/>
  <c r="S460" i="2"/>
  <c r="S484" i="2"/>
  <c r="S72" i="2"/>
  <c r="S360" i="2"/>
  <c r="S427" i="2"/>
  <c r="S426" i="2"/>
  <c r="S441" i="2"/>
  <c r="S229" i="2"/>
  <c r="S13" i="2"/>
  <c r="S422" i="2"/>
  <c r="S421" i="2"/>
  <c r="S224" i="2"/>
  <c r="S468" i="2"/>
  <c r="S418" i="2"/>
  <c r="S349" i="2"/>
  <c r="S449" i="2"/>
  <c r="S341" i="2"/>
  <c r="S166" i="2"/>
  <c r="S24" i="2"/>
  <c r="S262" i="2"/>
  <c r="S411" i="2"/>
  <c r="S410" i="2"/>
  <c r="S69" i="2"/>
  <c r="S408" i="2"/>
  <c r="S198" i="2"/>
  <c r="S371" i="2"/>
  <c r="S302" i="2"/>
  <c r="S404" i="2"/>
  <c r="S403" i="2"/>
  <c r="S402" i="2"/>
  <c r="S401" i="2"/>
  <c r="S384" i="2"/>
  <c r="S399" i="2"/>
  <c r="S334" i="2"/>
  <c r="S203" i="2"/>
  <c r="S396" i="2"/>
  <c r="S395" i="2"/>
  <c r="S394" i="2"/>
  <c r="S393" i="2"/>
  <c r="S392" i="2"/>
  <c r="S391" i="2"/>
  <c r="S390" i="2"/>
  <c r="S389" i="2"/>
  <c r="S388" i="2"/>
  <c r="S423" i="2"/>
  <c r="S386" i="2"/>
  <c r="S412" i="2"/>
  <c r="S108" i="2"/>
  <c r="S16" i="2"/>
  <c r="S382" i="2"/>
  <c r="S140" i="2"/>
  <c r="S380" i="2"/>
  <c r="S19" i="2"/>
  <c r="S378" i="2"/>
  <c r="S366" i="2"/>
  <c r="S376" i="2"/>
  <c r="S160" i="2"/>
  <c r="S309" i="2"/>
  <c r="S373" i="2"/>
  <c r="S372" i="2"/>
  <c r="S189" i="2"/>
  <c r="S370" i="2"/>
  <c r="S369" i="2"/>
  <c r="S368" i="2"/>
  <c r="S367" i="2"/>
  <c r="S193" i="2"/>
  <c r="S246" i="2"/>
  <c r="S364" i="2"/>
  <c r="S74" i="2"/>
  <c r="S213" i="2"/>
  <c r="S317" i="2"/>
  <c r="S132" i="2"/>
  <c r="S359" i="2"/>
  <c r="S57" i="2"/>
  <c r="S357" i="2"/>
  <c r="S356" i="2"/>
  <c r="S355" i="2"/>
  <c r="S354" i="2"/>
  <c r="S353" i="2"/>
  <c r="S495" i="2"/>
  <c r="S351" i="2"/>
  <c r="S350" i="2"/>
  <c r="S25" i="2"/>
  <c r="S348" i="2"/>
  <c r="S347" i="2"/>
  <c r="S385" i="2"/>
  <c r="S114" i="2"/>
  <c r="S344" i="2"/>
  <c r="S10" i="2"/>
  <c r="S342" i="2"/>
  <c r="S94" i="2"/>
  <c r="S80" i="2"/>
  <c r="S339" i="2"/>
  <c r="S338" i="2"/>
  <c r="S68" i="2"/>
  <c r="S336" i="2"/>
  <c r="S259" i="2"/>
  <c r="S430" i="2"/>
  <c r="S333" i="2"/>
  <c r="S332" i="2"/>
  <c r="S4" i="2"/>
  <c r="S330" i="2"/>
  <c r="S268" i="2"/>
  <c r="S328" i="2"/>
  <c r="S327" i="2"/>
  <c r="S326" i="2"/>
  <c r="S325" i="2"/>
  <c r="S324" i="2"/>
  <c r="S119" i="2"/>
  <c r="S419" i="2"/>
  <c r="S39" i="2"/>
  <c r="S320" i="2"/>
  <c r="S319" i="2"/>
  <c r="S318" i="2"/>
  <c r="S284" i="2"/>
  <c r="S316" i="2"/>
  <c r="S315" i="2"/>
  <c r="S314" i="2"/>
  <c r="S32" i="2"/>
  <c r="S306" i="2"/>
  <c r="S311" i="2"/>
  <c r="S310" i="2"/>
  <c r="S117" i="2"/>
  <c r="S308" i="2"/>
  <c r="S282" i="2"/>
  <c r="S26" i="2"/>
  <c r="S305" i="2"/>
  <c r="S299" i="2"/>
  <c r="S29" i="2"/>
  <c r="S444" i="2"/>
  <c r="S116" i="2"/>
  <c r="S300" i="2"/>
  <c r="S289" i="2"/>
  <c r="S143" i="2"/>
  <c r="S297" i="2"/>
  <c r="S296" i="2"/>
  <c r="S40" i="2"/>
  <c r="S294" i="2"/>
  <c r="S293" i="2"/>
  <c r="S292" i="2"/>
  <c r="S291" i="2"/>
  <c r="S44" i="2"/>
  <c r="S428" i="2"/>
  <c r="S220" i="2"/>
  <c r="S287" i="2"/>
  <c r="S286" i="2"/>
  <c r="S464" i="2"/>
  <c r="S409" i="2"/>
  <c r="S283" i="2"/>
  <c r="S321" i="2"/>
  <c r="S281" i="2"/>
  <c r="S280" i="2"/>
  <c r="S406" i="2"/>
  <c r="S498" i="2"/>
  <c r="S277" i="2"/>
  <c r="S276" i="2"/>
  <c r="S275" i="2"/>
  <c r="S499" i="2"/>
  <c r="S420" i="2"/>
  <c r="S272" i="2"/>
  <c r="S271" i="2"/>
  <c r="S110" i="2"/>
  <c r="S202" i="2"/>
  <c r="S53" i="2"/>
  <c r="S267" i="2"/>
  <c r="S415" i="2"/>
  <c r="S265" i="2"/>
  <c r="S264" i="2"/>
  <c r="S438" i="2"/>
  <c r="S151" i="2"/>
  <c r="S261" i="2"/>
  <c r="S105" i="2"/>
  <c r="S269" i="2"/>
  <c r="S258" i="2"/>
  <c r="S255" i="2"/>
  <c r="S208" i="2"/>
  <c r="S138" i="2"/>
  <c r="S398" i="2"/>
  <c r="S253" i="2"/>
  <c r="S252" i="2"/>
  <c r="S251" i="2"/>
  <c r="S154" i="2"/>
  <c r="S249" i="2"/>
  <c r="S248" i="2"/>
  <c r="S362" i="2"/>
  <c r="S135" i="2"/>
  <c r="S433" i="2"/>
  <c r="S244" i="2"/>
  <c r="S243" i="2"/>
  <c r="S242" i="2"/>
  <c r="S471" i="2"/>
  <c r="S226" i="2"/>
  <c r="S236" i="2"/>
  <c r="S238" i="2"/>
  <c r="S237" i="2"/>
  <c r="S304" i="2"/>
  <c r="S235" i="2"/>
  <c r="S217" i="2"/>
  <c r="S233" i="2"/>
  <c r="S232" i="2"/>
  <c r="S231" i="2"/>
  <c r="S230" i="2"/>
  <c r="S285" i="2"/>
  <c r="S228" i="2"/>
  <c r="S227" i="2"/>
  <c r="S149" i="2"/>
  <c r="S331" i="2"/>
  <c r="S377" i="2"/>
  <c r="S201" i="2"/>
  <c r="S225" i="2"/>
  <c r="S455" i="2"/>
  <c r="S185" i="2"/>
  <c r="S219" i="2"/>
  <c r="S111" i="2"/>
  <c r="S148" i="2"/>
  <c r="S216" i="2"/>
  <c r="S215" i="2"/>
  <c r="S183" i="2"/>
  <c r="S127" i="2"/>
  <c r="S91" i="2"/>
  <c r="S211" i="2"/>
  <c r="S210" i="2"/>
  <c r="S451" i="2"/>
  <c r="S397" i="2"/>
  <c r="S207" i="2"/>
  <c r="S288" i="2"/>
  <c r="S205" i="2"/>
  <c r="S204" i="2"/>
  <c r="S218" i="2"/>
  <c r="S273" i="2"/>
  <c r="S212" i="2"/>
  <c r="S98" i="2"/>
  <c r="S199" i="2"/>
  <c r="S223" i="2"/>
  <c r="S197" i="2"/>
  <c r="S196" i="2"/>
  <c r="S195" i="2"/>
  <c r="S194" i="2"/>
  <c r="S257" i="2"/>
  <c r="S486" i="2"/>
  <c r="S56" i="2"/>
  <c r="S190" i="2"/>
  <c r="S30" i="2"/>
  <c r="S188" i="2"/>
  <c r="S177" i="2"/>
  <c r="S186" i="2"/>
  <c r="S54" i="2"/>
  <c r="S184" i="2"/>
  <c r="S381" i="2"/>
  <c r="S182" i="2"/>
  <c r="S181" i="2"/>
  <c r="S180" i="2"/>
  <c r="S179" i="2"/>
  <c r="S178" i="2"/>
  <c r="S97" i="2"/>
  <c r="S335" i="2"/>
  <c r="S175" i="2"/>
  <c r="S174" i="2"/>
  <c r="S214" i="2"/>
  <c r="S172" i="2"/>
  <c r="S171" i="2"/>
  <c r="S494" i="2"/>
  <c r="S345" i="2"/>
  <c r="S168" i="2"/>
  <c r="S167" i="2"/>
  <c r="S414" i="2"/>
  <c r="S165" i="2"/>
  <c r="S87" i="2"/>
  <c r="S88" i="2"/>
  <c r="S429" i="2"/>
  <c r="S161" i="2"/>
  <c r="S18" i="2"/>
  <c r="S322" i="2"/>
  <c r="S480" i="2"/>
  <c r="S157" i="2"/>
  <c r="S156" i="2"/>
  <c r="S466" i="2"/>
  <c r="S92" i="2"/>
  <c r="S153" i="2"/>
  <c r="S459" i="2"/>
  <c r="S234" i="2"/>
  <c r="S329" i="2"/>
  <c r="S424" i="2"/>
  <c r="S263" i="2"/>
  <c r="S147" i="2"/>
  <c r="S146" i="2"/>
  <c r="S145" i="2"/>
  <c r="S144" i="2"/>
  <c r="S425" i="2"/>
  <c r="S76" i="2"/>
  <c r="S141" i="2"/>
  <c r="S343" i="2"/>
  <c r="S266" i="2"/>
  <c r="S303" i="2"/>
  <c r="S137" i="2"/>
  <c r="S136" i="2"/>
  <c r="S12" i="2"/>
  <c r="S134" i="2"/>
  <c r="S133" i="2"/>
  <c r="S250" i="2"/>
  <c r="S131" i="2"/>
  <c r="S130" i="2"/>
  <c r="S129" i="2"/>
  <c r="S128" i="2"/>
  <c r="S139" i="2"/>
  <c r="S463" i="2"/>
  <c r="S125" i="2"/>
  <c r="S124" i="2"/>
  <c r="S352" i="2"/>
  <c r="S481" i="2"/>
  <c r="S417" i="2"/>
  <c r="S164" i="2"/>
  <c r="S123" i="2"/>
  <c r="S118" i="2"/>
  <c r="S200" i="2"/>
  <c r="S163" i="2"/>
  <c r="S115" i="2"/>
  <c r="S240" i="2"/>
  <c r="S113" i="2"/>
  <c r="S112" i="2"/>
  <c r="S256" i="2"/>
  <c r="S405" i="2"/>
  <c r="S109" i="2"/>
  <c r="S416" i="2"/>
  <c r="S107" i="2"/>
  <c r="S106" i="2"/>
  <c r="S260" i="2"/>
  <c r="S104" i="2"/>
  <c r="S103" i="2"/>
  <c r="S102" i="2"/>
  <c r="S101" i="2"/>
  <c r="S100" i="2"/>
  <c r="S99" i="2"/>
  <c r="S152" i="2"/>
  <c r="S71" i="2"/>
  <c r="S96" i="2"/>
  <c r="S95" i="2"/>
  <c r="S170" i="2"/>
  <c r="S93" i="2"/>
  <c r="S407" i="2"/>
  <c r="S221" i="2"/>
  <c r="S90" i="2"/>
  <c r="S89" i="2"/>
  <c r="S121" i="2"/>
  <c r="S70" i="2"/>
  <c r="S86" i="2"/>
  <c r="S85" i="2"/>
  <c r="S84" i="2"/>
  <c r="S83" i="2"/>
  <c r="S82" i="2"/>
  <c r="S81" i="2"/>
  <c r="S77" i="2"/>
  <c r="S191" i="2"/>
  <c r="S78" i="2"/>
  <c r="S493" i="2"/>
  <c r="S176" i="2"/>
  <c r="S472" i="2"/>
  <c r="S313" i="2"/>
  <c r="S73" i="2"/>
  <c r="S446" i="2"/>
  <c r="S374" i="2"/>
  <c r="S279" i="2"/>
  <c r="S158" i="2"/>
  <c r="S209" i="2"/>
  <c r="S67" i="2"/>
  <c r="S66" i="2"/>
  <c r="S65" i="2"/>
  <c r="S49" i="2"/>
  <c r="S63" i="2"/>
  <c r="S239" i="2"/>
  <c r="S61" i="2"/>
  <c r="S60" i="2"/>
  <c r="S59" i="2"/>
  <c r="S452" i="2"/>
  <c r="S206" i="2"/>
  <c r="S295" i="2"/>
  <c r="S55" i="2"/>
  <c r="S413" i="2"/>
  <c r="S400" i="2"/>
  <c r="S75" i="2"/>
  <c r="S51" i="2"/>
  <c r="S50" i="2"/>
  <c r="S307" i="2"/>
  <c r="S48" i="2"/>
  <c r="S47" i="2"/>
  <c r="S46" i="2"/>
  <c r="S45" i="2"/>
  <c r="S361" i="2"/>
  <c r="S43" i="2"/>
  <c r="S42" i="2"/>
  <c r="S41" i="2"/>
  <c r="S52" i="2"/>
  <c r="S247" i="2"/>
  <c r="S38" i="2"/>
  <c r="S58" i="2"/>
  <c r="S36" i="2"/>
  <c r="S35" i="2"/>
  <c r="S375" i="2"/>
  <c r="S33" i="2"/>
  <c r="S431" i="2"/>
  <c r="S31" i="2"/>
  <c r="S34" i="2"/>
  <c r="S312" i="2"/>
  <c r="S28" i="2"/>
  <c r="S27" i="2"/>
  <c r="S457" i="2"/>
  <c r="S298" i="2"/>
  <c r="S383" i="2"/>
  <c r="S23" i="2"/>
  <c r="S22" i="2"/>
  <c r="S21" i="2"/>
  <c r="S20" i="2"/>
  <c r="S120" i="2"/>
  <c r="S323" i="2"/>
  <c r="S17" i="2"/>
  <c r="S490" i="2"/>
  <c r="S15" i="2"/>
  <c r="S14" i="2"/>
  <c r="S142" i="2"/>
  <c r="S497" i="2"/>
  <c r="S483" i="2"/>
  <c r="S173" i="2"/>
  <c r="S9" i="2"/>
  <c r="S8" i="2"/>
  <c r="S7" i="2"/>
  <c r="S6" i="2"/>
  <c r="S5" i="2"/>
  <c r="S79" i="2"/>
  <c r="S3" i="2"/>
  <c r="S2" i="2"/>
  <c r="P2" i="2"/>
  <c r="P3" i="2"/>
  <c r="Q3" i="2" s="1"/>
  <c r="P79" i="2"/>
  <c r="P5" i="2"/>
  <c r="P6" i="2"/>
  <c r="P7" i="2"/>
  <c r="P8" i="2"/>
  <c r="P9" i="2"/>
  <c r="P173" i="2"/>
  <c r="P483" i="2"/>
  <c r="P497" i="2"/>
  <c r="P142" i="2"/>
  <c r="P14" i="2"/>
  <c r="P15" i="2"/>
  <c r="P490" i="2"/>
  <c r="P17" i="2"/>
  <c r="P323" i="2"/>
  <c r="P120" i="2"/>
  <c r="P20" i="2"/>
  <c r="P21" i="2"/>
  <c r="P22" i="2"/>
  <c r="P23" i="2"/>
  <c r="P383" i="2"/>
  <c r="P298" i="2"/>
  <c r="P457" i="2"/>
  <c r="P27" i="2"/>
  <c r="P28" i="2"/>
  <c r="P312" i="2"/>
  <c r="P34" i="2"/>
  <c r="P31" i="2"/>
  <c r="Q31" i="2" s="1"/>
  <c r="P431" i="2"/>
  <c r="P33" i="2"/>
  <c r="P375" i="2"/>
  <c r="P35" i="2"/>
  <c r="P36" i="2"/>
  <c r="P58" i="2"/>
  <c r="P38" i="2"/>
  <c r="P247" i="2"/>
  <c r="P52" i="2"/>
  <c r="P41" i="2"/>
  <c r="Q41" i="2" s="1"/>
  <c r="P42" i="2"/>
  <c r="P43" i="2"/>
  <c r="Q43" i="2" s="1"/>
  <c r="P361" i="2"/>
  <c r="P45" i="2"/>
  <c r="P46" i="2"/>
  <c r="P47" i="2"/>
  <c r="P48" i="2"/>
  <c r="P307" i="2"/>
  <c r="P50" i="2"/>
  <c r="P51" i="2"/>
  <c r="Q51" i="2" s="1"/>
  <c r="P75" i="2"/>
  <c r="P400" i="2"/>
  <c r="P413" i="2"/>
  <c r="P55" i="2"/>
  <c r="P295" i="2"/>
  <c r="P206" i="2"/>
  <c r="P452" i="2"/>
  <c r="P59" i="2"/>
  <c r="P60" i="2"/>
  <c r="P61" i="2"/>
  <c r="P239" i="2"/>
  <c r="P63" i="2"/>
  <c r="Q63" i="2" s="1"/>
  <c r="P49" i="2"/>
  <c r="P65" i="2"/>
  <c r="P66" i="2"/>
  <c r="Q66" i="2" s="1"/>
  <c r="P67" i="2"/>
  <c r="Q67" i="2" s="1"/>
  <c r="P209" i="2"/>
  <c r="P158" i="2"/>
  <c r="P279" i="2"/>
  <c r="P374" i="2"/>
  <c r="P446" i="2"/>
  <c r="P73" i="2"/>
  <c r="P313" i="2"/>
  <c r="P472" i="2"/>
  <c r="P176" i="2"/>
  <c r="P493" i="2"/>
  <c r="P78" i="2"/>
  <c r="Q78" i="2" s="1"/>
  <c r="P191" i="2"/>
  <c r="Q191" i="2" s="1"/>
  <c r="P77" i="2"/>
  <c r="P81" i="2"/>
  <c r="P82" i="2"/>
  <c r="P83" i="2"/>
  <c r="P84" i="2"/>
  <c r="P85" i="2"/>
  <c r="P86" i="2"/>
  <c r="P70" i="2"/>
  <c r="P121" i="2"/>
  <c r="P89" i="2"/>
  <c r="P90" i="2"/>
  <c r="Q90" i="2" s="1"/>
  <c r="P221" i="2"/>
  <c r="P407" i="2"/>
  <c r="P93" i="2"/>
  <c r="P170" i="2"/>
  <c r="P95" i="2"/>
  <c r="P96" i="2"/>
  <c r="P71" i="2"/>
  <c r="P152" i="2"/>
  <c r="P99" i="2"/>
  <c r="P100" i="2"/>
  <c r="Q100" i="2" s="1"/>
  <c r="P101" i="2"/>
  <c r="P102" i="2"/>
  <c r="Q102" i="2" s="1"/>
  <c r="P103" i="2"/>
  <c r="Q103" i="2" s="1"/>
  <c r="P104" i="2"/>
  <c r="P260" i="2"/>
  <c r="P106" i="2"/>
  <c r="P107" i="2"/>
  <c r="P416" i="2"/>
  <c r="P109" i="2"/>
  <c r="P405" i="2"/>
  <c r="P256" i="2"/>
  <c r="P112" i="2"/>
  <c r="P113" i="2"/>
  <c r="P240" i="2"/>
  <c r="P115" i="2"/>
  <c r="P163" i="2"/>
  <c r="P200" i="2"/>
  <c r="P118" i="2"/>
  <c r="P123" i="2"/>
  <c r="P164" i="2"/>
  <c r="P417" i="2"/>
  <c r="P481" i="2"/>
  <c r="P352" i="2"/>
  <c r="P124" i="2"/>
  <c r="Q124" i="2" s="1"/>
  <c r="P125" i="2"/>
  <c r="P463" i="2"/>
  <c r="P139" i="2"/>
  <c r="P128" i="2"/>
  <c r="P129" i="2"/>
  <c r="P130" i="2"/>
  <c r="Q130" i="2" s="1"/>
  <c r="P131" i="2"/>
  <c r="P250" i="2"/>
  <c r="P133" i="2"/>
  <c r="P134" i="2"/>
  <c r="Q134" i="2" s="1"/>
  <c r="P12" i="2"/>
  <c r="P136" i="2"/>
  <c r="P137" i="2"/>
  <c r="Q137" i="2" s="1"/>
  <c r="P303" i="2"/>
  <c r="P266" i="2"/>
  <c r="Q266" i="2" s="1"/>
  <c r="P343" i="2"/>
  <c r="P141" i="2"/>
  <c r="P76" i="2"/>
  <c r="P425" i="2"/>
  <c r="P144" i="2"/>
  <c r="P145" i="2"/>
  <c r="P146" i="2"/>
  <c r="Q146" i="2" s="1"/>
  <c r="P147" i="2"/>
  <c r="P263" i="2"/>
  <c r="P424" i="2"/>
  <c r="P329" i="2"/>
  <c r="P234" i="2"/>
  <c r="P459" i="2"/>
  <c r="P153" i="2"/>
  <c r="Q153" i="2" s="1"/>
  <c r="P92" i="2"/>
  <c r="P466" i="2"/>
  <c r="P156" i="2"/>
  <c r="P157" i="2"/>
  <c r="P480" i="2"/>
  <c r="P322" i="2"/>
  <c r="P18" i="2"/>
  <c r="P161" i="2"/>
  <c r="P429" i="2"/>
  <c r="P88" i="2"/>
  <c r="P87" i="2"/>
  <c r="P165" i="2"/>
  <c r="Q165" i="2" s="1"/>
  <c r="P414" i="2"/>
  <c r="P167" i="2"/>
  <c r="P168" i="2"/>
  <c r="P345" i="2"/>
  <c r="P494" i="2"/>
  <c r="P171" i="2"/>
  <c r="Q171" i="2" s="1"/>
  <c r="P172" i="2"/>
  <c r="P214" i="2"/>
  <c r="P174" i="2"/>
  <c r="Q174" i="2" s="1"/>
  <c r="P175" i="2"/>
  <c r="Q175" i="2" s="1"/>
  <c r="P335" i="2"/>
  <c r="P97" i="2"/>
  <c r="P178" i="2"/>
  <c r="P179" i="2"/>
  <c r="P180" i="2"/>
  <c r="P181" i="2"/>
  <c r="P182" i="2"/>
  <c r="Q182" i="2" s="1"/>
  <c r="P381" i="2"/>
  <c r="P184" i="2"/>
  <c r="P54" i="2"/>
  <c r="P186" i="2"/>
  <c r="Q186" i="2" s="1"/>
  <c r="P177" i="2"/>
  <c r="P188" i="2"/>
  <c r="P30" i="2"/>
  <c r="P190" i="2"/>
  <c r="P56" i="2"/>
  <c r="P486" i="2"/>
  <c r="P257" i="2"/>
  <c r="P194" i="2"/>
  <c r="P195" i="2"/>
  <c r="Q195" i="2" s="1"/>
  <c r="P196" i="2"/>
  <c r="P197" i="2"/>
  <c r="P223" i="2"/>
  <c r="P199" i="2"/>
  <c r="Q199" i="2" s="1"/>
  <c r="P98" i="2"/>
  <c r="P212" i="2"/>
  <c r="P273" i="2"/>
  <c r="P218" i="2"/>
  <c r="P204" i="2"/>
  <c r="P205" i="2"/>
  <c r="P288" i="2"/>
  <c r="P207" i="2"/>
  <c r="P397" i="2"/>
  <c r="P451" i="2"/>
  <c r="P210" i="2"/>
  <c r="P211" i="2"/>
  <c r="Q211" i="2" s="1"/>
  <c r="P91" i="2"/>
  <c r="P127" i="2"/>
  <c r="P183" i="2"/>
  <c r="P215" i="2"/>
  <c r="P216" i="2"/>
  <c r="Q216" i="2" s="1"/>
  <c r="P148" i="2"/>
  <c r="P111" i="2"/>
  <c r="P219" i="2"/>
  <c r="Q219" i="2" s="1"/>
  <c r="P185" i="2"/>
  <c r="P455" i="2"/>
  <c r="P225" i="2"/>
  <c r="P201" i="2"/>
  <c r="P377" i="2"/>
  <c r="P331" i="2"/>
  <c r="P149" i="2"/>
  <c r="P227" i="2"/>
  <c r="P228" i="2"/>
  <c r="P285" i="2"/>
  <c r="P230" i="2"/>
  <c r="P231" i="2"/>
  <c r="Q231" i="2" s="1"/>
  <c r="P232" i="2"/>
  <c r="Q232" i="2" s="1"/>
  <c r="P233" i="2"/>
  <c r="P217" i="2"/>
  <c r="P235" i="2"/>
  <c r="Q235" i="2" s="1"/>
  <c r="P304" i="2"/>
  <c r="P237" i="2"/>
  <c r="P238" i="2"/>
  <c r="P236" i="2"/>
  <c r="P226" i="2"/>
  <c r="P471" i="2"/>
  <c r="P242" i="2"/>
  <c r="Q242" i="2" s="1"/>
  <c r="P243" i="2"/>
  <c r="Q243" i="2" s="1"/>
  <c r="P244" i="2"/>
  <c r="Q244" i="2" s="1"/>
  <c r="P433" i="2"/>
  <c r="P135" i="2"/>
  <c r="P362" i="2"/>
  <c r="Q362" i="2" s="1"/>
  <c r="P248" i="2"/>
  <c r="Q248" i="2" s="1"/>
  <c r="P249" i="2"/>
  <c r="Q249" i="2" s="1"/>
  <c r="P154" i="2"/>
  <c r="P251" i="2"/>
  <c r="Q251" i="2" s="1"/>
  <c r="P252" i="2"/>
  <c r="P253" i="2"/>
  <c r="P398" i="2"/>
  <c r="P138" i="2"/>
  <c r="P208" i="2"/>
  <c r="P255" i="2"/>
  <c r="P258" i="2"/>
  <c r="Q258" i="2" s="1"/>
  <c r="P269" i="2"/>
  <c r="Q269" i="2" s="1"/>
  <c r="P105" i="2"/>
  <c r="P261" i="2"/>
  <c r="Q261" i="2" s="1"/>
  <c r="P151" i="2"/>
  <c r="P438" i="2"/>
  <c r="P264" i="2"/>
  <c r="Q264" i="2" s="1"/>
  <c r="P265" i="2"/>
  <c r="Q265" i="2" s="1"/>
  <c r="P415" i="2"/>
  <c r="P267" i="2"/>
  <c r="Q267" i="2" s="1"/>
  <c r="P53" i="2"/>
  <c r="P202" i="2"/>
  <c r="P110" i="2"/>
  <c r="P271" i="2"/>
  <c r="Q271" i="2" s="1"/>
  <c r="P272" i="2"/>
  <c r="Q272" i="2" s="1"/>
  <c r="P420" i="2"/>
  <c r="P499" i="2"/>
  <c r="P275" i="2"/>
  <c r="P276" i="2"/>
  <c r="Q276" i="2" s="1"/>
  <c r="P277" i="2"/>
  <c r="P498" i="2"/>
  <c r="P406" i="2"/>
  <c r="P280" i="2"/>
  <c r="Q280" i="2" s="1"/>
  <c r="P281" i="2"/>
  <c r="Q281" i="2" s="1"/>
  <c r="P321" i="2"/>
  <c r="P283" i="2"/>
  <c r="Q283" i="2" s="1"/>
  <c r="P409" i="2"/>
  <c r="Q409" i="2" s="1"/>
  <c r="P464" i="2"/>
  <c r="P286" i="2"/>
  <c r="P287" i="2"/>
  <c r="P220" i="2"/>
  <c r="P428" i="2"/>
  <c r="P44" i="2"/>
  <c r="P291" i="2"/>
  <c r="P292" i="2"/>
  <c r="Q292" i="2" s="1"/>
  <c r="P293" i="2"/>
  <c r="Q293" i="2" s="1"/>
  <c r="P294" i="2"/>
  <c r="Q294" i="2" s="1"/>
  <c r="P40" i="2"/>
  <c r="P296" i="2"/>
  <c r="Q296" i="2" s="1"/>
  <c r="P297" i="2"/>
  <c r="Q297" i="2" s="1"/>
  <c r="P143" i="2"/>
  <c r="P289" i="2"/>
  <c r="P300" i="2"/>
  <c r="Q300" i="2" s="1"/>
  <c r="P116" i="2"/>
  <c r="P444" i="2"/>
  <c r="P29" i="2"/>
  <c r="P299" i="2"/>
  <c r="P305" i="2"/>
  <c r="Q305" i="2" s="1"/>
  <c r="P26" i="2"/>
  <c r="P282" i="2"/>
  <c r="P308" i="2"/>
  <c r="P117" i="2"/>
  <c r="P310" i="2"/>
  <c r="Q310" i="2" s="1"/>
  <c r="P311" i="2"/>
  <c r="Q311" i="2" s="1"/>
  <c r="P306" i="2"/>
  <c r="P32" i="2"/>
  <c r="P314" i="2"/>
  <c r="P315" i="2"/>
  <c r="P316" i="2"/>
  <c r="P284" i="2"/>
  <c r="P318" i="2"/>
  <c r="Q318" i="2" s="1"/>
  <c r="P319" i="2"/>
  <c r="P320" i="2"/>
  <c r="Q320" i="2" s="1"/>
  <c r="P39" i="2"/>
  <c r="P419" i="2"/>
  <c r="P119" i="2"/>
  <c r="P324" i="2"/>
  <c r="Q324" i="2" s="1"/>
  <c r="P325" i="2"/>
  <c r="Q325" i="2" s="1"/>
  <c r="P326" i="2"/>
  <c r="Q326" i="2" s="1"/>
  <c r="P327" i="2"/>
  <c r="Q327" i="2" s="1"/>
  <c r="P328" i="2"/>
  <c r="Q328" i="2" s="1"/>
  <c r="P268" i="2"/>
  <c r="P330" i="2"/>
  <c r="Q330" i="2" s="1"/>
  <c r="P4" i="2"/>
  <c r="P332" i="2"/>
  <c r="Q332" i="2" s="1"/>
  <c r="P333" i="2"/>
  <c r="Q333" i="2" s="1"/>
  <c r="P430" i="2"/>
  <c r="P259" i="2"/>
  <c r="P336" i="2"/>
  <c r="P68" i="2"/>
  <c r="P338" i="2"/>
  <c r="Q338" i="2" s="1"/>
  <c r="P339" i="2"/>
  <c r="Q339" i="2" s="1"/>
  <c r="P80" i="2"/>
  <c r="P94" i="2"/>
  <c r="P342" i="2"/>
  <c r="Q342" i="2" s="1"/>
  <c r="P10" i="2"/>
  <c r="P344" i="2"/>
  <c r="Q344" i="2" s="1"/>
  <c r="P114" i="2"/>
  <c r="P385" i="2"/>
  <c r="P347" i="2"/>
  <c r="Q347" i="2" s="1"/>
  <c r="P348" i="2"/>
  <c r="P25" i="2"/>
  <c r="P350" i="2"/>
  <c r="Q350" i="2" s="1"/>
  <c r="P351" i="2"/>
  <c r="P495" i="2"/>
  <c r="P353" i="2"/>
  <c r="P354" i="2"/>
  <c r="P355" i="2"/>
  <c r="P356" i="2"/>
  <c r="P357" i="2"/>
  <c r="P57" i="2"/>
  <c r="P359" i="2"/>
  <c r="P132" i="2"/>
  <c r="P317" i="2"/>
  <c r="P213" i="2"/>
  <c r="P74" i="2"/>
  <c r="P364" i="2"/>
  <c r="P246" i="2"/>
  <c r="P193" i="2"/>
  <c r="P367" i="2"/>
  <c r="Q367" i="2" s="1"/>
  <c r="P368" i="2"/>
  <c r="Q368" i="2" s="1"/>
  <c r="P369" i="2"/>
  <c r="P370" i="2"/>
  <c r="Q370" i="2" s="1"/>
  <c r="P189" i="2"/>
  <c r="P372" i="2"/>
  <c r="P373" i="2"/>
  <c r="Q373" i="2" s="1"/>
  <c r="P309" i="2"/>
  <c r="P160" i="2"/>
  <c r="Q160" i="2" s="1"/>
  <c r="P376" i="2"/>
  <c r="Q376" i="2" s="1"/>
  <c r="P366" i="2"/>
  <c r="P378" i="2"/>
  <c r="Q378" i="2" s="1"/>
  <c r="P19" i="2"/>
  <c r="P380" i="2"/>
  <c r="Q380" i="2" s="1"/>
  <c r="P140" i="2"/>
  <c r="P382" i="2"/>
  <c r="P16" i="2"/>
  <c r="P108" i="2"/>
  <c r="P412" i="2"/>
  <c r="P386" i="2"/>
  <c r="P423" i="2"/>
  <c r="P388" i="2"/>
  <c r="Q388" i="2" s="1"/>
  <c r="P389" i="2"/>
  <c r="Q389" i="2" s="1"/>
  <c r="P390" i="2"/>
  <c r="Q390" i="2" s="1"/>
  <c r="P391" i="2"/>
  <c r="Q391" i="2" s="1"/>
  <c r="P392" i="2"/>
  <c r="Q392" i="2" s="1"/>
  <c r="P393" i="2"/>
  <c r="Q393" i="2" s="1"/>
  <c r="P394" i="2"/>
  <c r="Q394" i="2" s="1"/>
  <c r="P395" i="2"/>
  <c r="P396" i="2"/>
  <c r="Q396" i="2" s="1"/>
  <c r="P203" i="2"/>
  <c r="P334" i="2"/>
  <c r="Q334" i="2" s="1"/>
  <c r="P399" i="2"/>
  <c r="Q399" i="2" s="1"/>
  <c r="P384" i="2"/>
  <c r="P401" i="2"/>
  <c r="Q401" i="2" s="1"/>
  <c r="P402" i="2"/>
  <c r="Q402" i="2" s="1"/>
  <c r="P403" i="2"/>
  <c r="Q403" i="2" s="1"/>
  <c r="P404" i="2"/>
  <c r="Q404" i="2" s="1"/>
  <c r="P302" i="2"/>
  <c r="Q302" i="2" s="1"/>
  <c r="P371" i="2"/>
  <c r="P198" i="2"/>
  <c r="P408" i="2"/>
  <c r="Q408" i="2" s="1"/>
  <c r="P69" i="2"/>
  <c r="P410" i="2"/>
  <c r="P411" i="2"/>
  <c r="P262" i="2"/>
  <c r="P24" i="2"/>
  <c r="P166" i="2"/>
  <c r="P341" i="2"/>
  <c r="P449" i="2"/>
  <c r="Q449" i="2" s="1"/>
  <c r="P349" i="2"/>
  <c r="P418" i="2"/>
  <c r="Q418" i="2" s="1"/>
  <c r="P468" i="2"/>
  <c r="P224" i="2"/>
  <c r="P421" i="2"/>
  <c r="P422" i="2"/>
  <c r="Q422" i="2" s="1"/>
  <c r="P13" i="2"/>
  <c r="Q13" i="2" s="1"/>
  <c r="P229" i="2"/>
  <c r="P441" i="2"/>
  <c r="P426" i="2"/>
  <c r="P427" i="2"/>
  <c r="Q427" i="2" s="1"/>
  <c r="P360" i="2"/>
  <c r="Q360" i="2" s="1"/>
  <c r="P72" i="2"/>
  <c r="P484" i="2"/>
  <c r="P460" i="2"/>
  <c r="P358" i="2"/>
  <c r="P270" i="2"/>
  <c r="P434" i="2"/>
  <c r="Q434" i="2" s="1"/>
  <c r="P435" i="2"/>
  <c r="Q435" i="2" s="1"/>
  <c r="P436" i="2"/>
  <c r="Q436" i="2" s="1"/>
  <c r="P437" i="2"/>
  <c r="Q437" i="2" s="1"/>
  <c r="P254" i="2"/>
  <c r="P439" i="2"/>
  <c r="Q439" i="2" s="1"/>
  <c r="P440" i="2"/>
  <c r="P64" i="2"/>
  <c r="P442" i="2"/>
  <c r="P443" i="2"/>
  <c r="Q443" i="2" s="1"/>
  <c r="P482" i="2"/>
  <c r="P445" i="2"/>
  <c r="P37" i="2"/>
  <c r="P447" i="2"/>
  <c r="Q447" i="2" s="1"/>
  <c r="P448" i="2"/>
  <c r="Q448" i="2" s="1"/>
  <c r="P122" i="2"/>
  <c r="P450" i="2"/>
  <c r="Q450" i="2" s="1"/>
  <c r="P187" i="2"/>
  <c r="P245" i="2"/>
  <c r="P453" i="2"/>
  <c r="P62" i="2"/>
  <c r="P126" i="2"/>
  <c r="P456" i="2"/>
  <c r="Q456" i="2" s="1"/>
  <c r="P274" i="2"/>
  <c r="P458" i="2"/>
  <c r="Q458" i="2" s="1"/>
  <c r="P150" i="2"/>
  <c r="P301" i="2"/>
  <c r="P461" i="2"/>
  <c r="Q461" i="2" s="1"/>
  <c r="P462" i="2"/>
  <c r="Q462" i="2" s="1"/>
  <c r="P492" i="2"/>
  <c r="P11" i="2"/>
  <c r="P465" i="2"/>
  <c r="Q465" i="2" s="1"/>
  <c r="P222" i="2"/>
  <c r="P467" i="2"/>
  <c r="P340" i="2"/>
  <c r="P469" i="2"/>
  <c r="Q469" i="2" s="1"/>
  <c r="P470" i="2"/>
  <c r="P278" i="2"/>
  <c r="P162" i="2"/>
  <c r="P473" i="2"/>
  <c r="P474" i="2"/>
  <c r="Q474" i="2" s="1"/>
  <c r="P475" i="2"/>
  <c r="P476" i="2"/>
  <c r="Q476" i="2" s="1"/>
  <c r="P477" i="2"/>
  <c r="Q477" i="2" s="1"/>
  <c r="P478" i="2"/>
  <c r="Q478" i="2" s="1"/>
  <c r="P479" i="2"/>
  <c r="Q479" i="2" s="1"/>
  <c r="P241" i="2"/>
  <c r="P337" i="2"/>
  <c r="P192" i="2"/>
  <c r="P155" i="2"/>
  <c r="P169" i="2"/>
  <c r="P485" i="2"/>
  <c r="Q485" i="2" s="1"/>
  <c r="P379" i="2"/>
  <c r="P487" i="2"/>
  <c r="Q487" i="2" s="1"/>
  <c r="P365" i="2"/>
  <c r="Q365" i="2" s="1"/>
  <c r="P489" i="2"/>
  <c r="Q489" i="2" s="1"/>
  <c r="P454" i="2"/>
  <c r="P491" i="2"/>
  <c r="P159" i="2"/>
  <c r="P363" i="2"/>
  <c r="P290" i="2"/>
  <c r="Q290" i="2" s="1"/>
  <c r="P346" i="2"/>
  <c r="P496" i="2"/>
  <c r="Q496" i="2" s="1"/>
  <c r="P387" i="2"/>
  <c r="P488" i="2"/>
  <c r="P432" i="2"/>
  <c r="Q432" i="2" s="1"/>
  <c r="P500" i="2"/>
  <c r="Q500" i="2" s="1"/>
  <c r="P501" i="2"/>
  <c r="Q501" i="2" s="1"/>
  <c r="H2" i="2"/>
  <c r="H3" i="2"/>
  <c r="U3" i="2" s="1"/>
  <c r="V3" i="2" s="1"/>
  <c r="H79" i="2"/>
  <c r="U79" i="2" s="1"/>
  <c r="V79" i="2" s="1"/>
  <c r="H5" i="2"/>
  <c r="U5" i="2" s="1"/>
  <c r="V5" i="2" s="1"/>
  <c r="H6" i="2"/>
  <c r="U6" i="2" s="1"/>
  <c r="V6" i="2" s="1"/>
  <c r="H7" i="2"/>
  <c r="U7" i="2" s="1"/>
  <c r="V7" i="2" s="1"/>
  <c r="H8" i="2"/>
  <c r="U8" i="2" s="1"/>
  <c r="V8" i="2" s="1"/>
  <c r="H9" i="2"/>
  <c r="H173" i="2"/>
  <c r="U173" i="2" s="1"/>
  <c r="V173" i="2" s="1"/>
  <c r="H483" i="2"/>
  <c r="H497" i="2"/>
  <c r="U497" i="2" s="1"/>
  <c r="V497" i="2" s="1"/>
  <c r="H142" i="2"/>
  <c r="U142" i="2" s="1"/>
  <c r="V142" i="2" s="1"/>
  <c r="H14" i="2"/>
  <c r="U14" i="2" s="1"/>
  <c r="V14" i="2" s="1"/>
  <c r="H15" i="2"/>
  <c r="U15" i="2" s="1"/>
  <c r="V15" i="2" s="1"/>
  <c r="H490" i="2"/>
  <c r="U490" i="2" s="1"/>
  <c r="V490" i="2" s="1"/>
  <c r="H17" i="2"/>
  <c r="U17" i="2" s="1"/>
  <c r="V17" i="2" s="1"/>
  <c r="H323" i="2"/>
  <c r="U323" i="2" s="1"/>
  <c r="V323" i="2" s="1"/>
  <c r="H120" i="2"/>
  <c r="H20" i="2"/>
  <c r="U20" i="2" s="1"/>
  <c r="V20" i="2" s="1"/>
  <c r="H21" i="2"/>
  <c r="H22" i="2"/>
  <c r="H23" i="2"/>
  <c r="H383" i="2"/>
  <c r="U383" i="2" s="1"/>
  <c r="V383" i="2" s="1"/>
  <c r="H298" i="2"/>
  <c r="U298" i="2" s="1"/>
  <c r="V298" i="2" s="1"/>
  <c r="H457" i="2"/>
  <c r="U457" i="2" s="1"/>
  <c r="V457" i="2" s="1"/>
  <c r="H27" i="2"/>
  <c r="U27" i="2" s="1"/>
  <c r="V27" i="2" s="1"/>
  <c r="H28" i="2"/>
  <c r="U28" i="2" s="1"/>
  <c r="V28" i="2" s="1"/>
  <c r="H312" i="2"/>
  <c r="U312" i="2" s="1"/>
  <c r="V312" i="2" s="1"/>
  <c r="H34" i="2"/>
  <c r="U34" i="2" s="1"/>
  <c r="V34" i="2" s="1"/>
  <c r="H31" i="2"/>
  <c r="U31" i="2" s="1"/>
  <c r="V31" i="2" s="1"/>
  <c r="H431" i="2"/>
  <c r="U431" i="2" s="1"/>
  <c r="V431" i="2" s="1"/>
  <c r="H33" i="2"/>
  <c r="U33" i="2" s="1"/>
  <c r="V33" i="2" s="1"/>
  <c r="H375" i="2"/>
  <c r="U375" i="2" s="1"/>
  <c r="V375" i="2" s="1"/>
  <c r="H35" i="2"/>
  <c r="U35" i="2" s="1"/>
  <c r="V35" i="2" s="1"/>
  <c r="H36" i="2"/>
  <c r="U36" i="2" s="1"/>
  <c r="V36" i="2" s="1"/>
  <c r="H58" i="2"/>
  <c r="U58" i="2" s="1"/>
  <c r="V58" i="2" s="1"/>
  <c r="H38" i="2"/>
  <c r="U38" i="2" s="1"/>
  <c r="V38" i="2" s="1"/>
  <c r="H247" i="2"/>
  <c r="U247" i="2" s="1"/>
  <c r="V247" i="2" s="1"/>
  <c r="H52" i="2"/>
  <c r="U52" i="2" s="1"/>
  <c r="V52" i="2" s="1"/>
  <c r="H41" i="2"/>
  <c r="U41" i="2" s="1"/>
  <c r="V41" i="2" s="1"/>
  <c r="H42" i="2"/>
  <c r="H43" i="2"/>
  <c r="H361" i="2"/>
  <c r="H45" i="2"/>
  <c r="H46" i="2"/>
  <c r="N46" i="2" s="1"/>
  <c r="H47" i="2"/>
  <c r="H48" i="2"/>
  <c r="U48" i="2" s="1"/>
  <c r="V48" i="2" s="1"/>
  <c r="H307" i="2"/>
  <c r="U307" i="2" s="1"/>
  <c r="V307" i="2" s="1"/>
  <c r="H50" i="2"/>
  <c r="U50" i="2" s="1"/>
  <c r="V50" i="2" s="1"/>
  <c r="H51" i="2"/>
  <c r="U51" i="2" s="1"/>
  <c r="V51" i="2" s="1"/>
  <c r="H75" i="2"/>
  <c r="U75" i="2" s="1"/>
  <c r="V75" i="2" s="1"/>
  <c r="H400" i="2"/>
  <c r="U400" i="2" s="1"/>
  <c r="V400" i="2" s="1"/>
  <c r="H413" i="2"/>
  <c r="U413" i="2" s="1"/>
  <c r="V413" i="2" s="1"/>
  <c r="H55" i="2"/>
  <c r="U55" i="2" s="1"/>
  <c r="V55" i="2" s="1"/>
  <c r="H295" i="2"/>
  <c r="U295" i="2" s="1"/>
  <c r="V295" i="2" s="1"/>
  <c r="H206" i="2"/>
  <c r="U206" i="2" s="1"/>
  <c r="V206" i="2" s="1"/>
  <c r="H452" i="2"/>
  <c r="U452" i="2" s="1"/>
  <c r="V452" i="2" s="1"/>
  <c r="H59" i="2"/>
  <c r="H60" i="2"/>
  <c r="U60" i="2" s="1"/>
  <c r="V60" i="2" s="1"/>
  <c r="H61" i="2"/>
  <c r="U61" i="2" s="1"/>
  <c r="V61" i="2" s="1"/>
  <c r="H239" i="2"/>
  <c r="H63" i="2"/>
  <c r="U63" i="2" s="1"/>
  <c r="V63" i="2" s="1"/>
  <c r="H49" i="2"/>
  <c r="U49" i="2" s="1"/>
  <c r="V49" i="2" s="1"/>
  <c r="H65" i="2"/>
  <c r="U65" i="2" s="1"/>
  <c r="V65" i="2" s="1"/>
  <c r="H66" i="2"/>
  <c r="H67" i="2"/>
  <c r="H209" i="2"/>
  <c r="H158" i="2"/>
  <c r="U158" i="2" s="1"/>
  <c r="V158" i="2" s="1"/>
  <c r="H279" i="2"/>
  <c r="U279" i="2" s="1"/>
  <c r="V279" i="2" s="1"/>
  <c r="H374" i="2"/>
  <c r="H446" i="2"/>
  <c r="U446" i="2" s="1"/>
  <c r="V446" i="2" s="1"/>
  <c r="H73" i="2"/>
  <c r="U73" i="2" s="1"/>
  <c r="V73" i="2" s="1"/>
  <c r="H313" i="2"/>
  <c r="H472" i="2"/>
  <c r="U472" i="2" s="1"/>
  <c r="V472" i="2" s="1"/>
  <c r="H176" i="2"/>
  <c r="U176" i="2" s="1"/>
  <c r="V176" i="2" s="1"/>
  <c r="H493" i="2"/>
  <c r="H78" i="2"/>
  <c r="U78" i="2" s="1"/>
  <c r="V78" i="2" s="1"/>
  <c r="H191" i="2"/>
  <c r="U191" i="2" s="1"/>
  <c r="V191" i="2" s="1"/>
  <c r="H77" i="2"/>
  <c r="H81" i="2"/>
  <c r="U81" i="2" s="1"/>
  <c r="V81" i="2" s="1"/>
  <c r="H82" i="2"/>
  <c r="U82" i="2" s="1"/>
  <c r="V82" i="2" s="1"/>
  <c r="H83" i="2"/>
  <c r="H84" i="2"/>
  <c r="U84" i="2" s="1"/>
  <c r="V84" i="2" s="1"/>
  <c r="H85" i="2"/>
  <c r="U85" i="2" s="1"/>
  <c r="V85" i="2" s="1"/>
  <c r="H86" i="2"/>
  <c r="U86" i="2" s="1"/>
  <c r="V86" i="2" s="1"/>
  <c r="H70" i="2"/>
  <c r="U70" i="2" s="1"/>
  <c r="V70" i="2" s="1"/>
  <c r="H121" i="2"/>
  <c r="U121" i="2" s="1"/>
  <c r="V121" i="2" s="1"/>
  <c r="H89" i="2"/>
  <c r="U89" i="2" s="1"/>
  <c r="V89" i="2" s="1"/>
  <c r="H90" i="2"/>
  <c r="H221" i="2"/>
  <c r="H407" i="2"/>
  <c r="H93" i="2"/>
  <c r="H170" i="2"/>
  <c r="H95" i="2"/>
  <c r="U95" i="2" s="1"/>
  <c r="V95" i="2" s="1"/>
  <c r="H96" i="2"/>
  <c r="U96" i="2" s="1"/>
  <c r="V96" i="2" s="1"/>
  <c r="H71" i="2"/>
  <c r="U71" i="2" s="1"/>
  <c r="V71" i="2" s="1"/>
  <c r="H152" i="2"/>
  <c r="H99" i="2"/>
  <c r="U99" i="2" s="1"/>
  <c r="V99" i="2" s="1"/>
  <c r="H100" i="2"/>
  <c r="U100" i="2" s="1"/>
  <c r="V100" i="2" s="1"/>
  <c r="H101" i="2"/>
  <c r="U101" i="2" s="1"/>
  <c r="V101" i="2" s="1"/>
  <c r="H102" i="2"/>
  <c r="U102" i="2" s="1"/>
  <c r="V102" i="2" s="1"/>
  <c r="H103" i="2"/>
  <c r="U103" i="2" s="1"/>
  <c r="V103" i="2" s="1"/>
  <c r="H104" i="2"/>
  <c r="H260" i="2"/>
  <c r="H106" i="2"/>
  <c r="O106" i="2" s="1"/>
  <c r="H107" i="2"/>
  <c r="N107" i="2" s="1"/>
  <c r="H416" i="2"/>
  <c r="U416" i="2" s="1"/>
  <c r="V416" i="2" s="1"/>
  <c r="H109" i="2"/>
  <c r="U109" i="2" s="1"/>
  <c r="V109" i="2" s="1"/>
  <c r="H405" i="2"/>
  <c r="H256" i="2"/>
  <c r="U256" i="2" s="1"/>
  <c r="V256" i="2" s="1"/>
  <c r="H112" i="2"/>
  <c r="U112" i="2" s="1"/>
  <c r="V112" i="2" s="1"/>
  <c r="H113" i="2"/>
  <c r="U113" i="2" s="1"/>
  <c r="V113" i="2" s="1"/>
  <c r="H240" i="2"/>
  <c r="U240" i="2" s="1"/>
  <c r="V240" i="2" s="1"/>
  <c r="H115" i="2"/>
  <c r="U115" i="2" s="1"/>
  <c r="V115" i="2" s="1"/>
  <c r="H163" i="2"/>
  <c r="U163" i="2" s="1"/>
  <c r="V163" i="2" s="1"/>
  <c r="H200" i="2"/>
  <c r="U200" i="2" s="1"/>
  <c r="V200" i="2" s="1"/>
  <c r="H118" i="2"/>
  <c r="U118" i="2" s="1"/>
  <c r="V118" i="2" s="1"/>
  <c r="H123" i="2"/>
  <c r="U123" i="2" s="1"/>
  <c r="V123" i="2" s="1"/>
  <c r="H164" i="2"/>
  <c r="U164" i="2" s="1"/>
  <c r="V164" i="2" s="1"/>
  <c r="H417" i="2"/>
  <c r="U417" i="2" s="1"/>
  <c r="V417" i="2" s="1"/>
  <c r="H481" i="2"/>
  <c r="U481" i="2" s="1"/>
  <c r="V481" i="2" s="1"/>
  <c r="H352" i="2"/>
  <c r="U352" i="2" s="1"/>
  <c r="V352" i="2" s="1"/>
  <c r="H124" i="2"/>
  <c r="U124" i="2" s="1"/>
  <c r="V124" i="2" s="1"/>
  <c r="H125" i="2"/>
  <c r="U125" i="2" s="1"/>
  <c r="V125" i="2" s="1"/>
  <c r="H463" i="2"/>
  <c r="H139" i="2"/>
  <c r="H128" i="2"/>
  <c r="U128" i="2" s="1"/>
  <c r="V128" i="2" s="1"/>
  <c r="H129" i="2"/>
  <c r="U129" i="2" s="1"/>
  <c r="V129" i="2" s="1"/>
  <c r="H130" i="2"/>
  <c r="H131" i="2"/>
  <c r="H250" i="2"/>
  <c r="U250" i="2" s="1"/>
  <c r="V250" i="2" s="1"/>
  <c r="H133" i="2"/>
  <c r="U133" i="2" s="1"/>
  <c r="V133" i="2" s="1"/>
  <c r="H134" i="2"/>
  <c r="O134" i="2" s="1"/>
  <c r="H12" i="2"/>
  <c r="U12" i="2" s="1"/>
  <c r="V12" i="2" s="1"/>
  <c r="H136" i="2"/>
  <c r="U136" i="2" s="1"/>
  <c r="V136" i="2" s="1"/>
  <c r="H137" i="2"/>
  <c r="U137" i="2" s="1"/>
  <c r="V137" i="2" s="1"/>
  <c r="H303" i="2"/>
  <c r="U303" i="2" s="1"/>
  <c r="V303" i="2" s="1"/>
  <c r="H266" i="2"/>
  <c r="U266" i="2" s="1"/>
  <c r="V266" i="2" s="1"/>
  <c r="H343" i="2"/>
  <c r="H141" i="2"/>
  <c r="H76" i="2"/>
  <c r="H425" i="2"/>
  <c r="U425" i="2" s="1"/>
  <c r="V425" i="2" s="1"/>
  <c r="H144" i="2"/>
  <c r="U144" i="2" s="1"/>
  <c r="V144" i="2" s="1"/>
  <c r="H145" i="2"/>
  <c r="U145" i="2" s="1"/>
  <c r="V145" i="2" s="1"/>
  <c r="H146" i="2"/>
  <c r="H147" i="2"/>
  <c r="U147" i="2" s="1"/>
  <c r="V147" i="2" s="1"/>
  <c r="H263" i="2"/>
  <c r="U263" i="2" s="1"/>
  <c r="V263" i="2" s="1"/>
  <c r="H424" i="2"/>
  <c r="U424" i="2" s="1"/>
  <c r="V424" i="2" s="1"/>
  <c r="H329" i="2"/>
  <c r="H234" i="2"/>
  <c r="H459" i="2"/>
  <c r="H153" i="2"/>
  <c r="U153" i="2" s="1"/>
  <c r="V153" i="2" s="1"/>
  <c r="H92" i="2"/>
  <c r="U92" i="2" s="1"/>
  <c r="V92" i="2" s="1"/>
  <c r="H466" i="2"/>
  <c r="H156" i="2"/>
  <c r="H157" i="2"/>
  <c r="U157" i="2" s="1"/>
  <c r="V157" i="2" s="1"/>
  <c r="H480" i="2"/>
  <c r="U480" i="2" s="1"/>
  <c r="V480" i="2" s="1"/>
  <c r="H322" i="2"/>
  <c r="U322" i="2" s="1"/>
  <c r="V322" i="2" s="1"/>
  <c r="H18" i="2"/>
  <c r="U18" i="2" s="1"/>
  <c r="V18" i="2" s="1"/>
  <c r="H161" i="2"/>
  <c r="U161" i="2" s="1"/>
  <c r="V161" i="2" s="1"/>
  <c r="H429" i="2"/>
  <c r="H88" i="2"/>
  <c r="H87" i="2"/>
  <c r="H165" i="2"/>
  <c r="H414" i="2"/>
  <c r="H167" i="2"/>
  <c r="H168" i="2"/>
  <c r="H345" i="2"/>
  <c r="U345" i="2" s="1"/>
  <c r="V345" i="2" s="1"/>
  <c r="H494" i="2"/>
  <c r="H171" i="2"/>
  <c r="U171" i="2" s="1"/>
  <c r="V171" i="2" s="1"/>
  <c r="H172" i="2"/>
  <c r="U172" i="2" s="1"/>
  <c r="V172" i="2" s="1"/>
  <c r="H214" i="2"/>
  <c r="U214" i="2" s="1"/>
  <c r="V214" i="2" s="1"/>
  <c r="H174" i="2"/>
  <c r="U174" i="2" s="1"/>
  <c r="V174" i="2" s="1"/>
  <c r="H175" i="2"/>
  <c r="U175" i="2" s="1"/>
  <c r="V175" i="2" s="1"/>
  <c r="H335" i="2"/>
  <c r="H97" i="2"/>
  <c r="U97" i="2" s="1"/>
  <c r="V97" i="2" s="1"/>
  <c r="H178" i="2"/>
  <c r="U178" i="2" s="1"/>
  <c r="V178" i="2" s="1"/>
  <c r="H179" i="2"/>
  <c r="H180" i="2"/>
  <c r="H181" i="2"/>
  <c r="U181" i="2" s="1"/>
  <c r="V181" i="2" s="1"/>
  <c r="H182" i="2"/>
  <c r="H381" i="2"/>
  <c r="U381" i="2" s="1"/>
  <c r="V381" i="2" s="1"/>
  <c r="H184" i="2"/>
  <c r="U184" i="2" s="1"/>
  <c r="V184" i="2" s="1"/>
  <c r="H54" i="2"/>
  <c r="U54" i="2" s="1"/>
  <c r="V54" i="2" s="1"/>
  <c r="H186" i="2"/>
  <c r="U186" i="2" s="1"/>
  <c r="V186" i="2" s="1"/>
  <c r="H177" i="2"/>
  <c r="U177" i="2" s="1"/>
  <c r="V177" i="2" s="1"/>
  <c r="H188" i="2"/>
  <c r="H30" i="2"/>
  <c r="U30" i="2" s="1"/>
  <c r="V30" i="2" s="1"/>
  <c r="H190" i="2"/>
  <c r="O190" i="2" s="1"/>
  <c r="H56" i="2"/>
  <c r="H486" i="2"/>
  <c r="N486" i="2" s="1"/>
  <c r="H257" i="2"/>
  <c r="U257" i="2" s="1"/>
  <c r="V257" i="2" s="1"/>
  <c r="H194" i="2"/>
  <c r="H195" i="2"/>
  <c r="U195" i="2" s="1"/>
  <c r="V195" i="2" s="1"/>
  <c r="H196" i="2"/>
  <c r="U196" i="2" s="1"/>
  <c r="V196" i="2" s="1"/>
  <c r="H197" i="2"/>
  <c r="U197" i="2" s="1"/>
  <c r="V197" i="2" s="1"/>
  <c r="H223" i="2"/>
  <c r="H199" i="2"/>
  <c r="H98" i="2"/>
  <c r="U98" i="2" s="1"/>
  <c r="V98" i="2" s="1"/>
  <c r="H212" i="2"/>
  <c r="U212" i="2" s="1"/>
  <c r="V212" i="2" s="1"/>
  <c r="H273" i="2"/>
  <c r="H218" i="2"/>
  <c r="H204" i="2"/>
  <c r="H205" i="2"/>
  <c r="U205" i="2" s="1"/>
  <c r="V205" i="2" s="1"/>
  <c r="H288" i="2"/>
  <c r="H207" i="2"/>
  <c r="U207" i="2" s="1"/>
  <c r="V207" i="2" s="1"/>
  <c r="H397" i="2"/>
  <c r="U397" i="2" s="1"/>
  <c r="V397" i="2" s="1"/>
  <c r="H451" i="2"/>
  <c r="U451" i="2" s="1"/>
  <c r="V451" i="2" s="1"/>
  <c r="H210" i="2"/>
  <c r="H211" i="2"/>
  <c r="U211" i="2" s="1"/>
  <c r="V211" i="2" s="1"/>
  <c r="H91" i="2"/>
  <c r="U91" i="2" s="1"/>
  <c r="V91" i="2" s="1"/>
  <c r="H127" i="2"/>
  <c r="U127" i="2" s="1"/>
  <c r="V127" i="2" s="1"/>
  <c r="H183" i="2"/>
  <c r="U183" i="2" s="1"/>
  <c r="V183" i="2" s="1"/>
  <c r="H215" i="2"/>
  <c r="U215" i="2" s="1"/>
  <c r="V215" i="2" s="1"/>
  <c r="H216" i="2"/>
  <c r="O216" i="2" s="1"/>
  <c r="R216" i="2" s="1"/>
  <c r="H148" i="2"/>
  <c r="U148" i="2" s="1"/>
  <c r="V148" i="2" s="1"/>
  <c r="H111" i="2"/>
  <c r="H219" i="2"/>
  <c r="U219" i="2" s="1"/>
  <c r="V219" i="2" s="1"/>
  <c r="H185" i="2"/>
  <c r="U185" i="2" s="1"/>
  <c r="V185" i="2" s="1"/>
  <c r="H455" i="2"/>
  <c r="H225" i="2"/>
  <c r="H201" i="2"/>
  <c r="H377" i="2"/>
  <c r="H331" i="2"/>
  <c r="H149" i="2"/>
  <c r="H227" i="2"/>
  <c r="H228" i="2"/>
  <c r="H285" i="2"/>
  <c r="U285" i="2" s="1"/>
  <c r="V285" i="2" s="1"/>
  <c r="H230" i="2"/>
  <c r="U230" i="2" s="1"/>
  <c r="V230" i="2" s="1"/>
  <c r="H231" i="2"/>
  <c r="U231" i="2" s="1"/>
  <c r="V231" i="2" s="1"/>
  <c r="H232" i="2"/>
  <c r="U232" i="2" s="1"/>
  <c r="V232" i="2" s="1"/>
  <c r="H233" i="2"/>
  <c r="U233" i="2" s="1"/>
  <c r="V233" i="2" s="1"/>
  <c r="H217" i="2"/>
  <c r="U217" i="2" s="1"/>
  <c r="V217" i="2" s="1"/>
  <c r="H235" i="2"/>
  <c r="U235" i="2" s="1"/>
  <c r="V235" i="2" s="1"/>
  <c r="H304" i="2"/>
  <c r="U304" i="2" s="1"/>
  <c r="V304" i="2" s="1"/>
  <c r="H237" i="2"/>
  <c r="H238" i="2"/>
  <c r="H236" i="2"/>
  <c r="H226" i="2"/>
  <c r="H471" i="2"/>
  <c r="U471" i="2" s="1"/>
  <c r="V471" i="2" s="1"/>
  <c r="H242" i="2"/>
  <c r="H243" i="2"/>
  <c r="U243" i="2" s="1"/>
  <c r="V243" i="2" s="1"/>
  <c r="H244" i="2"/>
  <c r="U244" i="2" s="1"/>
  <c r="V244" i="2" s="1"/>
  <c r="H433" i="2"/>
  <c r="U433" i="2" s="1"/>
  <c r="V433" i="2" s="1"/>
  <c r="H135" i="2"/>
  <c r="H362" i="2"/>
  <c r="U362" i="2" s="1"/>
  <c r="V362" i="2" s="1"/>
  <c r="H248" i="2"/>
  <c r="H249" i="2"/>
  <c r="H154" i="2"/>
  <c r="U154" i="2" s="1"/>
  <c r="V154" i="2" s="1"/>
  <c r="H251" i="2"/>
  <c r="H252" i="2"/>
  <c r="H253" i="2"/>
  <c r="H398" i="2"/>
  <c r="H138" i="2"/>
  <c r="U138" i="2" s="1"/>
  <c r="V138" i="2" s="1"/>
  <c r="H208" i="2"/>
  <c r="U208" i="2" s="1"/>
  <c r="V208" i="2" s="1"/>
  <c r="H255" i="2"/>
  <c r="H258" i="2"/>
  <c r="U258" i="2" s="1"/>
  <c r="V258" i="2" s="1"/>
  <c r="H269" i="2"/>
  <c r="U269" i="2" s="1"/>
  <c r="V269" i="2" s="1"/>
  <c r="H105" i="2"/>
  <c r="H261" i="2"/>
  <c r="U261" i="2" s="1"/>
  <c r="V261" i="2" s="1"/>
  <c r="H151" i="2"/>
  <c r="H438" i="2"/>
  <c r="H264" i="2"/>
  <c r="H265" i="2"/>
  <c r="U265" i="2" s="1"/>
  <c r="V265" i="2" s="1"/>
  <c r="H415" i="2"/>
  <c r="H267" i="2"/>
  <c r="U267" i="2" s="1"/>
  <c r="V267" i="2" s="1"/>
  <c r="H53" i="2"/>
  <c r="U53" i="2" s="1"/>
  <c r="V53" i="2" s="1"/>
  <c r="H202" i="2"/>
  <c r="H110" i="2"/>
  <c r="U110" i="2" s="1"/>
  <c r="V110" i="2" s="1"/>
  <c r="H271" i="2"/>
  <c r="U271" i="2" s="1"/>
  <c r="V271" i="2" s="1"/>
  <c r="H272" i="2"/>
  <c r="H420" i="2"/>
  <c r="U420" i="2" s="1"/>
  <c r="V420" i="2" s="1"/>
  <c r="H499" i="2"/>
  <c r="H275" i="2"/>
  <c r="H276" i="2"/>
  <c r="H277" i="2"/>
  <c r="U277" i="2" s="1"/>
  <c r="V277" i="2" s="1"/>
  <c r="H498" i="2"/>
  <c r="H406" i="2"/>
  <c r="U406" i="2" s="1"/>
  <c r="V406" i="2" s="1"/>
  <c r="H280" i="2"/>
  <c r="U280" i="2" s="1"/>
  <c r="V280" i="2" s="1"/>
  <c r="H281" i="2"/>
  <c r="O281" i="2" s="1"/>
  <c r="R281" i="2" s="1"/>
  <c r="H321" i="2"/>
  <c r="H283" i="2"/>
  <c r="H409" i="2"/>
  <c r="H464" i="2"/>
  <c r="U464" i="2" s="1"/>
  <c r="V464" i="2" s="1"/>
  <c r="H286" i="2"/>
  <c r="U286" i="2" s="1"/>
  <c r="V286" i="2" s="1"/>
  <c r="H287" i="2"/>
  <c r="U287" i="2" s="1"/>
  <c r="V287" i="2" s="1"/>
  <c r="H220" i="2"/>
  <c r="U220" i="2" s="1"/>
  <c r="V220" i="2" s="1"/>
  <c r="H428" i="2"/>
  <c r="H44" i="2"/>
  <c r="H291" i="2"/>
  <c r="U291" i="2" s="1"/>
  <c r="V291" i="2" s="1"/>
  <c r="H292" i="2"/>
  <c r="U292" i="2" s="1"/>
  <c r="V292" i="2" s="1"/>
  <c r="H293" i="2"/>
  <c r="O293" i="2" s="1"/>
  <c r="R293" i="2" s="1"/>
  <c r="H294" i="2"/>
  <c r="H40" i="2"/>
  <c r="H296" i="2"/>
  <c r="H297" i="2"/>
  <c r="U297" i="2" s="1"/>
  <c r="V297" i="2" s="1"/>
  <c r="H143" i="2"/>
  <c r="U143" i="2" s="1"/>
  <c r="V143" i="2" s="1"/>
  <c r="H289" i="2"/>
  <c r="H300" i="2"/>
  <c r="H116" i="2"/>
  <c r="H444" i="2"/>
  <c r="H29" i="2"/>
  <c r="U29" i="2" s="1"/>
  <c r="V29" i="2" s="1"/>
  <c r="H299" i="2"/>
  <c r="U299" i="2" s="1"/>
  <c r="V299" i="2" s="1"/>
  <c r="H305" i="2"/>
  <c r="H26" i="2"/>
  <c r="U26" i="2" s="1"/>
  <c r="V26" i="2" s="1"/>
  <c r="H282" i="2"/>
  <c r="H308" i="2"/>
  <c r="H117" i="2"/>
  <c r="U117" i="2" s="1"/>
  <c r="V117" i="2" s="1"/>
  <c r="H310" i="2"/>
  <c r="U310" i="2" s="1"/>
  <c r="V310" i="2" s="1"/>
  <c r="H311" i="2"/>
  <c r="H306" i="2"/>
  <c r="U306" i="2" s="1"/>
  <c r="V306" i="2" s="1"/>
  <c r="H32" i="2"/>
  <c r="H314" i="2"/>
  <c r="H315" i="2"/>
  <c r="U315" i="2" s="1"/>
  <c r="V315" i="2" s="1"/>
  <c r="H316" i="2"/>
  <c r="U316" i="2" s="1"/>
  <c r="V316" i="2" s="1"/>
  <c r="H284" i="2"/>
  <c r="H318" i="2"/>
  <c r="U318" i="2" s="1"/>
  <c r="V318" i="2" s="1"/>
  <c r="H319" i="2"/>
  <c r="U319" i="2" s="1"/>
  <c r="V319" i="2" s="1"/>
  <c r="H320" i="2"/>
  <c r="U320" i="2" s="1"/>
  <c r="V320" i="2" s="1"/>
  <c r="H39" i="2"/>
  <c r="U39" i="2" s="1"/>
  <c r="V39" i="2" s="1"/>
  <c r="H419" i="2"/>
  <c r="U419" i="2" s="1"/>
  <c r="V419" i="2" s="1"/>
  <c r="H119" i="2"/>
  <c r="H324" i="2"/>
  <c r="H325" i="2"/>
  <c r="O325" i="2" s="1"/>
  <c r="R325" i="2" s="1"/>
  <c r="H326" i="2"/>
  <c r="H327" i="2"/>
  <c r="U327" i="2" s="1"/>
  <c r="V327" i="2" s="1"/>
  <c r="H328" i="2"/>
  <c r="U328" i="2" s="1"/>
  <c r="V328" i="2" s="1"/>
  <c r="H268" i="2"/>
  <c r="H330" i="2"/>
  <c r="H4" i="2"/>
  <c r="H332" i="2"/>
  <c r="H333" i="2"/>
  <c r="U333" i="2" s="1"/>
  <c r="V333" i="2" s="1"/>
  <c r="H430" i="2"/>
  <c r="H259" i="2"/>
  <c r="U259" i="2" s="1"/>
  <c r="V259" i="2" s="1"/>
  <c r="H336" i="2"/>
  <c r="H68" i="2"/>
  <c r="H338" i="2"/>
  <c r="N338" i="2" s="1"/>
  <c r="H339" i="2"/>
  <c r="U339" i="2" s="1"/>
  <c r="V339" i="2" s="1"/>
  <c r="H80" i="2"/>
  <c r="U80" i="2" s="1"/>
  <c r="V80" i="2" s="1"/>
  <c r="H94" i="2"/>
  <c r="H342" i="2"/>
  <c r="H10" i="2"/>
  <c r="H344" i="2"/>
  <c r="H114" i="2"/>
  <c r="U114" i="2" s="1"/>
  <c r="V114" i="2" s="1"/>
  <c r="H385" i="2"/>
  <c r="U385" i="2" s="1"/>
  <c r="V385" i="2" s="1"/>
  <c r="H347" i="2"/>
  <c r="H348" i="2"/>
  <c r="U348" i="2" s="1"/>
  <c r="V348" i="2" s="1"/>
  <c r="H25" i="2"/>
  <c r="H350" i="2"/>
  <c r="O350" i="2" s="1"/>
  <c r="R350" i="2" s="1"/>
  <c r="H351" i="2"/>
  <c r="U351" i="2" s="1"/>
  <c r="V351" i="2" s="1"/>
  <c r="H495" i="2"/>
  <c r="U495" i="2" s="1"/>
  <c r="V495" i="2" s="1"/>
  <c r="H353" i="2"/>
  <c r="U353" i="2" s="1"/>
  <c r="V353" i="2" s="1"/>
  <c r="H354" i="2"/>
  <c r="U354" i="2" s="1"/>
  <c r="V354" i="2" s="1"/>
  <c r="H355" i="2"/>
  <c r="H356" i="2"/>
  <c r="H357" i="2"/>
  <c r="U357" i="2" s="1"/>
  <c r="V357" i="2" s="1"/>
  <c r="H57" i="2"/>
  <c r="U57" i="2" s="1"/>
  <c r="V57" i="2" s="1"/>
  <c r="H359" i="2"/>
  <c r="H132" i="2"/>
  <c r="U132" i="2" s="1"/>
  <c r="V132" i="2" s="1"/>
  <c r="H317" i="2"/>
  <c r="H213" i="2"/>
  <c r="H74" i="2"/>
  <c r="U74" i="2" s="1"/>
  <c r="V74" i="2" s="1"/>
  <c r="H364" i="2"/>
  <c r="U364" i="2" s="1"/>
  <c r="V364" i="2" s="1"/>
  <c r="H246" i="2"/>
  <c r="H193" i="2"/>
  <c r="U193" i="2" s="1"/>
  <c r="V193" i="2" s="1"/>
  <c r="H367" i="2"/>
  <c r="U367" i="2" s="1"/>
  <c r="V367" i="2" s="1"/>
  <c r="H368" i="2"/>
  <c r="H369" i="2"/>
  <c r="U369" i="2" s="1"/>
  <c r="V369" i="2" s="1"/>
  <c r="H370" i="2"/>
  <c r="N370" i="2" s="1"/>
  <c r="H189" i="2"/>
  <c r="H372" i="2"/>
  <c r="H373" i="2"/>
  <c r="H309" i="2"/>
  <c r="U309" i="2" s="1"/>
  <c r="V309" i="2" s="1"/>
  <c r="H160" i="2"/>
  <c r="U160" i="2" s="1"/>
  <c r="V160" i="2" s="1"/>
  <c r="H376" i="2"/>
  <c r="U376" i="2" s="1"/>
  <c r="V376" i="2" s="1"/>
  <c r="H366" i="2"/>
  <c r="H378" i="2"/>
  <c r="H19" i="2"/>
  <c r="H380" i="2"/>
  <c r="H140" i="2"/>
  <c r="U140" i="2" s="1"/>
  <c r="V140" i="2" s="1"/>
  <c r="H382" i="2"/>
  <c r="U382" i="2" s="1"/>
  <c r="V382" i="2" s="1"/>
  <c r="H16" i="2"/>
  <c r="U16" i="2" s="1"/>
  <c r="V16" i="2" s="1"/>
  <c r="H108" i="2"/>
  <c r="U108" i="2" s="1"/>
  <c r="V108" i="2" s="1"/>
  <c r="H412" i="2"/>
  <c r="H386" i="2"/>
  <c r="H423" i="2"/>
  <c r="U423" i="2" s="1"/>
  <c r="V423" i="2" s="1"/>
  <c r="H388" i="2"/>
  <c r="U388" i="2" s="1"/>
  <c r="V388" i="2" s="1"/>
  <c r="H389" i="2"/>
  <c r="O389" i="2" s="1"/>
  <c r="R389" i="2" s="1"/>
  <c r="H390" i="2"/>
  <c r="H391" i="2"/>
  <c r="H392" i="2"/>
  <c r="H393" i="2"/>
  <c r="U393" i="2" s="1"/>
  <c r="V393" i="2" s="1"/>
  <c r="H394" i="2"/>
  <c r="U394" i="2" s="1"/>
  <c r="V394" i="2" s="1"/>
  <c r="H395" i="2"/>
  <c r="N395" i="2" s="1"/>
  <c r="H396" i="2"/>
  <c r="H203" i="2"/>
  <c r="H334" i="2"/>
  <c r="H399" i="2"/>
  <c r="U399" i="2" s="1"/>
  <c r="V399" i="2" s="1"/>
  <c r="H384" i="2"/>
  <c r="U384" i="2" s="1"/>
  <c r="V384" i="2" s="1"/>
  <c r="H401" i="2"/>
  <c r="H402" i="2"/>
  <c r="U402" i="2" s="1"/>
  <c r="V402" i="2" s="1"/>
  <c r="H403" i="2"/>
  <c r="H404" i="2"/>
  <c r="H302" i="2"/>
  <c r="U302" i="2" s="1"/>
  <c r="V302" i="2" s="1"/>
  <c r="H371" i="2"/>
  <c r="U371" i="2" s="1"/>
  <c r="V371" i="2" s="1"/>
  <c r="H198" i="2"/>
  <c r="H408" i="2"/>
  <c r="U408" i="2" s="1"/>
  <c r="V408" i="2" s="1"/>
  <c r="H69" i="2"/>
  <c r="O69" i="2" s="1"/>
  <c r="H410" i="2"/>
  <c r="H411" i="2"/>
  <c r="U411" i="2" s="1"/>
  <c r="V411" i="2" s="1"/>
  <c r="H262" i="2"/>
  <c r="U262" i="2" s="1"/>
  <c r="V262" i="2" s="1"/>
  <c r="H24" i="2"/>
  <c r="H166" i="2"/>
  <c r="U166" i="2" s="1"/>
  <c r="V166" i="2" s="1"/>
  <c r="H341" i="2"/>
  <c r="U341" i="2" s="1"/>
  <c r="V341" i="2" s="1"/>
  <c r="H449" i="2"/>
  <c r="U449" i="2" s="1"/>
  <c r="V449" i="2" s="1"/>
  <c r="H349" i="2"/>
  <c r="U349" i="2" s="1"/>
  <c r="V349" i="2" s="1"/>
  <c r="H418" i="2"/>
  <c r="U418" i="2" s="1"/>
  <c r="V418" i="2" s="1"/>
  <c r="H468" i="2"/>
  <c r="H224" i="2"/>
  <c r="H421" i="2"/>
  <c r="O421" i="2" s="1"/>
  <c r="H422" i="2"/>
  <c r="H13" i="2"/>
  <c r="U13" i="2" s="1"/>
  <c r="V13" i="2" s="1"/>
  <c r="H229" i="2"/>
  <c r="U229" i="2" s="1"/>
  <c r="V229" i="2" s="1"/>
  <c r="H441" i="2"/>
  <c r="H426" i="2"/>
  <c r="H427" i="2"/>
  <c r="H360" i="2"/>
  <c r="H72" i="2"/>
  <c r="U72" i="2" s="1"/>
  <c r="V72" i="2" s="1"/>
  <c r="H484" i="2"/>
  <c r="N484" i="2" s="1"/>
  <c r="H460" i="2"/>
  <c r="U460" i="2" s="1"/>
  <c r="V460" i="2" s="1"/>
  <c r="H358" i="2"/>
  <c r="N358" i="2" s="1"/>
  <c r="H270" i="2"/>
  <c r="H434" i="2"/>
  <c r="H435" i="2"/>
  <c r="U435" i="2" s="1"/>
  <c r="V435" i="2" s="1"/>
  <c r="H436" i="2"/>
  <c r="U436" i="2" s="1"/>
  <c r="V436" i="2" s="1"/>
  <c r="H437" i="2"/>
  <c r="O437" i="2" s="1"/>
  <c r="R437" i="2" s="1"/>
  <c r="H254" i="2"/>
  <c r="H439" i="2"/>
  <c r="H440" i="2"/>
  <c r="H64" i="2"/>
  <c r="U64" i="2" s="1"/>
  <c r="V64" i="2" s="1"/>
  <c r="H442" i="2"/>
  <c r="U442" i="2" s="1"/>
  <c r="V442" i="2" s="1"/>
  <c r="H443" i="2"/>
  <c r="H482" i="2"/>
  <c r="H445" i="2"/>
  <c r="H37" i="2"/>
  <c r="H447" i="2"/>
  <c r="U447" i="2" s="1"/>
  <c r="V447" i="2" s="1"/>
  <c r="H448" i="2"/>
  <c r="U448" i="2" s="1"/>
  <c r="V448" i="2" s="1"/>
  <c r="H122" i="2"/>
  <c r="H450" i="2"/>
  <c r="H187" i="2"/>
  <c r="H245" i="2"/>
  <c r="H453" i="2"/>
  <c r="U453" i="2" s="1"/>
  <c r="V453" i="2" s="1"/>
  <c r="H62" i="2"/>
  <c r="U62" i="2" s="1"/>
  <c r="V62" i="2" s="1"/>
  <c r="H126" i="2"/>
  <c r="H456" i="2"/>
  <c r="H274" i="2"/>
  <c r="O274" i="2" s="1"/>
  <c r="H458" i="2"/>
  <c r="H150" i="2"/>
  <c r="U150" i="2" s="1"/>
  <c r="V150" i="2" s="1"/>
  <c r="H301" i="2"/>
  <c r="U301" i="2" s="1"/>
  <c r="V301" i="2" s="1"/>
  <c r="H461" i="2"/>
  <c r="N461" i="2" s="1"/>
  <c r="H462" i="2"/>
  <c r="U462" i="2" s="1"/>
  <c r="V462" i="2" s="1"/>
  <c r="H492" i="2"/>
  <c r="H11" i="2"/>
  <c r="H465" i="2"/>
  <c r="U465" i="2" s="1"/>
  <c r="V465" i="2" s="1"/>
  <c r="H222" i="2"/>
  <c r="H467" i="2"/>
  <c r="H340" i="2"/>
  <c r="H469" i="2"/>
  <c r="H470" i="2"/>
  <c r="H278" i="2"/>
  <c r="U278" i="2" s="1"/>
  <c r="V278" i="2" s="1"/>
  <c r="H162" i="2"/>
  <c r="U162" i="2" s="1"/>
  <c r="V162" i="2" s="1"/>
  <c r="H473" i="2"/>
  <c r="U473" i="2" s="1"/>
  <c r="V473" i="2" s="1"/>
  <c r="H474" i="2"/>
  <c r="U474" i="2" s="1"/>
  <c r="V474" i="2" s="1"/>
  <c r="H475" i="2"/>
  <c r="U475" i="2" s="1"/>
  <c r="V475" i="2" s="1"/>
  <c r="H476" i="2"/>
  <c r="U476" i="2" s="1"/>
  <c r="V476" i="2" s="1"/>
  <c r="H477" i="2"/>
  <c r="U477" i="2" s="1"/>
  <c r="V477" i="2" s="1"/>
  <c r="H478" i="2"/>
  <c r="U478" i="2" s="1"/>
  <c r="V478" i="2" s="1"/>
  <c r="H479" i="2"/>
  <c r="H241" i="2"/>
  <c r="H337" i="2"/>
  <c r="H192" i="2"/>
  <c r="H155" i="2"/>
  <c r="U155" i="2" s="1"/>
  <c r="V155" i="2" s="1"/>
  <c r="H169" i="2"/>
  <c r="U169" i="2" s="1"/>
  <c r="V169" i="2" s="1"/>
  <c r="H485" i="2"/>
  <c r="O485" i="2" s="1"/>
  <c r="R485" i="2" s="1"/>
  <c r="H379" i="2"/>
  <c r="H487" i="2"/>
  <c r="U487" i="2" s="1"/>
  <c r="V487" i="2" s="1"/>
  <c r="H365" i="2"/>
  <c r="U365" i="2" s="1"/>
  <c r="V365" i="2" s="1"/>
  <c r="H489" i="2"/>
  <c r="H454" i="2"/>
  <c r="H491" i="2"/>
  <c r="N491" i="2" s="1"/>
  <c r="H159" i="2"/>
  <c r="N159" i="2" s="1"/>
  <c r="H363" i="2"/>
  <c r="O363" i="2" s="1"/>
  <c r="H290" i="2"/>
  <c r="H346" i="2"/>
  <c r="U346" i="2" s="1"/>
  <c r="V346" i="2" s="1"/>
  <c r="H496" i="2"/>
  <c r="U496" i="2" s="1"/>
  <c r="V496" i="2" s="1"/>
  <c r="H387" i="2"/>
  <c r="H488" i="2"/>
  <c r="H432" i="2"/>
  <c r="H500" i="2"/>
  <c r="O500" i="2" s="1"/>
  <c r="H501" i="2"/>
  <c r="U501" i="2" s="1"/>
  <c r="V501" i="2" s="1"/>
  <c r="G502" i="2"/>
  <c r="F502" i="2"/>
  <c r="U502" i="2" s="1"/>
  <c r="AY32" i="2"/>
  <c r="AY31" i="2"/>
  <c r="AY30" i="2"/>
  <c r="AX31" i="2"/>
  <c r="AX32" i="2"/>
  <c r="AX30" i="2"/>
  <c r="AZ31" i="2"/>
  <c r="AZ30" i="2"/>
  <c r="AZ32" i="2"/>
  <c r="Q306" i="2" l="1"/>
  <c r="N119" i="2"/>
  <c r="Q341" i="2"/>
  <c r="Q241" i="2"/>
  <c r="Q371" i="2"/>
  <c r="Q234" i="2"/>
  <c r="Q492" i="2"/>
  <c r="Q19" i="2"/>
  <c r="Q201" i="2"/>
  <c r="Q379" i="2"/>
  <c r="Q166" i="2"/>
  <c r="Q26" i="2"/>
  <c r="Q110" i="2"/>
  <c r="Q323" i="2"/>
  <c r="Q387" i="2"/>
  <c r="Q284" i="2"/>
  <c r="Q255" i="2"/>
  <c r="Q278" i="2"/>
  <c r="Q74" i="2"/>
  <c r="Q381" i="2"/>
  <c r="Q256" i="2"/>
  <c r="Q454" i="2"/>
  <c r="Q143" i="2"/>
  <c r="Q105" i="2"/>
  <c r="Q4" i="2"/>
  <c r="Q139" i="2"/>
  <c r="Q254" i="2"/>
  <c r="Q223" i="2"/>
  <c r="Q463" i="2"/>
  <c r="Q441" i="2"/>
  <c r="Q268" i="2"/>
  <c r="O432" i="2"/>
  <c r="Q346" i="2"/>
  <c r="Q29" i="2"/>
  <c r="Q352" i="2"/>
  <c r="Q309" i="2"/>
  <c r="Q11" i="2"/>
  <c r="Q240" i="2"/>
  <c r="O122" i="2"/>
  <c r="O441" i="2"/>
  <c r="O366" i="2"/>
  <c r="O94" i="2"/>
  <c r="O284" i="2"/>
  <c r="O255" i="2"/>
  <c r="Q203" i="2"/>
  <c r="Q340" i="2"/>
  <c r="N270" i="2"/>
  <c r="O25" i="2"/>
  <c r="O32" i="2"/>
  <c r="N116" i="2"/>
  <c r="Q64" i="2"/>
  <c r="Q72" i="2"/>
  <c r="Q349" i="2"/>
  <c r="Q114" i="2"/>
  <c r="Q39" i="2"/>
  <c r="Q117" i="2"/>
  <c r="Q464" i="2"/>
  <c r="Q420" i="2"/>
  <c r="Q206" i="2"/>
  <c r="Q10" i="2"/>
  <c r="Q40" i="2"/>
  <c r="Q88" i="2"/>
  <c r="Q221" i="2"/>
  <c r="O151" i="2"/>
  <c r="Q321" i="2"/>
  <c r="Q217" i="2"/>
  <c r="Q413" i="2"/>
  <c r="Q122" i="2"/>
  <c r="Q366" i="2"/>
  <c r="Q94" i="2"/>
  <c r="Q202" i="2"/>
  <c r="Q433" i="2"/>
  <c r="Q455" i="2"/>
  <c r="Q493" i="2"/>
  <c r="Q312" i="2"/>
  <c r="Q169" i="2"/>
  <c r="Q162" i="2"/>
  <c r="Q384" i="2"/>
  <c r="Q80" i="2"/>
  <c r="Q208" i="2"/>
  <c r="Q18" i="2"/>
  <c r="Q49" i="2"/>
  <c r="Q52" i="2"/>
  <c r="Q150" i="2"/>
  <c r="Q12" i="2"/>
  <c r="Q44" i="2"/>
  <c r="Q498" i="2"/>
  <c r="Q405" i="2"/>
  <c r="Q69" i="2"/>
  <c r="Q68" i="2"/>
  <c r="Q159" i="2"/>
  <c r="Q358" i="2"/>
  <c r="Q460" i="2"/>
  <c r="Q189" i="2"/>
  <c r="Q259" i="2"/>
  <c r="Q438" i="2"/>
  <c r="O387" i="2"/>
  <c r="Q385" i="2"/>
  <c r="Q183" i="2"/>
  <c r="Q92" i="2"/>
  <c r="Q369" i="2"/>
  <c r="N179" i="2"/>
  <c r="Q475" i="2"/>
  <c r="Q355" i="2"/>
  <c r="Q319" i="2"/>
  <c r="Q177" i="2"/>
  <c r="Q426" i="2"/>
  <c r="Q429" i="2"/>
  <c r="Q473" i="2"/>
  <c r="Q229" i="2"/>
  <c r="Q423" i="2"/>
  <c r="Q322" i="2"/>
  <c r="Q472" i="2"/>
  <c r="Q247" i="2"/>
  <c r="Q410" i="2"/>
  <c r="Q213" i="2"/>
  <c r="Q398" i="2"/>
  <c r="Q194" i="2"/>
  <c r="Q480" i="2"/>
  <c r="Q86" i="2"/>
  <c r="Q50" i="2"/>
  <c r="Q457" i="2"/>
  <c r="O24" i="2"/>
  <c r="N401" i="2"/>
  <c r="O246" i="2"/>
  <c r="O268" i="2"/>
  <c r="N305" i="2"/>
  <c r="N202" i="2"/>
  <c r="O493" i="2"/>
  <c r="Q363" i="2"/>
  <c r="Q337" i="2"/>
  <c r="Q274" i="2"/>
  <c r="Q445" i="2"/>
  <c r="Q270" i="2"/>
  <c r="Q421" i="2"/>
  <c r="Q412" i="2"/>
  <c r="Q317" i="2"/>
  <c r="Q25" i="2"/>
  <c r="Q32" i="2"/>
  <c r="Q116" i="2"/>
  <c r="Q428" i="2"/>
  <c r="Q277" i="2"/>
  <c r="Q253" i="2"/>
  <c r="Q148" i="2"/>
  <c r="Q282" i="2"/>
  <c r="Q353" i="2"/>
  <c r="Q233" i="2"/>
  <c r="Q53" i="2"/>
  <c r="Q75" i="2"/>
  <c r="Q411" i="2"/>
  <c r="Q147" i="2"/>
  <c r="Q99" i="2"/>
  <c r="Q27" i="2"/>
  <c r="Q37" i="2"/>
  <c r="Q444" i="2"/>
  <c r="Q415" i="2"/>
  <c r="Q288" i="2"/>
  <c r="Q494" i="2"/>
  <c r="Q313" i="2"/>
  <c r="Q38" i="2"/>
  <c r="Q482" i="2"/>
  <c r="Q224" i="2"/>
  <c r="Q108" i="2"/>
  <c r="Q372" i="2"/>
  <c r="Q132" i="2"/>
  <c r="Q348" i="2"/>
  <c r="Q336" i="2"/>
  <c r="Q220" i="2"/>
  <c r="Q252" i="2"/>
  <c r="Q226" i="2"/>
  <c r="Q228" i="2"/>
  <c r="Q486" i="2"/>
  <c r="Q180" i="2"/>
  <c r="Q168" i="2"/>
  <c r="Q156" i="2"/>
  <c r="Q250" i="2"/>
  <c r="Q416" i="2"/>
  <c r="Q84" i="2"/>
  <c r="O374" i="2"/>
  <c r="Q488" i="2"/>
  <c r="Q193" i="2"/>
  <c r="Q24" i="2"/>
  <c r="Q246" i="2"/>
  <c r="Q54" i="2"/>
  <c r="Q17" i="2"/>
  <c r="Q316" i="2"/>
  <c r="Q155" i="2"/>
  <c r="Q406" i="2"/>
  <c r="Q70" i="2"/>
  <c r="Q15" i="2"/>
  <c r="O488" i="2"/>
  <c r="Q470" i="2"/>
  <c r="Q152" i="2"/>
  <c r="Q239" i="2"/>
  <c r="Q2" i="2"/>
  <c r="Q491" i="2"/>
  <c r="Q467" i="2"/>
  <c r="Q126" i="2"/>
  <c r="Q468" i="2"/>
  <c r="Q198" i="2"/>
  <c r="Q395" i="2"/>
  <c r="Q16" i="2"/>
  <c r="Q359" i="2"/>
  <c r="Q119" i="2"/>
  <c r="Q289" i="2"/>
  <c r="Q287" i="2"/>
  <c r="Q275" i="2"/>
  <c r="Q227" i="2"/>
  <c r="Q215" i="2"/>
  <c r="Q218" i="2"/>
  <c r="Q131" i="2"/>
  <c r="Q95" i="2"/>
  <c r="Q374" i="2"/>
  <c r="Q35" i="2"/>
  <c r="N324" i="2"/>
  <c r="N300" i="2"/>
  <c r="N156" i="2"/>
  <c r="Q308" i="2"/>
  <c r="Q187" i="2"/>
  <c r="Q115" i="2"/>
  <c r="Q55" i="2"/>
  <c r="Q135" i="2"/>
  <c r="Q113" i="2"/>
  <c r="Q301" i="2"/>
  <c r="Q262" i="2"/>
  <c r="Q299" i="2"/>
  <c r="Q196" i="2"/>
  <c r="Q351" i="2"/>
  <c r="Q315" i="2"/>
  <c r="Q291" i="2"/>
  <c r="Q138" i="2"/>
  <c r="Q207" i="2"/>
  <c r="Q192" i="2"/>
  <c r="Q386" i="2"/>
  <c r="Q314" i="2"/>
  <c r="O290" i="2"/>
  <c r="N192" i="2"/>
  <c r="O458" i="2"/>
  <c r="R458" i="2" s="1"/>
  <c r="N37" i="2"/>
  <c r="O422" i="2"/>
  <c r="O314" i="2"/>
  <c r="O415" i="2"/>
  <c r="N242" i="2"/>
  <c r="O288" i="2"/>
  <c r="N152" i="2"/>
  <c r="Q222" i="2"/>
  <c r="Q62" i="2"/>
  <c r="Q442" i="2"/>
  <c r="Q484" i="2"/>
  <c r="Q382" i="2"/>
  <c r="Q57" i="2"/>
  <c r="Q430" i="2"/>
  <c r="Q419" i="2"/>
  <c r="Q286" i="2"/>
  <c r="Q499" i="2"/>
  <c r="Q151" i="2"/>
  <c r="Q154" i="2"/>
  <c r="Q190" i="2"/>
  <c r="Q414" i="2"/>
  <c r="Q118" i="2"/>
  <c r="Q170" i="2"/>
  <c r="Q375" i="2"/>
  <c r="U290" i="2"/>
  <c r="V290" i="2" s="1"/>
  <c r="U363" i="2"/>
  <c r="V363" i="2" s="1"/>
  <c r="V502" i="2"/>
  <c r="U190" i="2"/>
  <c r="V190" i="2" s="1"/>
  <c r="U374" i="2"/>
  <c r="V374" i="2" s="1"/>
  <c r="U46" i="2"/>
  <c r="V46" i="2" s="1"/>
  <c r="U106" i="2"/>
  <c r="V106" i="2" s="1"/>
  <c r="U491" i="2"/>
  <c r="V491" i="2" s="1"/>
  <c r="U159" i="2"/>
  <c r="V159" i="2" s="1"/>
  <c r="U395" i="2"/>
  <c r="V395" i="2" s="1"/>
  <c r="U500" i="2"/>
  <c r="V500" i="2" s="1"/>
  <c r="U432" i="2"/>
  <c r="V432" i="2" s="1"/>
  <c r="U338" i="2"/>
  <c r="V338" i="2" s="1"/>
  <c r="U488" i="2"/>
  <c r="V488" i="2" s="1"/>
  <c r="U387" i="2"/>
  <c r="V387" i="2" s="1"/>
  <c r="U242" i="2"/>
  <c r="V242" i="2" s="1"/>
  <c r="U107" i="2"/>
  <c r="V107" i="2" s="1"/>
  <c r="U493" i="2"/>
  <c r="V493" i="2" s="1"/>
  <c r="U284" i="2"/>
  <c r="V284" i="2" s="1"/>
  <c r="U485" i="2"/>
  <c r="V485" i="2" s="1"/>
  <c r="U401" i="2"/>
  <c r="V401" i="2" s="1"/>
  <c r="U366" i="2"/>
  <c r="V366" i="2" s="1"/>
  <c r="U461" i="2"/>
  <c r="V461" i="2" s="1"/>
  <c r="U246" i="2"/>
  <c r="V246" i="2" s="1"/>
  <c r="U255" i="2"/>
  <c r="V255" i="2" s="1"/>
  <c r="U288" i="2"/>
  <c r="V288" i="2" s="1"/>
  <c r="U441" i="2"/>
  <c r="V441" i="2" s="1"/>
  <c r="U24" i="2"/>
  <c r="V24" i="2" s="1"/>
  <c r="U305" i="2"/>
  <c r="V305" i="2" s="1"/>
  <c r="U458" i="2"/>
  <c r="V458" i="2" s="1"/>
  <c r="U389" i="2"/>
  <c r="V389" i="2" s="1"/>
  <c r="U293" i="2"/>
  <c r="V293" i="2" s="1"/>
  <c r="U192" i="2"/>
  <c r="V192" i="2" s="1"/>
  <c r="U281" i="2"/>
  <c r="V281" i="2" s="1"/>
  <c r="U134" i="2"/>
  <c r="V134" i="2" s="1"/>
  <c r="U202" i="2"/>
  <c r="V202" i="2" s="1"/>
  <c r="U152" i="2"/>
  <c r="V152" i="2" s="1"/>
  <c r="U122" i="2"/>
  <c r="V122" i="2" s="1"/>
  <c r="U94" i="2"/>
  <c r="V94" i="2" s="1"/>
  <c r="U156" i="2"/>
  <c r="V156" i="2" s="1"/>
  <c r="N454" i="2"/>
  <c r="U454" i="2"/>
  <c r="V454" i="2" s="1"/>
  <c r="N222" i="2"/>
  <c r="U222" i="2"/>
  <c r="V222" i="2" s="1"/>
  <c r="N430" i="2"/>
  <c r="U430" i="2"/>
  <c r="V430" i="2" s="1"/>
  <c r="N499" i="2"/>
  <c r="U499" i="2"/>
  <c r="V499" i="2" s="1"/>
  <c r="U484" i="2"/>
  <c r="V484" i="2" s="1"/>
  <c r="U325" i="2"/>
  <c r="V325" i="2" s="1"/>
  <c r="N11" i="2"/>
  <c r="U11" i="2"/>
  <c r="V11" i="2" s="1"/>
  <c r="O245" i="2"/>
  <c r="U245" i="2"/>
  <c r="V245" i="2" s="1"/>
  <c r="O440" i="2"/>
  <c r="U440" i="2"/>
  <c r="V440" i="2" s="1"/>
  <c r="O360" i="2"/>
  <c r="U360" i="2"/>
  <c r="V360" i="2" s="1"/>
  <c r="O404" i="2"/>
  <c r="R404" i="2" s="1"/>
  <c r="U404" i="2"/>
  <c r="V404" i="2" s="1"/>
  <c r="O392" i="2"/>
  <c r="R392" i="2" s="1"/>
  <c r="U392" i="2"/>
  <c r="V392" i="2" s="1"/>
  <c r="O380" i="2"/>
  <c r="R380" i="2" s="1"/>
  <c r="U380" i="2"/>
  <c r="V380" i="2" s="1"/>
  <c r="N368" i="2"/>
  <c r="U368" i="2"/>
  <c r="V368" i="2" s="1"/>
  <c r="O356" i="2"/>
  <c r="R356" i="2" s="1"/>
  <c r="U356" i="2"/>
  <c r="V356" i="2" s="1"/>
  <c r="O344" i="2"/>
  <c r="U344" i="2"/>
  <c r="V344" i="2" s="1"/>
  <c r="O332" i="2"/>
  <c r="R332" i="2" s="1"/>
  <c r="U332" i="2"/>
  <c r="V332" i="2" s="1"/>
  <c r="O308" i="2"/>
  <c r="R308" i="2" s="1"/>
  <c r="U308" i="2"/>
  <c r="V308" i="2" s="1"/>
  <c r="O296" i="2"/>
  <c r="U296" i="2"/>
  <c r="V296" i="2" s="1"/>
  <c r="O409" i="2"/>
  <c r="U409" i="2"/>
  <c r="V409" i="2" s="1"/>
  <c r="N272" i="2"/>
  <c r="U272" i="2"/>
  <c r="V272" i="2" s="1"/>
  <c r="O105" i="2"/>
  <c r="U105" i="2"/>
  <c r="V105" i="2" s="1"/>
  <c r="O248" i="2"/>
  <c r="R248" i="2" s="1"/>
  <c r="U248" i="2"/>
  <c r="V248" i="2" s="1"/>
  <c r="O377" i="2"/>
  <c r="R366" i="2" s="1"/>
  <c r="U377" i="2"/>
  <c r="V377" i="2" s="1"/>
  <c r="O188" i="2"/>
  <c r="U188" i="2"/>
  <c r="V188" i="2" s="1"/>
  <c r="N335" i="2"/>
  <c r="U335" i="2"/>
  <c r="V335" i="2" s="1"/>
  <c r="O87" i="2"/>
  <c r="U87" i="2"/>
  <c r="V87" i="2" s="1"/>
  <c r="O459" i="2"/>
  <c r="U459" i="2"/>
  <c r="V459" i="2" s="1"/>
  <c r="O343" i="2"/>
  <c r="U343" i="2"/>
  <c r="V343" i="2" s="1"/>
  <c r="O104" i="2"/>
  <c r="U104" i="2"/>
  <c r="V104" i="2" s="1"/>
  <c r="O407" i="2"/>
  <c r="U407" i="2"/>
  <c r="V407" i="2" s="1"/>
  <c r="N77" i="2"/>
  <c r="U77" i="2"/>
  <c r="V77" i="2" s="1"/>
  <c r="O209" i="2"/>
  <c r="U209" i="2"/>
  <c r="V209" i="2" s="1"/>
  <c r="O361" i="2"/>
  <c r="U361" i="2"/>
  <c r="V361" i="2" s="1"/>
  <c r="Q364" i="2"/>
  <c r="Q495" i="2"/>
  <c r="Q185" i="2"/>
  <c r="Q397" i="2"/>
  <c r="Q184" i="2"/>
  <c r="Q172" i="2"/>
  <c r="Q263" i="2"/>
  <c r="Q136" i="2"/>
  <c r="Q112" i="2"/>
  <c r="Q121" i="2"/>
  <c r="Q176" i="2"/>
  <c r="U422" i="2"/>
  <c r="V422" i="2" s="1"/>
  <c r="U324" i="2"/>
  <c r="V324" i="2" s="1"/>
  <c r="N445" i="2"/>
  <c r="U445" i="2"/>
  <c r="V445" i="2" s="1"/>
  <c r="N412" i="2"/>
  <c r="U412" i="2"/>
  <c r="V412" i="2" s="1"/>
  <c r="O340" i="2"/>
  <c r="U340" i="2"/>
  <c r="V340" i="2" s="1"/>
  <c r="O456" i="2"/>
  <c r="R456" i="2" s="1"/>
  <c r="U456" i="2"/>
  <c r="V456" i="2" s="1"/>
  <c r="N224" i="2"/>
  <c r="U224" i="2"/>
  <c r="V224" i="2" s="1"/>
  <c r="N396" i="2"/>
  <c r="U396" i="2"/>
  <c r="V396" i="2" s="1"/>
  <c r="O264" i="2"/>
  <c r="U264" i="2"/>
  <c r="V264" i="2" s="1"/>
  <c r="N226" i="2"/>
  <c r="U226" i="2"/>
  <c r="V226" i="2" s="1"/>
  <c r="N467" i="2"/>
  <c r="U467" i="2"/>
  <c r="V467" i="2" s="1"/>
  <c r="N189" i="2"/>
  <c r="U189" i="2"/>
  <c r="V189" i="2" s="1"/>
  <c r="N347" i="2"/>
  <c r="U347" i="2"/>
  <c r="V347" i="2" s="1"/>
  <c r="O311" i="2"/>
  <c r="R311" i="2" s="1"/>
  <c r="U311" i="2"/>
  <c r="V311" i="2" s="1"/>
  <c r="N275" i="2"/>
  <c r="U275" i="2"/>
  <c r="V275" i="2" s="1"/>
  <c r="O236" i="2"/>
  <c r="U236" i="2"/>
  <c r="V236" i="2" s="1"/>
  <c r="N218" i="2"/>
  <c r="U218" i="2"/>
  <c r="V218" i="2" s="1"/>
  <c r="O492" i="2"/>
  <c r="U492" i="2"/>
  <c r="V492" i="2" s="1"/>
  <c r="O187" i="2"/>
  <c r="U187" i="2"/>
  <c r="V187" i="2" s="1"/>
  <c r="O427" i="2"/>
  <c r="U427" i="2"/>
  <c r="V427" i="2" s="1"/>
  <c r="O403" i="2"/>
  <c r="U403" i="2"/>
  <c r="V403" i="2" s="1"/>
  <c r="O391" i="2"/>
  <c r="U391" i="2"/>
  <c r="V391" i="2" s="1"/>
  <c r="O355" i="2"/>
  <c r="U355" i="2"/>
  <c r="V355" i="2" s="1"/>
  <c r="O4" i="2"/>
  <c r="U4" i="2"/>
  <c r="V4" i="2" s="1"/>
  <c r="O40" i="2"/>
  <c r="U40" i="2"/>
  <c r="V40" i="2" s="1"/>
  <c r="O201" i="2"/>
  <c r="U201" i="2"/>
  <c r="V201" i="2" s="1"/>
  <c r="O199" i="2"/>
  <c r="U199" i="2"/>
  <c r="V199" i="2" s="1"/>
  <c r="U421" i="2"/>
  <c r="V421" i="2" s="1"/>
  <c r="U119" i="2"/>
  <c r="V119" i="2" s="1"/>
  <c r="U486" i="2"/>
  <c r="V486" i="2" s="1"/>
  <c r="O378" i="2"/>
  <c r="R378" i="2" s="1"/>
  <c r="U378" i="2"/>
  <c r="V378" i="2" s="1"/>
  <c r="O342" i="2"/>
  <c r="R342" i="2" s="1"/>
  <c r="U342" i="2"/>
  <c r="V342" i="2" s="1"/>
  <c r="O330" i="2"/>
  <c r="R330" i="2" s="1"/>
  <c r="U330" i="2"/>
  <c r="V330" i="2" s="1"/>
  <c r="O321" i="2"/>
  <c r="U321" i="2"/>
  <c r="V321" i="2" s="1"/>
  <c r="O135" i="2"/>
  <c r="U135" i="2"/>
  <c r="V135" i="2" s="1"/>
  <c r="O225" i="2"/>
  <c r="U225" i="2"/>
  <c r="V225" i="2" s="1"/>
  <c r="O210" i="2"/>
  <c r="U210" i="2"/>
  <c r="V210" i="2" s="1"/>
  <c r="O223" i="2"/>
  <c r="U223" i="2"/>
  <c r="V223" i="2" s="1"/>
  <c r="O429" i="2"/>
  <c r="U429" i="2"/>
  <c r="V429" i="2" s="1"/>
  <c r="O329" i="2"/>
  <c r="U329" i="2"/>
  <c r="V329" i="2" s="1"/>
  <c r="O463" i="2"/>
  <c r="U463" i="2"/>
  <c r="V463" i="2" s="1"/>
  <c r="O90" i="2"/>
  <c r="R90" i="2" s="1"/>
  <c r="U90" i="2"/>
  <c r="V90" i="2" s="1"/>
  <c r="O66" i="2"/>
  <c r="U66" i="2"/>
  <c r="V66" i="2" s="1"/>
  <c r="Q111" i="2"/>
  <c r="U274" i="2"/>
  <c r="V274" i="2" s="1"/>
  <c r="U314" i="2"/>
  <c r="V314" i="2" s="1"/>
  <c r="O469" i="2"/>
  <c r="R469" i="2" s="1"/>
  <c r="U469" i="2"/>
  <c r="V469" i="2" s="1"/>
  <c r="N68" i="2"/>
  <c r="U68" i="2"/>
  <c r="V68" i="2" s="1"/>
  <c r="U116" i="2"/>
  <c r="V116" i="2" s="1"/>
  <c r="O482" i="2"/>
  <c r="U482" i="2"/>
  <c r="V482" i="2" s="1"/>
  <c r="N180" i="2"/>
  <c r="U180" i="2"/>
  <c r="V180" i="2" s="1"/>
  <c r="U358" i="2"/>
  <c r="V358" i="2" s="1"/>
  <c r="O479" i="2"/>
  <c r="R479" i="2" s="1"/>
  <c r="U479" i="2"/>
  <c r="V479" i="2" s="1"/>
  <c r="N443" i="2"/>
  <c r="U443" i="2"/>
  <c r="V443" i="2" s="1"/>
  <c r="N468" i="2"/>
  <c r="U468" i="2"/>
  <c r="V468" i="2" s="1"/>
  <c r="O359" i="2"/>
  <c r="U359" i="2"/>
  <c r="V359" i="2" s="1"/>
  <c r="N227" i="2"/>
  <c r="U227" i="2"/>
  <c r="V227" i="2" s="1"/>
  <c r="N59" i="2"/>
  <c r="U59" i="2"/>
  <c r="V59" i="2" s="1"/>
  <c r="O47" i="2"/>
  <c r="R47" i="2" s="1"/>
  <c r="U47" i="2"/>
  <c r="V47" i="2" s="1"/>
  <c r="O23" i="2"/>
  <c r="U23" i="2"/>
  <c r="V23" i="2" s="1"/>
  <c r="Q120" i="2"/>
  <c r="O439" i="2"/>
  <c r="R439" i="2" s="1"/>
  <c r="U439" i="2"/>
  <c r="V439" i="2" s="1"/>
  <c r="O10" i="2"/>
  <c r="U10" i="2"/>
  <c r="V10" i="2" s="1"/>
  <c r="O282" i="2"/>
  <c r="U282" i="2"/>
  <c r="V282" i="2" s="1"/>
  <c r="O283" i="2"/>
  <c r="R283" i="2" s="1"/>
  <c r="U283" i="2"/>
  <c r="V283" i="2" s="1"/>
  <c r="O139" i="2"/>
  <c r="U139" i="2"/>
  <c r="V139" i="2" s="1"/>
  <c r="O43" i="2"/>
  <c r="U43" i="2"/>
  <c r="V43" i="2" s="1"/>
  <c r="O120" i="2"/>
  <c r="U120" i="2"/>
  <c r="V120" i="2" s="1"/>
  <c r="U370" i="2"/>
  <c r="V370" i="2" s="1"/>
  <c r="U69" i="2"/>
  <c r="V69" i="2" s="1"/>
  <c r="U32" i="2"/>
  <c r="V32" i="2" s="1"/>
  <c r="U415" i="2"/>
  <c r="V415" i="2" s="1"/>
  <c r="U216" i="2"/>
  <c r="V216" i="2" s="1"/>
  <c r="U179" i="2"/>
  <c r="V179" i="2" s="1"/>
  <c r="O337" i="2"/>
  <c r="U337" i="2"/>
  <c r="V337" i="2" s="1"/>
  <c r="O203" i="2"/>
  <c r="U203" i="2"/>
  <c r="V203" i="2" s="1"/>
  <c r="O373" i="2"/>
  <c r="R373" i="2" s="1"/>
  <c r="U373" i="2"/>
  <c r="V373" i="2" s="1"/>
  <c r="O317" i="2"/>
  <c r="U317" i="2"/>
  <c r="V317" i="2" s="1"/>
  <c r="N428" i="2"/>
  <c r="U428" i="2"/>
  <c r="V428" i="2" s="1"/>
  <c r="N253" i="2"/>
  <c r="U253" i="2"/>
  <c r="V253" i="2" s="1"/>
  <c r="U270" i="2"/>
  <c r="V270" i="2" s="1"/>
  <c r="U25" i="2"/>
  <c r="V25" i="2" s="1"/>
  <c r="O241" i="2"/>
  <c r="U241" i="2"/>
  <c r="V241" i="2" s="1"/>
  <c r="N372" i="2"/>
  <c r="U372" i="2"/>
  <c r="V372" i="2" s="1"/>
  <c r="N336" i="2"/>
  <c r="U336" i="2"/>
  <c r="V336" i="2" s="1"/>
  <c r="N276" i="2"/>
  <c r="U276" i="2"/>
  <c r="V276" i="2" s="1"/>
  <c r="O252" i="2"/>
  <c r="R252" i="2" s="1"/>
  <c r="U252" i="2"/>
  <c r="V252" i="2" s="1"/>
  <c r="N228" i="2"/>
  <c r="U228" i="2"/>
  <c r="V228" i="2" s="1"/>
  <c r="O204" i="2"/>
  <c r="U204" i="2"/>
  <c r="V204" i="2" s="1"/>
  <c r="O168" i="2"/>
  <c r="U168" i="2"/>
  <c r="V168" i="2" s="1"/>
  <c r="U300" i="2"/>
  <c r="V300" i="2" s="1"/>
  <c r="O126" i="2"/>
  <c r="U126" i="2"/>
  <c r="V126" i="2" s="1"/>
  <c r="O198" i="2"/>
  <c r="R198" i="2" s="1"/>
  <c r="U198" i="2"/>
  <c r="V198" i="2" s="1"/>
  <c r="N289" i="2"/>
  <c r="U289" i="2"/>
  <c r="V289" i="2" s="1"/>
  <c r="O438" i="2"/>
  <c r="U438" i="2"/>
  <c r="V438" i="2" s="1"/>
  <c r="N251" i="2"/>
  <c r="U251" i="2"/>
  <c r="V251" i="2" s="1"/>
  <c r="O56" i="2"/>
  <c r="U56" i="2"/>
  <c r="V56" i="2" s="1"/>
  <c r="O167" i="2"/>
  <c r="U167" i="2"/>
  <c r="V167" i="2" s="1"/>
  <c r="N466" i="2"/>
  <c r="U466" i="2"/>
  <c r="V466" i="2" s="1"/>
  <c r="N131" i="2"/>
  <c r="U131" i="2"/>
  <c r="V131" i="2" s="1"/>
  <c r="N83" i="2"/>
  <c r="U83" i="2"/>
  <c r="V83" i="2" s="1"/>
  <c r="N483" i="2"/>
  <c r="U483" i="2"/>
  <c r="V483" i="2" s="1"/>
  <c r="O19" i="2"/>
  <c r="U19" i="2"/>
  <c r="V19" i="2" s="1"/>
  <c r="O88" i="2"/>
  <c r="U88" i="2"/>
  <c r="V88" i="2" s="1"/>
  <c r="O234" i="2"/>
  <c r="U234" i="2"/>
  <c r="V234" i="2" s="1"/>
  <c r="O221" i="2"/>
  <c r="U221" i="2"/>
  <c r="V221" i="2" s="1"/>
  <c r="O67" i="2"/>
  <c r="U67" i="2"/>
  <c r="V67" i="2" s="1"/>
  <c r="O379" i="2"/>
  <c r="U379" i="2"/>
  <c r="V379" i="2" s="1"/>
  <c r="O450" i="2"/>
  <c r="U450" i="2"/>
  <c r="V450" i="2" s="1"/>
  <c r="O254" i="2"/>
  <c r="U254" i="2"/>
  <c r="V254" i="2" s="1"/>
  <c r="O426" i="2"/>
  <c r="U426" i="2"/>
  <c r="V426" i="2" s="1"/>
  <c r="O390" i="2"/>
  <c r="R390" i="2" s="1"/>
  <c r="U390" i="2"/>
  <c r="V390" i="2" s="1"/>
  <c r="O294" i="2"/>
  <c r="U294" i="2"/>
  <c r="V294" i="2" s="1"/>
  <c r="O42" i="2"/>
  <c r="U42" i="2"/>
  <c r="V42" i="2" s="1"/>
  <c r="Q230" i="2"/>
  <c r="Q481" i="2"/>
  <c r="Q14" i="2"/>
  <c r="O470" i="2"/>
  <c r="U470" i="2"/>
  <c r="V470" i="2" s="1"/>
  <c r="N434" i="2"/>
  <c r="U434" i="2"/>
  <c r="V434" i="2" s="1"/>
  <c r="O410" i="2"/>
  <c r="R410" i="2" s="1"/>
  <c r="U410" i="2"/>
  <c r="V410" i="2" s="1"/>
  <c r="N334" i="2"/>
  <c r="U334" i="2"/>
  <c r="V334" i="2" s="1"/>
  <c r="N386" i="2"/>
  <c r="U386" i="2"/>
  <c r="V386" i="2" s="1"/>
  <c r="O309" i="2"/>
  <c r="N213" i="2"/>
  <c r="U213" i="2"/>
  <c r="V213" i="2" s="1"/>
  <c r="O326" i="2"/>
  <c r="R326" i="2" s="1"/>
  <c r="U326" i="2"/>
  <c r="V326" i="2" s="1"/>
  <c r="N444" i="2"/>
  <c r="U444" i="2"/>
  <c r="V444" i="2" s="1"/>
  <c r="N44" i="2"/>
  <c r="U44" i="2"/>
  <c r="V44" i="2" s="1"/>
  <c r="O498" i="2"/>
  <c r="U498" i="2"/>
  <c r="V498" i="2" s="1"/>
  <c r="O398" i="2"/>
  <c r="U398" i="2"/>
  <c r="V398" i="2" s="1"/>
  <c r="N111" i="2"/>
  <c r="U111" i="2"/>
  <c r="V111" i="2" s="1"/>
  <c r="N194" i="2"/>
  <c r="U194" i="2"/>
  <c r="V194" i="2" s="1"/>
  <c r="O182" i="2"/>
  <c r="U182" i="2"/>
  <c r="V182" i="2" s="1"/>
  <c r="N494" i="2"/>
  <c r="U494" i="2"/>
  <c r="V494" i="2" s="1"/>
  <c r="N480" i="2"/>
  <c r="N146" i="2"/>
  <c r="U146" i="2"/>
  <c r="V146" i="2" s="1"/>
  <c r="R134" i="2"/>
  <c r="O481" i="2"/>
  <c r="O405" i="2"/>
  <c r="U405" i="2"/>
  <c r="V405" i="2" s="1"/>
  <c r="N313" i="2"/>
  <c r="U313" i="2"/>
  <c r="V313" i="2" s="1"/>
  <c r="N239" i="2"/>
  <c r="U239" i="2"/>
  <c r="V239" i="2" s="1"/>
  <c r="U37" i="2"/>
  <c r="V37" i="2" s="1"/>
  <c r="U350" i="2"/>
  <c r="V350" i="2" s="1"/>
  <c r="U151" i="2"/>
  <c r="V151" i="2" s="1"/>
  <c r="O238" i="2"/>
  <c r="U238" i="2"/>
  <c r="V238" i="2" s="1"/>
  <c r="O149" i="2"/>
  <c r="O273" i="2"/>
  <c r="U273" i="2"/>
  <c r="V273" i="2" s="1"/>
  <c r="N178" i="2"/>
  <c r="O414" i="2"/>
  <c r="U414" i="2"/>
  <c r="V414" i="2" s="1"/>
  <c r="N76" i="2"/>
  <c r="O130" i="2"/>
  <c r="U130" i="2"/>
  <c r="V130" i="2" s="1"/>
  <c r="O170" i="2"/>
  <c r="U170" i="2"/>
  <c r="V170" i="2" s="1"/>
  <c r="O82" i="2"/>
  <c r="O22" i="2"/>
  <c r="U22" i="2"/>
  <c r="V22" i="2" s="1"/>
  <c r="Q354" i="2"/>
  <c r="Q225" i="2"/>
  <c r="Q210" i="2"/>
  <c r="Q329" i="2"/>
  <c r="Q303" i="2"/>
  <c r="Q42" i="2"/>
  <c r="Q34" i="2"/>
  <c r="N489" i="2"/>
  <c r="U489" i="2"/>
  <c r="V489" i="2" s="1"/>
  <c r="O249" i="2"/>
  <c r="U249" i="2"/>
  <c r="V249" i="2" s="1"/>
  <c r="O237" i="2"/>
  <c r="U237" i="2"/>
  <c r="V237" i="2" s="1"/>
  <c r="O331" i="2"/>
  <c r="U331" i="2"/>
  <c r="V331" i="2" s="1"/>
  <c r="O165" i="2"/>
  <c r="U165" i="2"/>
  <c r="V165" i="2" s="1"/>
  <c r="O141" i="2"/>
  <c r="U141" i="2"/>
  <c r="V141" i="2" s="1"/>
  <c r="O260" i="2"/>
  <c r="U260" i="2"/>
  <c r="V260" i="2" s="1"/>
  <c r="O93" i="2"/>
  <c r="U93" i="2"/>
  <c r="V93" i="2" s="1"/>
  <c r="O45" i="2"/>
  <c r="U45" i="2"/>
  <c r="V45" i="2" s="1"/>
  <c r="O21" i="2"/>
  <c r="U21" i="2"/>
  <c r="V21" i="2" s="1"/>
  <c r="O9" i="2"/>
  <c r="U9" i="2"/>
  <c r="V9" i="2" s="1"/>
  <c r="Q451" i="2"/>
  <c r="Q197" i="2"/>
  <c r="Q214" i="2"/>
  <c r="Q161" i="2"/>
  <c r="Q424" i="2"/>
  <c r="Q125" i="2"/>
  <c r="Q101" i="2"/>
  <c r="Q89" i="2"/>
  <c r="Q65" i="2"/>
  <c r="Q400" i="2"/>
  <c r="O455" i="2"/>
  <c r="O451" i="2"/>
  <c r="O54" i="2"/>
  <c r="N214" i="2"/>
  <c r="Q204" i="2"/>
  <c r="Q144" i="2"/>
  <c r="Q164" i="2"/>
  <c r="Q96" i="2"/>
  <c r="Q446" i="2"/>
  <c r="Q60" i="2"/>
  <c r="Q48" i="2"/>
  <c r="Q36" i="2"/>
  <c r="Q383" i="2"/>
  <c r="Q497" i="2"/>
  <c r="U149" i="2"/>
  <c r="V149" i="2" s="1"/>
  <c r="Q236" i="2"/>
  <c r="Q56" i="2"/>
  <c r="Q179" i="2"/>
  <c r="Q167" i="2"/>
  <c r="Q466" i="2"/>
  <c r="Q425" i="2"/>
  <c r="Q123" i="2"/>
  <c r="Q107" i="2"/>
  <c r="Q83" i="2"/>
  <c r="Q59" i="2"/>
  <c r="Q47" i="2"/>
  <c r="Q23" i="2"/>
  <c r="Q483" i="2"/>
  <c r="U437" i="2"/>
  <c r="V437" i="2" s="1"/>
  <c r="U268" i="2"/>
  <c r="V268" i="2" s="1"/>
  <c r="U455" i="2"/>
  <c r="V455" i="2" s="1"/>
  <c r="U76" i="2"/>
  <c r="V76" i="2" s="1"/>
  <c r="O424" i="2"/>
  <c r="O125" i="2"/>
  <c r="O113" i="2"/>
  <c r="R113" i="2" s="1"/>
  <c r="O65" i="2"/>
  <c r="O41" i="2"/>
  <c r="R41" i="2" s="1"/>
  <c r="O312" i="2"/>
  <c r="N17" i="2"/>
  <c r="Q471" i="2"/>
  <c r="Q285" i="2"/>
  <c r="Q205" i="2"/>
  <c r="Q257" i="2"/>
  <c r="Q181" i="2"/>
  <c r="Q345" i="2"/>
  <c r="Q157" i="2"/>
  <c r="Q145" i="2"/>
  <c r="Q133" i="2"/>
  <c r="Q417" i="2"/>
  <c r="Q109" i="2"/>
  <c r="Q71" i="2"/>
  <c r="Q85" i="2"/>
  <c r="Q73" i="2"/>
  <c r="Q61" i="2"/>
  <c r="Q307" i="2"/>
  <c r="Q58" i="2"/>
  <c r="Q298" i="2"/>
  <c r="Q142" i="2"/>
  <c r="N50" i="2"/>
  <c r="N457" i="2"/>
  <c r="N14" i="2"/>
  <c r="N2" i="2"/>
  <c r="Q238" i="2"/>
  <c r="Q149" i="2"/>
  <c r="Q273" i="2"/>
  <c r="Q178" i="2"/>
  <c r="Q76" i="2"/>
  <c r="Q106" i="2"/>
  <c r="Q82" i="2"/>
  <c r="Q279" i="2"/>
  <c r="Q452" i="2"/>
  <c r="Q46" i="2"/>
  <c r="Q22" i="2"/>
  <c r="Q173" i="2"/>
  <c r="N471" i="2"/>
  <c r="N205" i="2"/>
  <c r="N257" i="2"/>
  <c r="N157" i="2"/>
  <c r="N145" i="2"/>
  <c r="N109" i="2"/>
  <c r="N71" i="2"/>
  <c r="N61" i="2"/>
  <c r="N307" i="2"/>
  <c r="N142" i="2"/>
  <c r="Q453" i="2"/>
  <c r="Q140" i="2"/>
  <c r="Q357" i="2"/>
  <c r="Q237" i="2"/>
  <c r="Q331" i="2"/>
  <c r="Q127" i="2"/>
  <c r="Q212" i="2"/>
  <c r="Q30" i="2"/>
  <c r="Q97" i="2"/>
  <c r="Q141" i="2"/>
  <c r="Q129" i="2"/>
  <c r="Q200" i="2"/>
  <c r="Q260" i="2"/>
  <c r="Q93" i="2"/>
  <c r="Q81" i="2"/>
  <c r="Q158" i="2"/>
  <c r="Q45" i="2"/>
  <c r="Q33" i="2"/>
  <c r="Q21" i="2"/>
  <c r="Q9" i="2"/>
  <c r="U2" i="2"/>
  <c r="V2" i="2" s="1"/>
  <c r="O144" i="2"/>
  <c r="R144" i="2" s="1"/>
  <c r="O250" i="2"/>
  <c r="O164" i="2"/>
  <c r="N416" i="2"/>
  <c r="O96" i="2"/>
  <c r="N84" i="2"/>
  <c r="O60" i="2"/>
  <c r="N48" i="2"/>
  <c r="N36" i="2"/>
  <c r="O383" i="2"/>
  <c r="O497" i="2"/>
  <c r="Q245" i="2"/>
  <c r="Q440" i="2"/>
  <c r="Q356" i="2"/>
  <c r="Q304" i="2"/>
  <c r="Q377" i="2"/>
  <c r="Q91" i="2"/>
  <c r="Q98" i="2"/>
  <c r="Q188" i="2"/>
  <c r="Q335" i="2"/>
  <c r="Q87" i="2"/>
  <c r="Q459" i="2"/>
  <c r="Q343" i="2"/>
  <c r="Q128" i="2"/>
  <c r="Q163" i="2"/>
  <c r="Q104" i="2"/>
  <c r="Q407" i="2"/>
  <c r="Q77" i="2"/>
  <c r="Q209" i="2"/>
  <c r="Q295" i="2"/>
  <c r="Q361" i="2"/>
  <c r="Q431" i="2"/>
  <c r="Q20" i="2"/>
  <c r="Q8" i="2"/>
  <c r="Q7" i="2"/>
  <c r="Q6" i="2"/>
  <c r="Q5" i="2"/>
  <c r="Q28" i="2"/>
  <c r="Q490" i="2"/>
  <c r="Q79" i="2"/>
  <c r="O496" i="2"/>
  <c r="R496" i="2" s="1"/>
  <c r="O169" i="2"/>
  <c r="O162" i="2"/>
  <c r="N301" i="2"/>
  <c r="O436" i="2"/>
  <c r="R436" i="2" s="1"/>
  <c r="O229" i="2"/>
  <c r="O262" i="2"/>
  <c r="O388" i="2"/>
  <c r="R388" i="2" s="1"/>
  <c r="O376" i="2"/>
  <c r="R376" i="2" s="1"/>
  <c r="N364" i="2"/>
  <c r="O80" i="2"/>
  <c r="O328" i="2"/>
  <c r="R328" i="2" s="1"/>
  <c r="O316" i="2"/>
  <c r="O292" i="2"/>
  <c r="O280" i="2"/>
  <c r="N53" i="2"/>
  <c r="N172" i="2"/>
  <c r="N176" i="2"/>
  <c r="O79" i="2"/>
  <c r="R284" i="2" s="1"/>
  <c r="O346" i="2"/>
  <c r="O155" i="2"/>
  <c r="O278" i="2"/>
  <c r="N150" i="2"/>
  <c r="O447" i="2"/>
  <c r="R447" i="2" s="1"/>
  <c r="O435" i="2"/>
  <c r="R435" i="2" s="1"/>
  <c r="O13" i="2"/>
  <c r="O411" i="2"/>
  <c r="O399" i="2"/>
  <c r="N423" i="2"/>
  <c r="O160" i="2"/>
  <c r="N74" i="2"/>
  <c r="O351" i="2"/>
  <c r="R351" i="2" s="1"/>
  <c r="N339" i="2"/>
  <c r="O327" i="2"/>
  <c r="R327" i="2" s="1"/>
  <c r="O315" i="2"/>
  <c r="R315" i="2" s="1"/>
  <c r="O29" i="2"/>
  <c r="N291" i="2"/>
  <c r="O406" i="2"/>
  <c r="O267" i="2"/>
  <c r="R267" i="2" s="1"/>
  <c r="O138" i="2"/>
  <c r="N243" i="2"/>
  <c r="O231" i="2"/>
  <c r="N219" i="2"/>
  <c r="O207" i="2"/>
  <c r="N195" i="2"/>
  <c r="O381" i="2"/>
  <c r="N171" i="2"/>
  <c r="O322" i="2"/>
  <c r="O147" i="2"/>
  <c r="O12" i="2"/>
  <c r="O352" i="2"/>
  <c r="O256" i="2"/>
  <c r="N99" i="2"/>
  <c r="O70" i="2"/>
  <c r="N472" i="2"/>
  <c r="N51" i="2"/>
  <c r="N27" i="2"/>
  <c r="N3" i="2"/>
  <c r="H506" i="2"/>
  <c r="T502" i="2"/>
  <c r="N329" i="2"/>
  <c r="N19" i="2"/>
  <c r="N360" i="2"/>
  <c r="N378" i="2"/>
  <c r="N458" i="2"/>
  <c r="N283" i="2"/>
  <c r="N321" i="2"/>
  <c r="O489" i="2"/>
  <c r="O192" i="2"/>
  <c r="R192" i="2" s="1"/>
  <c r="O444" i="2"/>
  <c r="N404" i="2"/>
  <c r="N288" i="2"/>
  <c r="O291" i="2"/>
  <c r="N403" i="2"/>
  <c r="N199" i="2"/>
  <c r="O146" i="2"/>
  <c r="N10" i="2"/>
  <c r="N93" i="2"/>
  <c r="N207" i="2"/>
  <c r="N350" i="2"/>
  <c r="N170" i="2"/>
  <c r="N342" i="2"/>
  <c r="N407" i="2"/>
  <c r="N410" i="2"/>
  <c r="O99" i="2"/>
  <c r="N278" i="2"/>
  <c r="N292" i="2"/>
  <c r="N221" i="2"/>
  <c r="N405" i="2"/>
  <c r="N470" i="2"/>
  <c r="N409" i="2"/>
  <c r="N90" i="2"/>
  <c r="N437" i="2"/>
  <c r="O472" i="2"/>
  <c r="N281" i="2"/>
  <c r="N406" i="2"/>
  <c r="N182" i="2"/>
  <c r="O48" i="2"/>
  <c r="N496" i="2"/>
  <c r="N366" i="2"/>
  <c r="N284" i="2"/>
  <c r="N438" i="2"/>
  <c r="N70" i="2"/>
  <c r="O334" i="2"/>
  <c r="O27" i="2"/>
  <c r="N346" i="2"/>
  <c r="N427" i="2"/>
  <c r="N160" i="2"/>
  <c r="N316" i="2"/>
  <c r="N151" i="2"/>
  <c r="N424" i="2"/>
  <c r="N60" i="2"/>
  <c r="O423" i="2"/>
  <c r="O180" i="2"/>
  <c r="O457" i="2"/>
  <c r="N451" i="2"/>
  <c r="O301" i="2"/>
  <c r="N94" i="2"/>
  <c r="N387" i="2"/>
  <c r="N326" i="2"/>
  <c r="N290" i="2"/>
  <c r="N426" i="2"/>
  <c r="N309" i="2"/>
  <c r="N315" i="2"/>
  <c r="N105" i="2"/>
  <c r="N147" i="2"/>
  <c r="N43" i="2"/>
  <c r="O364" i="2"/>
  <c r="O172" i="2"/>
  <c r="O17" i="2"/>
  <c r="R17" i="2" s="1"/>
  <c r="O150" i="2"/>
  <c r="N436" i="2"/>
  <c r="N381" i="2"/>
  <c r="O313" i="2"/>
  <c r="N435" i="2"/>
  <c r="N485" i="2"/>
  <c r="N441" i="2"/>
  <c r="N246" i="2"/>
  <c r="N314" i="2"/>
  <c r="N255" i="2"/>
  <c r="N134" i="2"/>
  <c r="N312" i="2"/>
  <c r="O74" i="2"/>
  <c r="R74" i="2" s="1"/>
  <c r="O171" i="2"/>
  <c r="O14" i="2"/>
  <c r="O176" i="2"/>
  <c r="O242" i="2"/>
  <c r="R242" i="2" s="1"/>
  <c r="N80" i="2"/>
  <c r="O219" i="2"/>
  <c r="R219" i="2" s="1"/>
  <c r="O111" i="2"/>
  <c r="N155" i="2"/>
  <c r="N13" i="2"/>
  <c r="N294" i="2"/>
  <c r="N138" i="2"/>
  <c r="N463" i="2"/>
  <c r="O491" i="2"/>
  <c r="O494" i="2"/>
  <c r="O243" i="2"/>
  <c r="R243" i="2" s="1"/>
  <c r="N411" i="2"/>
  <c r="N355" i="2"/>
  <c r="N293" i="2"/>
  <c r="N125" i="2"/>
  <c r="O454" i="2"/>
  <c r="O36" i="2"/>
  <c r="O471" i="2"/>
  <c r="N204" i="2"/>
  <c r="O226" i="2"/>
  <c r="N363" i="2"/>
  <c r="O395" i="2"/>
  <c r="O228" i="2"/>
  <c r="N373" i="2"/>
  <c r="N250" i="2"/>
  <c r="O300" i="2"/>
  <c r="N126" i="2"/>
  <c r="N22" i="2"/>
  <c r="O145" i="2"/>
  <c r="N332" i="2"/>
  <c r="N21" i="2"/>
  <c r="O443" i="2"/>
  <c r="R443" i="2" s="1"/>
  <c r="N337" i="2"/>
  <c r="N187" i="2"/>
  <c r="N422" i="2"/>
  <c r="N390" i="2"/>
  <c r="N4" i="2"/>
  <c r="N282" i="2"/>
  <c r="N498" i="2"/>
  <c r="N238" i="2"/>
  <c r="N352" i="2"/>
  <c r="N120" i="2"/>
  <c r="O213" i="2"/>
  <c r="O53" i="2"/>
  <c r="R53" i="2" s="1"/>
  <c r="O205" i="2"/>
  <c r="O59" i="2"/>
  <c r="O483" i="2"/>
  <c r="N325" i="2"/>
  <c r="O416" i="2"/>
  <c r="N25" i="2"/>
  <c r="O107" i="2"/>
  <c r="N144" i="2"/>
  <c r="N274" i="2"/>
  <c r="N383" i="2"/>
  <c r="O116" i="2"/>
  <c r="N456" i="2"/>
  <c r="N203" i="2"/>
  <c r="O289" i="2"/>
  <c r="N391" i="2"/>
  <c r="N308" i="2"/>
  <c r="N500" i="2"/>
  <c r="N241" i="2"/>
  <c r="N450" i="2"/>
  <c r="N421" i="2"/>
  <c r="N389" i="2"/>
  <c r="N330" i="2"/>
  <c r="N267" i="2"/>
  <c r="N237" i="2"/>
  <c r="N168" i="2"/>
  <c r="N481" i="2"/>
  <c r="N67" i="2"/>
  <c r="N497" i="2"/>
  <c r="O434" i="2"/>
  <c r="O347" i="2"/>
  <c r="R347" i="2" s="1"/>
  <c r="O51" i="2"/>
  <c r="O3" i="2"/>
  <c r="R3" i="2" s="1"/>
  <c r="O68" i="2"/>
  <c r="O109" i="2"/>
  <c r="R109" i="2" s="1"/>
  <c r="N69" i="2"/>
  <c r="O84" i="2"/>
  <c r="R84" i="2" s="1"/>
  <c r="N23" i="2"/>
  <c r="N32" i="2"/>
  <c r="N236" i="2"/>
  <c r="N432" i="2"/>
  <c r="N479" i="2"/>
  <c r="N122" i="2"/>
  <c r="N24" i="2"/>
  <c r="N388" i="2"/>
  <c r="N317" i="2"/>
  <c r="N268" i="2"/>
  <c r="N415" i="2"/>
  <c r="N459" i="2"/>
  <c r="N113" i="2"/>
  <c r="N66" i="2"/>
  <c r="O270" i="2"/>
  <c r="O339" i="2"/>
  <c r="R339" i="2" s="1"/>
  <c r="O218" i="2"/>
  <c r="O50" i="2"/>
  <c r="N469" i="2"/>
  <c r="O396" i="2"/>
  <c r="R396" i="2" s="1"/>
  <c r="O142" i="2"/>
  <c r="N245" i="2"/>
  <c r="N488" i="2"/>
  <c r="N162" i="2"/>
  <c r="N254" i="2"/>
  <c r="N262" i="2"/>
  <c r="N380" i="2"/>
  <c r="N356" i="2"/>
  <c r="N327" i="2"/>
  <c r="N40" i="2"/>
  <c r="N264" i="2"/>
  <c r="N210" i="2"/>
  <c r="N234" i="2"/>
  <c r="N256" i="2"/>
  <c r="N65" i="2"/>
  <c r="O338" i="2"/>
  <c r="R338" i="2" s="1"/>
  <c r="O251" i="2"/>
  <c r="R251" i="2" s="1"/>
  <c r="O195" i="2"/>
  <c r="O307" i="2"/>
  <c r="N425" i="2"/>
  <c r="O425" i="2"/>
  <c r="R441" i="2" s="1"/>
  <c r="O460" i="2"/>
  <c r="N460" i="2"/>
  <c r="O287" i="2"/>
  <c r="R287" i="2" s="1"/>
  <c r="N287" i="2"/>
  <c r="O123" i="2"/>
  <c r="N123" i="2"/>
  <c r="O372" i="2"/>
  <c r="N418" i="2"/>
  <c r="O418" i="2"/>
  <c r="O371" i="2"/>
  <c r="R371" i="2" s="1"/>
  <c r="N371" i="2"/>
  <c r="N382" i="2"/>
  <c r="O382" i="2"/>
  <c r="O385" i="2"/>
  <c r="N385" i="2"/>
  <c r="N419" i="2"/>
  <c r="O419" i="2"/>
  <c r="O92" i="2"/>
  <c r="N92" i="2"/>
  <c r="O279" i="2"/>
  <c r="N279" i="2"/>
  <c r="N375" i="2"/>
  <c r="O375" i="2"/>
  <c r="N359" i="2"/>
  <c r="O484" i="2"/>
  <c r="O275" i="2"/>
  <c r="R275" i="2" s="1"/>
  <c r="O179" i="2"/>
  <c r="R179" i="2" s="1"/>
  <c r="O83" i="2"/>
  <c r="O453" i="2"/>
  <c r="N453" i="2"/>
  <c r="O302" i="2"/>
  <c r="N302" i="2"/>
  <c r="O357" i="2"/>
  <c r="R357" i="2" s="1"/>
  <c r="N357" i="2"/>
  <c r="O39" i="2"/>
  <c r="N39" i="2"/>
  <c r="O297" i="2"/>
  <c r="R297" i="2" s="1"/>
  <c r="N297" i="2"/>
  <c r="O420" i="2"/>
  <c r="N420" i="2"/>
  <c r="O212" i="2"/>
  <c r="N212" i="2"/>
  <c r="O129" i="2"/>
  <c r="R129" i="2" s="1"/>
  <c r="N129" i="2"/>
  <c r="O158" i="2"/>
  <c r="N158" i="2"/>
  <c r="O224" i="2"/>
  <c r="O178" i="2"/>
  <c r="O476" i="2"/>
  <c r="R476" i="2" s="1"/>
  <c r="N476" i="2"/>
  <c r="O304" i="2"/>
  <c r="N304" i="2"/>
  <c r="O98" i="2"/>
  <c r="N98" i="2"/>
  <c r="O20" i="2"/>
  <c r="R20" i="2" s="1"/>
  <c r="N20" i="2"/>
  <c r="O8" i="2"/>
  <c r="N8" i="2"/>
  <c r="N377" i="2"/>
  <c r="N223" i="2"/>
  <c r="N414" i="2"/>
  <c r="N343" i="2"/>
  <c r="N82" i="2"/>
  <c r="N45" i="2"/>
  <c r="N9" i="2"/>
  <c r="O11" i="2"/>
  <c r="O468" i="2"/>
  <c r="O368" i="2"/>
  <c r="R368" i="2" s="1"/>
  <c r="O119" i="2"/>
  <c r="O272" i="2"/>
  <c r="R272" i="2" s="1"/>
  <c r="O227" i="2"/>
  <c r="R227" i="2" s="1"/>
  <c r="O335" i="2"/>
  <c r="O131" i="2"/>
  <c r="O77" i="2"/>
  <c r="O487" i="2"/>
  <c r="R487" i="2" s="1"/>
  <c r="N487" i="2"/>
  <c r="O475" i="2"/>
  <c r="R475" i="2" s="1"/>
  <c r="N475" i="2"/>
  <c r="O341" i="2"/>
  <c r="R341" i="2" s="1"/>
  <c r="N341" i="2"/>
  <c r="O367" i="2"/>
  <c r="R367" i="2" s="1"/>
  <c r="N367" i="2"/>
  <c r="O319" i="2"/>
  <c r="N319" i="2"/>
  <c r="O271" i="2"/>
  <c r="R271" i="2" s="1"/>
  <c r="N271" i="2"/>
  <c r="O269" i="2"/>
  <c r="N269" i="2"/>
  <c r="O362" i="2"/>
  <c r="N362" i="2"/>
  <c r="O235" i="2"/>
  <c r="R235" i="2" s="1"/>
  <c r="N235" i="2"/>
  <c r="O211" i="2"/>
  <c r="N211" i="2"/>
  <c r="O177" i="2"/>
  <c r="N177" i="2"/>
  <c r="O175" i="2"/>
  <c r="R175" i="2" s="1"/>
  <c r="N175" i="2"/>
  <c r="O266" i="2"/>
  <c r="N266" i="2"/>
  <c r="O115" i="2"/>
  <c r="R115" i="2" s="1"/>
  <c r="N115" i="2"/>
  <c r="O103" i="2"/>
  <c r="R103" i="2" s="1"/>
  <c r="N103" i="2"/>
  <c r="O191" i="2"/>
  <c r="N191" i="2"/>
  <c r="O55" i="2"/>
  <c r="N55" i="2"/>
  <c r="O31" i="2"/>
  <c r="R31" i="2" s="1"/>
  <c r="N31" i="2"/>
  <c r="O7" i="2"/>
  <c r="N7" i="2"/>
  <c r="N379" i="2"/>
  <c r="N340" i="2"/>
  <c r="N482" i="2"/>
  <c r="N229" i="2"/>
  <c r="N376" i="2"/>
  <c r="N328" i="2"/>
  <c r="N280" i="2"/>
  <c r="N249" i="2"/>
  <c r="N201" i="2"/>
  <c r="N56" i="2"/>
  <c r="N165" i="2"/>
  <c r="N493" i="2"/>
  <c r="N361" i="2"/>
  <c r="N79" i="2"/>
  <c r="O461" i="2"/>
  <c r="R461" i="2" s="1"/>
  <c r="O202" i="2"/>
  <c r="O214" i="2"/>
  <c r="O95" i="2"/>
  <c r="N95" i="2"/>
  <c r="O35" i="2"/>
  <c r="N35" i="2"/>
  <c r="O358" i="2"/>
  <c r="O336" i="2"/>
  <c r="R336" i="2" s="1"/>
  <c r="N478" i="2"/>
  <c r="O478" i="2"/>
  <c r="R478" i="2" s="1"/>
  <c r="O442" i="2"/>
  <c r="R442" i="2" s="1"/>
  <c r="N442" i="2"/>
  <c r="O143" i="2"/>
  <c r="N143" i="2"/>
  <c r="N286" i="2"/>
  <c r="O286" i="2"/>
  <c r="O154" i="2"/>
  <c r="N154" i="2"/>
  <c r="O452" i="2"/>
  <c r="N452" i="2"/>
  <c r="N173" i="2"/>
  <c r="O173" i="2"/>
  <c r="R173" i="2" s="1"/>
  <c r="N198" i="2"/>
  <c r="N311" i="2"/>
  <c r="N273" i="2"/>
  <c r="N47" i="2"/>
  <c r="O467" i="2"/>
  <c r="O189" i="2"/>
  <c r="O76" i="2"/>
  <c r="O46" i="2"/>
  <c r="O501" i="2"/>
  <c r="R501" i="2" s="1"/>
  <c r="N501" i="2"/>
  <c r="N477" i="2"/>
  <c r="O477" i="2"/>
  <c r="R477" i="2" s="1"/>
  <c r="O64" i="2"/>
  <c r="N64" i="2"/>
  <c r="O349" i="2"/>
  <c r="N349" i="2"/>
  <c r="O140" i="2"/>
  <c r="N140" i="2"/>
  <c r="O333" i="2"/>
  <c r="R333" i="2" s="1"/>
  <c r="N333" i="2"/>
  <c r="O117" i="2"/>
  <c r="R117" i="2" s="1"/>
  <c r="N117" i="2"/>
  <c r="O464" i="2"/>
  <c r="N464" i="2"/>
  <c r="O261" i="2"/>
  <c r="R261" i="2" s="1"/>
  <c r="N261" i="2"/>
  <c r="O127" i="2"/>
  <c r="N127" i="2"/>
  <c r="O97" i="2"/>
  <c r="N97" i="2"/>
  <c r="O153" i="2"/>
  <c r="N153" i="2"/>
  <c r="O200" i="2"/>
  <c r="N200" i="2"/>
  <c r="N331" i="2"/>
  <c r="N167" i="2"/>
  <c r="N141" i="2"/>
  <c r="O222" i="2"/>
  <c r="O370" i="2"/>
  <c r="R370" i="2" s="1"/>
  <c r="O499" i="2"/>
  <c r="R432" i="2" s="1"/>
  <c r="O365" i="2"/>
  <c r="N365" i="2"/>
  <c r="O449" i="2"/>
  <c r="N449" i="2"/>
  <c r="O320" i="2"/>
  <c r="R320" i="2" s="1"/>
  <c r="N320" i="2"/>
  <c r="O91" i="2"/>
  <c r="N91" i="2"/>
  <c r="N128" i="2"/>
  <c r="O128" i="2"/>
  <c r="R128" i="2" s="1"/>
  <c r="O163" i="2"/>
  <c r="N163" i="2"/>
  <c r="O295" i="2"/>
  <c r="N295" i="2"/>
  <c r="O431" i="2"/>
  <c r="N431" i="2"/>
  <c r="O402" i="2"/>
  <c r="R402" i="2" s="1"/>
  <c r="N402" i="2"/>
  <c r="O193" i="2"/>
  <c r="N193" i="2"/>
  <c r="O318" i="2"/>
  <c r="R318" i="2" s="1"/>
  <c r="N318" i="2"/>
  <c r="O26" i="2"/>
  <c r="N26" i="2"/>
  <c r="O110" i="2"/>
  <c r="N110" i="2"/>
  <c r="O217" i="2"/>
  <c r="N217" i="2"/>
  <c r="O174" i="2"/>
  <c r="N174" i="2"/>
  <c r="O78" i="2"/>
  <c r="N78" i="2"/>
  <c r="O413" i="2"/>
  <c r="N413" i="2"/>
  <c r="O34" i="2"/>
  <c r="N34" i="2"/>
  <c r="O323" i="2"/>
  <c r="N323" i="2"/>
  <c r="O6" i="2"/>
  <c r="N6" i="2"/>
  <c r="N225" i="2"/>
  <c r="N87" i="2"/>
  <c r="O473" i="2"/>
  <c r="N473" i="2"/>
  <c r="N353" i="2"/>
  <c r="O353" i="2"/>
  <c r="O433" i="2"/>
  <c r="N433" i="2"/>
  <c r="O233" i="2"/>
  <c r="N233" i="2"/>
  <c r="O197" i="2"/>
  <c r="N197" i="2"/>
  <c r="N161" i="2"/>
  <c r="O161" i="2"/>
  <c r="R161" i="2" s="1"/>
  <c r="O137" i="2"/>
  <c r="N137" i="2"/>
  <c r="O101" i="2"/>
  <c r="R101" i="2" s="1"/>
  <c r="N101" i="2"/>
  <c r="O89" i="2"/>
  <c r="R89" i="2" s="1"/>
  <c r="N89" i="2"/>
  <c r="O400" i="2"/>
  <c r="N400" i="2"/>
  <c r="O5" i="2"/>
  <c r="N5" i="2"/>
  <c r="N169" i="2"/>
  <c r="N440" i="2"/>
  <c r="N135" i="2"/>
  <c r="N455" i="2"/>
  <c r="N188" i="2"/>
  <c r="N88" i="2"/>
  <c r="N130" i="2"/>
  <c r="N260" i="2"/>
  <c r="N374" i="2"/>
  <c r="N42" i="2"/>
  <c r="O401" i="2"/>
  <c r="O305" i="2"/>
  <c r="O466" i="2"/>
  <c r="O408" i="2"/>
  <c r="R408" i="2" s="1"/>
  <c r="N408" i="2"/>
  <c r="N108" i="2"/>
  <c r="O108" i="2"/>
  <c r="O132" i="2"/>
  <c r="N132" i="2"/>
  <c r="N348" i="2"/>
  <c r="O348" i="2"/>
  <c r="R348" i="2" s="1"/>
  <c r="O306" i="2"/>
  <c r="N306" i="2"/>
  <c r="N220" i="2"/>
  <c r="O220" i="2"/>
  <c r="O16" i="2"/>
  <c r="R16" i="2" s="1"/>
  <c r="N16" i="2"/>
  <c r="O259" i="2"/>
  <c r="N259" i="2"/>
  <c r="O215" i="2"/>
  <c r="R215" i="2" s="1"/>
  <c r="N215" i="2"/>
  <c r="O276" i="2"/>
  <c r="R276" i="2" s="1"/>
  <c r="O62" i="2"/>
  <c r="N62" i="2"/>
  <c r="O394" i="2"/>
  <c r="R394" i="2" s="1"/>
  <c r="N394" i="2"/>
  <c r="O57" i="2"/>
  <c r="N57" i="2"/>
  <c r="O310" i="2"/>
  <c r="R310" i="2" s="1"/>
  <c r="N310" i="2"/>
  <c r="O183" i="2"/>
  <c r="N183" i="2"/>
  <c r="O118" i="2"/>
  <c r="N118" i="2"/>
  <c r="N149" i="2"/>
  <c r="O430" i="2"/>
  <c r="O465" i="2"/>
  <c r="R465" i="2" s="1"/>
  <c r="N465" i="2"/>
  <c r="O72" i="2"/>
  <c r="N72" i="2"/>
  <c r="O393" i="2"/>
  <c r="N393" i="2"/>
  <c r="O369" i="2"/>
  <c r="R369" i="2" s="1"/>
  <c r="N369" i="2"/>
  <c r="O114" i="2"/>
  <c r="N114" i="2"/>
  <c r="O30" i="2"/>
  <c r="N30" i="2"/>
  <c r="O81" i="2"/>
  <c r="N81" i="2"/>
  <c r="O206" i="2"/>
  <c r="N206" i="2"/>
  <c r="O33" i="2"/>
  <c r="R33" i="2" s="1"/>
  <c r="N33" i="2"/>
  <c r="O324" i="2"/>
  <c r="R324" i="2" s="1"/>
  <c r="O474" i="2"/>
  <c r="R474" i="2" s="1"/>
  <c r="N474" i="2"/>
  <c r="O462" i="2"/>
  <c r="N462" i="2"/>
  <c r="O166" i="2"/>
  <c r="N166" i="2"/>
  <c r="O354" i="2"/>
  <c r="R354" i="2" s="1"/>
  <c r="N354" i="2"/>
  <c r="O258" i="2"/>
  <c r="R258" i="2" s="1"/>
  <c r="N258" i="2"/>
  <c r="O186" i="2"/>
  <c r="R186" i="2" s="1"/>
  <c r="N186" i="2"/>
  <c r="O303" i="2"/>
  <c r="N303" i="2"/>
  <c r="O240" i="2"/>
  <c r="N240" i="2"/>
  <c r="O102" i="2"/>
  <c r="N102" i="2"/>
  <c r="N248" i="2"/>
  <c r="N190" i="2"/>
  <c r="N106" i="2"/>
  <c r="O448" i="2"/>
  <c r="R448" i="2" s="1"/>
  <c r="N448" i="2"/>
  <c r="O384" i="2"/>
  <c r="N384" i="2"/>
  <c r="O495" i="2"/>
  <c r="N495" i="2"/>
  <c r="O299" i="2"/>
  <c r="N299" i="2"/>
  <c r="N208" i="2"/>
  <c r="O208" i="2"/>
  <c r="O244" i="2"/>
  <c r="R244" i="2" s="1"/>
  <c r="N244" i="2"/>
  <c r="O232" i="2"/>
  <c r="N232" i="2"/>
  <c r="N185" i="2"/>
  <c r="O185" i="2"/>
  <c r="N397" i="2"/>
  <c r="O397" i="2"/>
  <c r="O196" i="2"/>
  <c r="R196" i="2" s="1"/>
  <c r="N196" i="2"/>
  <c r="O184" i="2"/>
  <c r="N184" i="2"/>
  <c r="N18" i="2"/>
  <c r="O18" i="2"/>
  <c r="O263" i="2"/>
  <c r="N263" i="2"/>
  <c r="O136" i="2"/>
  <c r="R136" i="2" s="1"/>
  <c r="N136" i="2"/>
  <c r="N124" i="2"/>
  <c r="O124" i="2"/>
  <c r="R124" i="2" s="1"/>
  <c r="N112" i="2"/>
  <c r="O112" i="2"/>
  <c r="O100" i="2"/>
  <c r="N100" i="2"/>
  <c r="O121" i="2"/>
  <c r="N121" i="2"/>
  <c r="N49" i="2"/>
  <c r="O49" i="2"/>
  <c r="O75" i="2"/>
  <c r="N75" i="2"/>
  <c r="O52" i="2"/>
  <c r="N52" i="2"/>
  <c r="N28" i="2"/>
  <c r="O28" i="2"/>
  <c r="N490" i="2"/>
  <c r="O490" i="2"/>
  <c r="N492" i="2"/>
  <c r="N439" i="2"/>
  <c r="N392" i="2"/>
  <c r="N344" i="2"/>
  <c r="N296" i="2"/>
  <c r="N54" i="2"/>
  <c r="N429" i="2"/>
  <c r="N139" i="2"/>
  <c r="N104" i="2"/>
  <c r="N209" i="2"/>
  <c r="N41" i="2"/>
  <c r="O159" i="2"/>
  <c r="O247" i="2"/>
  <c r="N247" i="2"/>
  <c r="N15" i="2"/>
  <c r="O15" i="2"/>
  <c r="N398" i="2"/>
  <c r="N216" i="2"/>
  <c r="N322" i="2"/>
  <c r="N164" i="2"/>
  <c r="O386" i="2"/>
  <c r="O44" i="2"/>
  <c r="O194" i="2"/>
  <c r="O152" i="2"/>
  <c r="O2" i="2"/>
  <c r="O230" i="2"/>
  <c r="N230" i="2"/>
  <c r="O86" i="2"/>
  <c r="N86" i="2"/>
  <c r="O38" i="2"/>
  <c r="R38" i="2" s="1"/>
  <c r="N38" i="2"/>
  <c r="N447" i="2"/>
  <c r="N252" i="2"/>
  <c r="O37" i="2"/>
  <c r="O412" i="2"/>
  <c r="O428" i="2"/>
  <c r="O257" i="2"/>
  <c r="R255" i="2" s="1"/>
  <c r="O480" i="2"/>
  <c r="O71" i="2"/>
  <c r="O239" i="2"/>
  <c r="N63" i="2"/>
  <c r="O63" i="2"/>
  <c r="O277" i="2"/>
  <c r="N277" i="2"/>
  <c r="N265" i="2"/>
  <c r="O265" i="2"/>
  <c r="R265" i="2" s="1"/>
  <c r="O285" i="2"/>
  <c r="N285" i="2"/>
  <c r="N148" i="2"/>
  <c r="O148" i="2"/>
  <c r="O181" i="2"/>
  <c r="N181" i="2"/>
  <c r="N345" i="2"/>
  <c r="O345" i="2"/>
  <c r="O133" i="2"/>
  <c r="N133" i="2"/>
  <c r="N417" i="2"/>
  <c r="O417" i="2"/>
  <c r="O85" i="2"/>
  <c r="N85" i="2"/>
  <c r="N73" i="2"/>
  <c r="O73" i="2"/>
  <c r="R73" i="2" s="1"/>
  <c r="O58" i="2"/>
  <c r="N58" i="2"/>
  <c r="N298" i="2"/>
  <c r="O298" i="2"/>
  <c r="N96" i="2"/>
  <c r="O445" i="2"/>
  <c r="O253" i="2"/>
  <c r="R253" i="2" s="1"/>
  <c r="O486" i="2"/>
  <c r="O157" i="2"/>
  <c r="O61" i="2"/>
  <c r="O446" i="2"/>
  <c r="N446" i="2"/>
  <c r="N399" i="2"/>
  <c r="N351" i="2"/>
  <c r="N29" i="2"/>
  <c r="N231" i="2"/>
  <c r="N12" i="2"/>
  <c r="O156" i="2"/>
  <c r="R156" i="2" s="1"/>
  <c r="P502" i="2"/>
  <c r="R295" i="2" l="1"/>
  <c r="R13" i="2"/>
  <c r="R298" i="2"/>
  <c r="R334" i="2"/>
  <c r="R481" i="2"/>
  <c r="R64" i="2"/>
  <c r="R385" i="2"/>
  <c r="R229" i="2"/>
  <c r="R420" i="2"/>
  <c r="R217" i="2"/>
  <c r="R433" i="2"/>
  <c r="R486" i="2"/>
  <c r="R302" i="2"/>
  <c r="R193" i="2"/>
  <c r="R220" i="2"/>
  <c r="R159" i="2"/>
  <c r="R52" i="2"/>
  <c r="R49" i="2"/>
  <c r="R279" i="2"/>
  <c r="R345" i="2"/>
  <c r="R132" i="2"/>
  <c r="R150" i="2"/>
  <c r="R384" i="2"/>
  <c r="R239" i="2"/>
  <c r="R212" i="2"/>
  <c r="R471" i="2"/>
  <c r="R71" i="2"/>
  <c r="R409" i="2"/>
  <c r="R254" i="2"/>
  <c r="R358" i="2"/>
  <c r="R363" i="2"/>
  <c r="R72" i="2"/>
  <c r="R189" i="2"/>
  <c r="R365" i="2"/>
  <c r="R97" i="2"/>
  <c r="R214" i="2"/>
  <c r="R303" i="2"/>
  <c r="R92" i="2"/>
  <c r="R26" i="2"/>
  <c r="R259" i="2"/>
  <c r="R155" i="2"/>
  <c r="R492" i="2"/>
  <c r="R68" i="2"/>
  <c r="R266" i="2"/>
  <c r="R454" i="2"/>
  <c r="R126" i="2"/>
  <c r="R495" i="2"/>
  <c r="R247" i="2"/>
  <c r="R160" i="2"/>
  <c r="R75" i="2"/>
  <c r="R183" i="2"/>
  <c r="R108" i="2"/>
  <c r="R11" i="2"/>
  <c r="R116" i="2"/>
  <c r="R213" i="2"/>
  <c r="R444" i="2"/>
  <c r="R381" i="2"/>
  <c r="R278" i="2"/>
  <c r="R250" i="2"/>
  <c r="R4" i="2"/>
  <c r="R362" i="2"/>
  <c r="R263" i="2"/>
  <c r="R91" i="2"/>
  <c r="R464" i="2"/>
  <c r="R262" i="2"/>
  <c r="R415" i="2"/>
  <c r="R24" i="2"/>
  <c r="R225" i="2"/>
  <c r="R428" i="2"/>
  <c r="R490" i="2"/>
  <c r="R460" i="2"/>
  <c r="R19" i="2"/>
  <c r="R56" i="2"/>
  <c r="R387" i="2"/>
  <c r="R335" i="2"/>
  <c r="R463" i="2"/>
  <c r="R37" i="2"/>
  <c r="R498" i="2"/>
  <c r="R299" i="2"/>
  <c r="R270" i="2"/>
  <c r="R493" i="2"/>
  <c r="R438" i="2"/>
  <c r="R69" i="2"/>
  <c r="R143" i="2"/>
  <c r="R322" i="2"/>
  <c r="R185" i="2"/>
  <c r="R222" i="2"/>
  <c r="R468" i="2"/>
  <c r="R226" i="2"/>
  <c r="R122" i="2"/>
  <c r="R40" i="2"/>
  <c r="R187" i="2"/>
  <c r="R301" i="2"/>
  <c r="R393" i="2"/>
  <c r="R473" i="2"/>
  <c r="R364" i="2"/>
  <c r="R10" i="2"/>
  <c r="R314" i="2"/>
  <c r="R61" i="2"/>
  <c r="R131" i="2"/>
  <c r="R412" i="2"/>
  <c r="R431" i="2"/>
  <c r="R154" i="2"/>
  <c r="R138" i="2"/>
  <c r="R44" i="2"/>
  <c r="R112" i="2"/>
  <c r="R166" i="2"/>
  <c r="R430" i="2"/>
  <c r="R306" i="2"/>
  <c r="R286" i="2"/>
  <c r="R319" i="2"/>
  <c r="R224" i="2"/>
  <c r="R39" i="2"/>
  <c r="R280" i="2"/>
  <c r="R162" i="2"/>
  <c r="R379" i="2"/>
  <c r="R199" i="2"/>
  <c r="R403" i="2"/>
  <c r="R264" i="2"/>
  <c r="R488" i="2"/>
  <c r="R151" i="2"/>
  <c r="R268" i="2"/>
  <c r="R419" i="2"/>
  <c r="R172" i="2"/>
  <c r="R346" i="2"/>
  <c r="R405" i="2"/>
  <c r="R470" i="2"/>
  <c r="R282" i="2"/>
  <c r="R269" i="2"/>
  <c r="R340" i="2"/>
  <c r="R482" i="2"/>
  <c r="R188" i="2"/>
  <c r="R305" i="2"/>
  <c r="R398" i="2"/>
  <c r="R450" i="2"/>
  <c r="R401" i="2"/>
  <c r="R256" i="2"/>
  <c r="R399" i="2"/>
  <c r="R168" i="2"/>
  <c r="R120" i="2"/>
  <c r="R135" i="2"/>
  <c r="R30" i="2"/>
  <c r="R62" i="2"/>
  <c r="R400" i="2"/>
  <c r="R233" i="2"/>
  <c r="R323" i="2"/>
  <c r="R110" i="2"/>
  <c r="R140" i="2"/>
  <c r="R467" i="2"/>
  <c r="R95" i="2"/>
  <c r="R307" i="2"/>
  <c r="R483" i="2"/>
  <c r="R228" i="2"/>
  <c r="R176" i="2"/>
  <c r="R313" i="2"/>
  <c r="R48" i="2"/>
  <c r="R12" i="2"/>
  <c r="R406" i="2"/>
  <c r="R292" i="2"/>
  <c r="R169" i="2"/>
  <c r="R54" i="2"/>
  <c r="R141" i="2"/>
  <c r="R130" i="2"/>
  <c r="R241" i="2"/>
  <c r="R203" i="2"/>
  <c r="R43" i="2"/>
  <c r="R329" i="2"/>
  <c r="R321" i="2"/>
  <c r="R343" i="2"/>
  <c r="R94" i="2"/>
  <c r="R80" i="2"/>
  <c r="R209" i="2"/>
  <c r="R453" i="2"/>
  <c r="R426" i="2"/>
  <c r="R57" i="2"/>
  <c r="R231" i="2"/>
  <c r="R249" i="2"/>
  <c r="R317" i="2"/>
  <c r="R152" i="2"/>
  <c r="R208" i="2"/>
  <c r="R382" i="2"/>
  <c r="R300" i="2"/>
  <c r="R423" i="2"/>
  <c r="R359" i="2"/>
  <c r="R391" i="2"/>
  <c r="R85" i="2"/>
  <c r="R434" i="2"/>
  <c r="R386" i="2"/>
  <c r="R445" i="2"/>
  <c r="R397" i="2"/>
  <c r="R240" i="2"/>
  <c r="R462" i="2"/>
  <c r="R499" i="2"/>
  <c r="R191" i="2"/>
  <c r="R211" i="2"/>
  <c r="R119" i="2"/>
  <c r="R8" i="2"/>
  <c r="R158" i="2"/>
  <c r="R418" i="2"/>
  <c r="R195" i="2"/>
  <c r="R289" i="2"/>
  <c r="R59" i="2"/>
  <c r="R395" i="2"/>
  <c r="R494" i="2"/>
  <c r="R14" i="2"/>
  <c r="R99" i="2"/>
  <c r="R291" i="2"/>
  <c r="R147" i="2"/>
  <c r="R316" i="2"/>
  <c r="R96" i="2"/>
  <c r="R312" i="2"/>
  <c r="R451" i="2"/>
  <c r="R294" i="2"/>
  <c r="R67" i="2"/>
  <c r="R427" i="2"/>
  <c r="R290" i="2"/>
  <c r="R25" i="2"/>
  <c r="R32" i="2"/>
  <c r="R246" i="2"/>
  <c r="R296" i="2"/>
  <c r="R484" i="2"/>
  <c r="R236" i="2"/>
  <c r="R422" i="2"/>
  <c r="R500" i="2"/>
  <c r="R184" i="2"/>
  <c r="R449" i="2"/>
  <c r="R133" i="2"/>
  <c r="R277" i="2"/>
  <c r="R114" i="2"/>
  <c r="R34" i="2"/>
  <c r="R163" i="2"/>
  <c r="R127" i="2"/>
  <c r="R349" i="2"/>
  <c r="R202" i="2"/>
  <c r="R205" i="2"/>
  <c r="R491" i="2"/>
  <c r="R29" i="2"/>
  <c r="R455" i="2"/>
  <c r="R9" i="2"/>
  <c r="R337" i="2"/>
  <c r="R361" i="2"/>
  <c r="R105" i="2"/>
  <c r="R344" i="2"/>
  <c r="R360" i="2"/>
  <c r="R421" i="2"/>
  <c r="Q502" i="2"/>
  <c r="R407" i="2"/>
  <c r="R118" i="2"/>
  <c r="R171" i="2"/>
  <c r="R472" i="2"/>
  <c r="R21" i="2"/>
  <c r="R414" i="2"/>
  <c r="R86" i="2"/>
  <c r="R15" i="2"/>
  <c r="R98" i="2"/>
  <c r="R123" i="2"/>
  <c r="R27" i="2"/>
  <c r="R125" i="2"/>
  <c r="R182" i="2"/>
  <c r="R139" i="2"/>
  <c r="R201" i="2"/>
  <c r="R58" i="2"/>
  <c r="R181" i="2"/>
  <c r="R232" i="2"/>
  <c r="R137" i="2"/>
  <c r="R78" i="2"/>
  <c r="R83" i="2"/>
  <c r="R142" i="2"/>
  <c r="R145" i="2"/>
  <c r="R36" i="2"/>
  <c r="R489" i="2"/>
  <c r="R207" i="2"/>
  <c r="R424" i="2"/>
  <c r="R45" i="2"/>
  <c r="R237" i="2"/>
  <c r="R190" i="2"/>
  <c r="R221" i="2"/>
  <c r="R429" i="2"/>
  <c r="R165" i="2"/>
  <c r="R42" i="2"/>
  <c r="R63" i="2"/>
  <c r="R372" i="2"/>
  <c r="R204" i="2"/>
  <c r="R104" i="2"/>
  <c r="R377" i="2"/>
  <c r="R331" i="2"/>
  <c r="R23" i="2"/>
  <c r="R274" i="2"/>
  <c r="R148" i="2"/>
  <c r="R480" i="2"/>
  <c r="R230" i="2"/>
  <c r="R18" i="2"/>
  <c r="R7" i="2"/>
  <c r="R304" i="2"/>
  <c r="R457" i="2"/>
  <c r="R79" i="2"/>
  <c r="R497" i="2"/>
  <c r="R22" i="2"/>
  <c r="R459" i="2"/>
  <c r="R446" i="2"/>
  <c r="R257" i="2"/>
  <c r="R121" i="2"/>
  <c r="R206" i="2"/>
  <c r="R466" i="2"/>
  <c r="R174" i="2"/>
  <c r="R200" i="2"/>
  <c r="R452" i="2"/>
  <c r="R77" i="2"/>
  <c r="R51" i="2"/>
  <c r="R107" i="2"/>
  <c r="R111" i="2"/>
  <c r="R180" i="2"/>
  <c r="R70" i="2"/>
  <c r="R383" i="2"/>
  <c r="R93" i="2"/>
  <c r="R82" i="2"/>
  <c r="R273" i="2"/>
  <c r="R288" i="2"/>
  <c r="R234" i="2"/>
  <c r="R223" i="2"/>
  <c r="R353" i="2"/>
  <c r="R65" i="2"/>
  <c r="R149" i="2"/>
  <c r="R157" i="2"/>
  <c r="R285" i="2"/>
  <c r="R194" i="2"/>
  <c r="R100" i="2"/>
  <c r="R5" i="2"/>
  <c r="R6" i="2"/>
  <c r="R178" i="2"/>
  <c r="R218" i="2"/>
  <c r="R416" i="2"/>
  <c r="R146" i="2"/>
  <c r="R260" i="2"/>
  <c r="R170" i="2"/>
  <c r="R88" i="2"/>
  <c r="R167" i="2"/>
  <c r="R66" i="2"/>
  <c r="R210" i="2"/>
  <c r="R164" i="2"/>
  <c r="R413" i="2"/>
  <c r="R46" i="2"/>
  <c r="R50" i="2"/>
  <c r="R374" i="2"/>
  <c r="R87" i="2"/>
  <c r="R440" i="2"/>
  <c r="R81" i="2"/>
  <c r="R197" i="2"/>
  <c r="R153" i="2"/>
  <c r="R76" i="2"/>
  <c r="R35" i="2"/>
  <c r="R425" i="2"/>
  <c r="R417" i="2"/>
  <c r="R28" i="2"/>
  <c r="R102" i="2"/>
  <c r="R55" i="2"/>
  <c r="R177" i="2"/>
  <c r="R375" i="2"/>
  <c r="R352" i="2"/>
  <c r="R411" i="2"/>
  <c r="R60" i="2"/>
  <c r="R106" i="2"/>
  <c r="R238" i="2"/>
  <c r="R309" i="2"/>
  <c r="R355" i="2"/>
  <c r="R245" i="2"/>
  <c r="R2" i="2"/>
  <c r="O502" i="2"/>
  <c r="O506" i="2" s="1"/>
  <c r="D22" i="1" a="1"/>
  <c r="D22" i="1" s="1"/>
  <c r="R504" i="2" l="1"/>
  <c r="R502" i="2"/>
  <c r="R505" i="2" s="1"/>
  <c r="G35" i="1"/>
  <c r="F35" i="1"/>
  <c r="E35" i="1"/>
  <c r="G34" i="1"/>
  <c r="F34" i="1"/>
  <c r="E34" i="1"/>
  <c r="G33" i="1"/>
  <c r="F33" i="1"/>
  <c r="E33" i="1"/>
  <c r="G32" i="1"/>
  <c r="F32" i="1"/>
  <c r="E32" i="1"/>
  <c r="G31" i="1"/>
  <c r="F31" i="1"/>
  <c r="E31" i="1"/>
  <c r="G30" i="1"/>
  <c r="F30" i="1"/>
  <c r="E30" i="1"/>
  <c r="G29" i="1"/>
  <c r="F29" i="1"/>
  <c r="E29" i="1"/>
  <c r="G28" i="1"/>
  <c r="F28" i="1"/>
  <c r="E28" i="1"/>
  <c r="G27" i="1"/>
  <c r="F27" i="1"/>
  <c r="E27" i="1"/>
  <c r="G26" i="1"/>
  <c r="F26" i="1"/>
  <c r="E26" i="1"/>
  <c r="G25" i="1"/>
  <c r="F25" i="1"/>
  <c r="E25" i="1"/>
  <c r="G24" i="1"/>
  <c r="F24" i="1"/>
  <c r="E24" i="1"/>
  <c r="G23" i="1"/>
  <c r="F23" i="1"/>
  <c r="E23" i="1"/>
  <c r="G22" i="1"/>
  <c r="F22" i="1"/>
  <c r="E22" i="1"/>
  <c r="R20" i="3"/>
  <c r="Q20" i="3"/>
  <c r="P20" i="3"/>
  <c r="O20" i="3"/>
  <c r="N20" i="3"/>
  <c r="F20" i="3"/>
  <c r="E20" i="3"/>
  <c r="D20" i="3"/>
  <c r="C20" i="3"/>
  <c r="B20" i="3"/>
  <c r="R19" i="3"/>
  <c r="Q19" i="3"/>
  <c r="P19" i="3"/>
  <c r="O19" i="3"/>
  <c r="N19" i="3"/>
  <c r="F19" i="3"/>
  <c r="E19" i="3"/>
  <c r="D19" i="3"/>
  <c r="C19" i="3"/>
  <c r="B19" i="3"/>
  <c r="R18" i="3"/>
  <c r="Q18" i="3"/>
  <c r="P18" i="3"/>
  <c r="O18" i="3"/>
  <c r="N18" i="3"/>
  <c r="F18" i="3"/>
  <c r="E18" i="3"/>
  <c r="D18" i="3"/>
  <c r="C18" i="3"/>
  <c r="B18" i="3"/>
  <c r="R17" i="3"/>
  <c r="Q17" i="3"/>
  <c r="P17" i="3"/>
  <c r="O17" i="3"/>
  <c r="N17" i="3"/>
  <c r="F17" i="3"/>
  <c r="E17" i="3"/>
  <c r="D17" i="3"/>
  <c r="C17" i="3"/>
  <c r="B17" i="3"/>
  <c r="R16" i="3"/>
  <c r="Q16" i="3"/>
  <c r="P16" i="3"/>
  <c r="O16" i="3"/>
  <c r="N16" i="3"/>
  <c r="F16" i="3"/>
  <c r="E16" i="3"/>
  <c r="D16" i="3"/>
  <c r="C16" i="3"/>
  <c r="B16" i="3"/>
  <c r="R15" i="3"/>
  <c r="Q15" i="3"/>
  <c r="P15" i="3"/>
  <c r="O15" i="3"/>
  <c r="N15" i="3"/>
  <c r="F15" i="3"/>
  <c r="E15" i="3"/>
  <c r="D15" i="3"/>
  <c r="C15" i="3"/>
  <c r="B15" i="3"/>
  <c r="R14" i="3"/>
  <c r="Q14" i="3"/>
  <c r="P14" i="3"/>
  <c r="O14" i="3"/>
  <c r="N14" i="3"/>
  <c r="F14" i="3"/>
  <c r="E14" i="3"/>
  <c r="D14" i="3"/>
  <c r="C14" i="3"/>
  <c r="B14" i="3"/>
  <c r="R13" i="3"/>
  <c r="Q13" i="3"/>
  <c r="P13" i="3"/>
  <c r="O13" i="3"/>
  <c r="N13" i="3"/>
  <c r="F13" i="3"/>
  <c r="E13" i="3"/>
  <c r="D13" i="3"/>
  <c r="C13" i="3"/>
  <c r="B13" i="3"/>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<sst xmlns="http://schemas.openxmlformats.org/spreadsheetml/2006/main" count="5422" uniqueCount="595">
  <si>
    <t>Order_ID</t>
  </si>
  <si>
    <t>Date</t>
  </si>
  <si>
    <t>Product</t>
  </si>
  <si>
    <t>Category</t>
  </si>
  <si>
    <t>Supplier</t>
  </si>
  <si>
    <t>Stock_Out</t>
  </si>
  <si>
    <t>Inventory_Level</t>
  </si>
  <si>
    <t>Reorder_Level</t>
  </si>
  <si>
    <t>Lead_Time_Days</t>
  </si>
  <si>
    <t>Unit_Cost</t>
  </si>
  <si>
    <t>Selling_Price</t>
  </si>
  <si>
    <t>ORD1</t>
  </si>
  <si>
    <t>Jeans</t>
  </si>
  <si>
    <t>Kids</t>
  </si>
  <si>
    <t>StyleStreet</t>
  </si>
  <si>
    <t>ORD2</t>
  </si>
  <si>
    <t>Hoodie</t>
  </si>
  <si>
    <t>Women</t>
  </si>
  <si>
    <t>ORD3</t>
  </si>
  <si>
    <t>Sweater</t>
  </si>
  <si>
    <t>Men</t>
  </si>
  <si>
    <t>Urban Wear Co</t>
  </si>
  <si>
    <t>ORD4</t>
  </si>
  <si>
    <t>Not Available</t>
  </si>
  <si>
    <t>ORD5</t>
  </si>
  <si>
    <t>ORD6</t>
  </si>
  <si>
    <t>T-Shirt</t>
  </si>
  <si>
    <t>ORD7</t>
  </si>
  <si>
    <t>ORD8</t>
  </si>
  <si>
    <t>ORD9</t>
  </si>
  <si>
    <t>Dress</t>
  </si>
  <si>
    <t>ORD10</t>
  </si>
  <si>
    <t>ORD11</t>
  </si>
  <si>
    <t>Fashion Hub Ltd</t>
  </si>
  <si>
    <t>ORD12</t>
  </si>
  <si>
    <t>jacket</t>
  </si>
  <si>
    <t>ORD13</t>
  </si>
  <si>
    <t>Shirt</t>
  </si>
  <si>
    <t>Clothify</t>
  </si>
  <si>
    <t>ORD14</t>
  </si>
  <si>
    <t>ORD15</t>
  </si>
  <si>
    <t>ORD16</t>
  </si>
  <si>
    <t>ORD17</t>
  </si>
  <si>
    <t>ORD18</t>
  </si>
  <si>
    <t>ORD19</t>
  </si>
  <si>
    <t>Shorts</t>
  </si>
  <si>
    <t>ORD20</t>
  </si>
  <si>
    <t>ORD21</t>
  </si>
  <si>
    <t>ORD22</t>
  </si>
  <si>
    <t>ORD23</t>
  </si>
  <si>
    <t>hoodie</t>
  </si>
  <si>
    <t>ORD24</t>
  </si>
  <si>
    <t>ORD25</t>
  </si>
  <si>
    <t>Jacket</t>
  </si>
  <si>
    <t>ORD26</t>
  </si>
  <si>
    <t>ORD27</t>
  </si>
  <si>
    <t>ORD28</t>
  </si>
  <si>
    <t>ORD29</t>
  </si>
  <si>
    <t>ORD30</t>
  </si>
  <si>
    <t>ORD31</t>
  </si>
  <si>
    <t>ORD32</t>
  </si>
  <si>
    <t>ORD33</t>
  </si>
  <si>
    <t>ORD34</t>
  </si>
  <si>
    <t>ORD35</t>
  </si>
  <si>
    <t>ORD36</t>
  </si>
  <si>
    <t>ORD37</t>
  </si>
  <si>
    <t>ORD38</t>
  </si>
  <si>
    <t>ORD39</t>
  </si>
  <si>
    <t>ORD40</t>
  </si>
  <si>
    <t>ORD41</t>
  </si>
  <si>
    <t>ORD42</t>
  </si>
  <si>
    <t>ORD43</t>
  </si>
  <si>
    <t>ORD44</t>
  </si>
  <si>
    <t>ORD45</t>
  </si>
  <si>
    <t>ORD46</t>
  </si>
  <si>
    <t>ORD47</t>
  </si>
  <si>
    <t>ORD48</t>
  </si>
  <si>
    <t>ORD49</t>
  </si>
  <si>
    <t>ORD50</t>
  </si>
  <si>
    <t>ORD51</t>
  </si>
  <si>
    <t>ORD52</t>
  </si>
  <si>
    <t>ORD53</t>
  </si>
  <si>
    <t>ORD54</t>
  </si>
  <si>
    <t>ORD55</t>
  </si>
  <si>
    <t>ORD56</t>
  </si>
  <si>
    <t>ORD57</t>
  </si>
  <si>
    <t>ORD58</t>
  </si>
  <si>
    <t>ORD59</t>
  </si>
  <si>
    <t>ORD60</t>
  </si>
  <si>
    <t>ORD61</t>
  </si>
  <si>
    <t>ORD62</t>
  </si>
  <si>
    <t>ORD63</t>
  </si>
  <si>
    <t>ORD64</t>
  </si>
  <si>
    <t>ORD65</t>
  </si>
  <si>
    <t>ORD66</t>
  </si>
  <si>
    <t>ORD67</t>
  </si>
  <si>
    <t>ORD68</t>
  </si>
  <si>
    <t>ORD69</t>
  </si>
  <si>
    <t>ORD70</t>
  </si>
  <si>
    <t>ORD71</t>
  </si>
  <si>
    <t>ORD72</t>
  </si>
  <si>
    <t>ORD73</t>
  </si>
  <si>
    <t>ORD74</t>
  </si>
  <si>
    <t>ORD75</t>
  </si>
  <si>
    <t>ORD76</t>
  </si>
  <si>
    <t>ORD77</t>
  </si>
  <si>
    <t>ORD78</t>
  </si>
  <si>
    <t>ORD79</t>
  </si>
  <si>
    <t>ORD80</t>
  </si>
  <si>
    <t>ORD81</t>
  </si>
  <si>
    <t>ORD82</t>
  </si>
  <si>
    <t>ORD83</t>
  </si>
  <si>
    <t>ORD84</t>
  </si>
  <si>
    <t>ORD85</t>
  </si>
  <si>
    <t>ORD86</t>
  </si>
  <si>
    <t>ORD87</t>
  </si>
  <si>
    <t>ORD88</t>
  </si>
  <si>
    <t>ORD89</t>
  </si>
  <si>
    <t>ORD90</t>
  </si>
  <si>
    <t>ORD91</t>
  </si>
  <si>
    <t>ORD92</t>
  </si>
  <si>
    <t>ORD93</t>
  </si>
  <si>
    <t>ORD94</t>
  </si>
  <si>
    <t>ORD95</t>
  </si>
  <si>
    <t>ORD96</t>
  </si>
  <si>
    <t>ORD97</t>
  </si>
  <si>
    <t>ORD98</t>
  </si>
  <si>
    <t>ORD99</t>
  </si>
  <si>
    <t>ORD100</t>
  </si>
  <si>
    <t>ORD101</t>
  </si>
  <si>
    <t>ORD102</t>
  </si>
  <si>
    <t>ORD103</t>
  </si>
  <si>
    <t>ORD104</t>
  </si>
  <si>
    <t>ORD105</t>
  </si>
  <si>
    <t>ORD106</t>
  </si>
  <si>
    <t>ORD107</t>
  </si>
  <si>
    <t>ORD108</t>
  </si>
  <si>
    <t>ORD109</t>
  </si>
  <si>
    <t>ORD110</t>
  </si>
  <si>
    <t>ORD111</t>
  </si>
  <si>
    <t>ORD112</t>
  </si>
  <si>
    <t>ORD113</t>
  </si>
  <si>
    <t>ORD114</t>
  </si>
  <si>
    <t>ORD115</t>
  </si>
  <si>
    <t>ORD116</t>
  </si>
  <si>
    <t>ORD117</t>
  </si>
  <si>
    <t>dress</t>
  </si>
  <si>
    <t>ORD118</t>
  </si>
  <si>
    <t>ORD119</t>
  </si>
  <si>
    <t>ORD120</t>
  </si>
  <si>
    <t>ORD121</t>
  </si>
  <si>
    <t>sweater</t>
  </si>
  <si>
    <t>ORD122</t>
  </si>
  <si>
    <t>ORD123</t>
  </si>
  <si>
    <t>ORD124</t>
  </si>
  <si>
    <t>ORD125</t>
  </si>
  <si>
    <t>ORD126</t>
  </si>
  <si>
    <t>jeans</t>
  </si>
  <si>
    <t>ORD127</t>
  </si>
  <si>
    <t>ORD128</t>
  </si>
  <si>
    <t>ORD129</t>
  </si>
  <si>
    <t>ORD130</t>
  </si>
  <si>
    <t>ORD131</t>
  </si>
  <si>
    <t>ORD132</t>
  </si>
  <si>
    <t>ORD133</t>
  </si>
  <si>
    <t>ORD134</t>
  </si>
  <si>
    <t>ORD135</t>
  </si>
  <si>
    <t>ORD136</t>
  </si>
  <si>
    <t>ORD137</t>
  </si>
  <si>
    <t>ORD138</t>
  </si>
  <si>
    <t>ORD139</t>
  </si>
  <si>
    <t>ORD140</t>
  </si>
  <si>
    <t>ORD141</t>
  </si>
  <si>
    <t>ORD142</t>
  </si>
  <si>
    <t>ORD143</t>
  </si>
  <si>
    <t>ORD144</t>
  </si>
  <si>
    <t>ORD145</t>
  </si>
  <si>
    <t>ORD146</t>
  </si>
  <si>
    <t>ORD147</t>
  </si>
  <si>
    <t>ORD148</t>
  </si>
  <si>
    <t>ORD149</t>
  </si>
  <si>
    <t>ORD150</t>
  </si>
  <si>
    <t>ORD151</t>
  </si>
  <si>
    <t>ORD152</t>
  </si>
  <si>
    <t>ORD153</t>
  </si>
  <si>
    <t>ORD154</t>
  </si>
  <si>
    <t>ORD155</t>
  </si>
  <si>
    <t>ORD156</t>
  </si>
  <si>
    <t>ORD157</t>
  </si>
  <si>
    <t>ORD158</t>
  </si>
  <si>
    <t>ORD159</t>
  </si>
  <si>
    <t>ORD160</t>
  </si>
  <si>
    <t>ORD161</t>
  </si>
  <si>
    <t>ORD162</t>
  </si>
  <si>
    <t>ORD163</t>
  </si>
  <si>
    <t>ORD164</t>
  </si>
  <si>
    <t>ORD165</t>
  </si>
  <si>
    <t>ORD166</t>
  </si>
  <si>
    <t>ORD167</t>
  </si>
  <si>
    <t>ORD168</t>
  </si>
  <si>
    <t>ORD169</t>
  </si>
  <si>
    <t>ORD170</t>
  </si>
  <si>
    <t>ORD171</t>
  </si>
  <si>
    <t>ORD172</t>
  </si>
  <si>
    <t>ORD173</t>
  </si>
  <si>
    <t>ORD174</t>
  </si>
  <si>
    <t>ORD175</t>
  </si>
  <si>
    <t>ORD176</t>
  </si>
  <si>
    <t>ORD177</t>
  </si>
  <si>
    <t>ORD178</t>
  </si>
  <si>
    <t>ORD179</t>
  </si>
  <si>
    <t>ORD180</t>
  </si>
  <si>
    <t>ORD181</t>
  </si>
  <si>
    <t>ORD182</t>
  </si>
  <si>
    <t>ORD183</t>
  </si>
  <si>
    <t>ORD184</t>
  </si>
  <si>
    <t>ORD185</t>
  </si>
  <si>
    <t>ORD186</t>
  </si>
  <si>
    <t>ORD187</t>
  </si>
  <si>
    <t>ORD188</t>
  </si>
  <si>
    <t>ORD189</t>
  </si>
  <si>
    <t>ORD190</t>
  </si>
  <si>
    <t>ORD191</t>
  </si>
  <si>
    <t>ORD192</t>
  </si>
  <si>
    <t>ORD193</t>
  </si>
  <si>
    <t>ORD194</t>
  </si>
  <si>
    <t>ORD195</t>
  </si>
  <si>
    <t>ORD196</t>
  </si>
  <si>
    <t>ORD197</t>
  </si>
  <si>
    <t>ORD198</t>
  </si>
  <si>
    <t>ORD199</t>
  </si>
  <si>
    <t>ORD200</t>
  </si>
  <si>
    <t>ORD201</t>
  </si>
  <si>
    <t>ORD202</t>
  </si>
  <si>
    <t>ORD203</t>
  </si>
  <si>
    <t>ORD204</t>
  </si>
  <si>
    <t>ORD205</t>
  </si>
  <si>
    <t>ORD206</t>
  </si>
  <si>
    <t>ORD207</t>
  </si>
  <si>
    <t>ORD208</t>
  </si>
  <si>
    <t>ORD209</t>
  </si>
  <si>
    <t>ORD210</t>
  </si>
  <si>
    <t>ORD211</t>
  </si>
  <si>
    <t>ORD212</t>
  </si>
  <si>
    <t>ORD213</t>
  </si>
  <si>
    <t>ORD214</t>
  </si>
  <si>
    <t>ORD215</t>
  </si>
  <si>
    <t>ORD216</t>
  </si>
  <si>
    <t>ORD217</t>
  </si>
  <si>
    <t>ORD218</t>
  </si>
  <si>
    <t>ORD219</t>
  </si>
  <si>
    <t>ORD220</t>
  </si>
  <si>
    <t>ORD221</t>
  </si>
  <si>
    <t>ORD222</t>
  </si>
  <si>
    <t>ORD223</t>
  </si>
  <si>
    <t>ORD224</t>
  </si>
  <si>
    <t>ORD225</t>
  </si>
  <si>
    <t>ORD226</t>
  </si>
  <si>
    <t>ORD227</t>
  </si>
  <si>
    <t>shirt</t>
  </si>
  <si>
    <t>ORD228</t>
  </si>
  <si>
    <t>ORD229</t>
  </si>
  <si>
    <t>ORD230</t>
  </si>
  <si>
    <t>ORD231</t>
  </si>
  <si>
    <t>ORD232</t>
  </si>
  <si>
    <t>ORD233</t>
  </si>
  <si>
    <t>ORD234</t>
  </si>
  <si>
    <t>ORD235</t>
  </si>
  <si>
    <t>ORD236</t>
  </si>
  <si>
    <t>ORD237</t>
  </si>
  <si>
    <t>ORD238</t>
  </si>
  <si>
    <t>ORD239</t>
  </si>
  <si>
    <t>ORD240</t>
  </si>
  <si>
    <t>ORD241</t>
  </si>
  <si>
    <t>ORD242</t>
  </si>
  <si>
    <t>ORD243</t>
  </si>
  <si>
    <t>ORD244</t>
  </si>
  <si>
    <t>ORD245</t>
  </si>
  <si>
    <t>ORD246</t>
  </si>
  <si>
    <t>ORD247</t>
  </si>
  <si>
    <t>ORD248</t>
  </si>
  <si>
    <t>ORD249</t>
  </si>
  <si>
    <t>ORD250</t>
  </si>
  <si>
    <t>ORD251</t>
  </si>
  <si>
    <t>ORD252</t>
  </si>
  <si>
    <t>ORD253</t>
  </si>
  <si>
    <t>ORD254</t>
  </si>
  <si>
    <t>ORD255</t>
  </si>
  <si>
    <t>ORD256</t>
  </si>
  <si>
    <t>ORD257</t>
  </si>
  <si>
    <t>ORD258</t>
  </si>
  <si>
    <t>ORD259</t>
  </si>
  <si>
    <t>ORD260</t>
  </si>
  <si>
    <t>ORD261</t>
  </si>
  <si>
    <t>ORD262</t>
  </si>
  <si>
    <t>ORD263</t>
  </si>
  <si>
    <t>ORD264</t>
  </si>
  <si>
    <t>ORD265</t>
  </si>
  <si>
    <t>ORD266</t>
  </si>
  <si>
    <t>ORD267</t>
  </si>
  <si>
    <t>ORD268</t>
  </si>
  <si>
    <t>ORD269</t>
  </si>
  <si>
    <t>ORD270</t>
  </si>
  <si>
    <t>ORD271</t>
  </si>
  <si>
    <t>ORD272</t>
  </si>
  <si>
    <t>t-shirt</t>
  </si>
  <si>
    <t>ORD273</t>
  </si>
  <si>
    <t>ORD274</t>
  </si>
  <si>
    <t>ORD275</t>
  </si>
  <si>
    <t>ORD276</t>
  </si>
  <si>
    <t>ORD277</t>
  </si>
  <si>
    <t>ORD278</t>
  </si>
  <si>
    <t>ORD279</t>
  </si>
  <si>
    <t>ORD280</t>
  </si>
  <si>
    <t>ORD281</t>
  </si>
  <si>
    <t>ORD282</t>
  </si>
  <si>
    <t>ORD283</t>
  </si>
  <si>
    <t>ORD284</t>
  </si>
  <si>
    <t>ORD285</t>
  </si>
  <si>
    <t>ORD286</t>
  </si>
  <si>
    <t>ORD287</t>
  </si>
  <si>
    <t>ORD288</t>
  </si>
  <si>
    <t>ORD289</t>
  </si>
  <si>
    <t>ORD290</t>
  </si>
  <si>
    <t>ORD291</t>
  </si>
  <si>
    <t>ORD292</t>
  </si>
  <si>
    <t>ORD293</t>
  </si>
  <si>
    <t>ORD294</t>
  </si>
  <si>
    <t>ORD295</t>
  </si>
  <si>
    <t>shorts</t>
  </si>
  <si>
    <t>ORD296</t>
  </si>
  <si>
    <t>ORD297</t>
  </si>
  <si>
    <t>ORD298</t>
  </si>
  <si>
    <t>ORD299</t>
  </si>
  <si>
    <t>ORD300</t>
  </si>
  <si>
    <t>ORD301</t>
  </si>
  <si>
    <t>ORD302</t>
  </si>
  <si>
    <t>ORD303</t>
  </si>
  <si>
    <t>ORD304</t>
  </si>
  <si>
    <t>ORD305</t>
  </si>
  <si>
    <t>ORD306</t>
  </si>
  <si>
    <t>ORD307</t>
  </si>
  <si>
    <t>ORD308</t>
  </si>
  <si>
    <t>ORD309</t>
  </si>
  <si>
    <t>ORD310</t>
  </si>
  <si>
    <t>ORD311</t>
  </si>
  <si>
    <t>ORD312</t>
  </si>
  <si>
    <t>ORD313</t>
  </si>
  <si>
    <t>ORD314</t>
  </si>
  <si>
    <t>ORD315</t>
  </si>
  <si>
    <t>ORD316</t>
  </si>
  <si>
    <t>ORD317</t>
  </si>
  <si>
    <t>ORD318</t>
  </si>
  <si>
    <t>ORD319</t>
  </si>
  <si>
    <t>ORD320</t>
  </si>
  <si>
    <t>ORD321</t>
  </si>
  <si>
    <t>ORD322</t>
  </si>
  <si>
    <t>ORD323</t>
  </si>
  <si>
    <t>ORD324</t>
  </si>
  <si>
    <t>ORD325</t>
  </si>
  <si>
    <t>ORD326</t>
  </si>
  <si>
    <t>ORD327</t>
  </si>
  <si>
    <t>ORD328</t>
  </si>
  <si>
    <t>ORD329</t>
  </si>
  <si>
    <t>ORD330</t>
  </si>
  <si>
    <t>ORD331</t>
  </si>
  <si>
    <t>ORD332</t>
  </si>
  <si>
    <t>ORD333</t>
  </si>
  <si>
    <t>ORD334</t>
  </si>
  <si>
    <t>ORD335</t>
  </si>
  <si>
    <t>ORD336</t>
  </si>
  <si>
    <t>ORD337</t>
  </si>
  <si>
    <t>ORD338</t>
  </si>
  <si>
    <t>ORD339</t>
  </si>
  <si>
    <t>ORD340</t>
  </si>
  <si>
    <t>ORD341</t>
  </si>
  <si>
    <t>ORD342</t>
  </si>
  <si>
    <t>ORD343</t>
  </si>
  <si>
    <t>ORD344</t>
  </si>
  <si>
    <t>ORD345</t>
  </si>
  <si>
    <t>ORD346</t>
  </si>
  <si>
    <t>ORD347</t>
  </si>
  <si>
    <t>ORD348</t>
  </si>
  <si>
    <t>ORD349</t>
  </si>
  <si>
    <t>ORD350</t>
  </si>
  <si>
    <t>ORD351</t>
  </si>
  <si>
    <t>ORD352</t>
  </si>
  <si>
    <t>ORD353</t>
  </si>
  <si>
    <t>ORD354</t>
  </si>
  <si>
    <t>ORD355</t>
  </si>
  <si>
    <t>ORD356</t>
  </si>
  <si>
    <t>ORD357</t>
  </si>
  <si>
    <t>ORD358</t>
  </si>
  <si>
    <t>ORD359</t>
  </si>
  <si>
    <t>ORD360</t>
  </si>
  <si>
    <t>ORD361</t>
  </si>
  <si>
    <t>ORD362</t>
  </si>
  <si>
    <t>ORD363</t>
  </si>
  <si>
    <t>ORD364</t>
  </si>
  <si>
    <t>ORD365</t>
  </si>
  <si>
    <t>ORD366</t>
  </si>
  <si>
    <t>ORD367</t>
  </si>
  <si>
    <t>ORD368</t>
  </si>
  <si>
    <t>ORD369</t>
  </si>
  <si>
    <t>ORD370</t>
  </si>
  <si>
    <t>ORD371</t>
  </si>
  <si>
    <t>ORD372</t>
  </si>
  <si>
    <t>ORD373</t>
  </si>
  <si>
    <t>ORD374</t>
  </si>
  <si>
    <t>ORD375</t>
  </si>
  <si>
    <t>ORD376</t>
  </si>
  <si>
    <t>ORD377</t>
  </si>
  <si>
    <t>ORD378</t>
  </si>
  <si>
    <t>ORD379</t>
  </si>
  <si>
    <t>ORD380</t>
  </si>
  <si>
    <t>ORD381</t>
  </si>
  <si>
    <t>ORD382</t>
  </si>
  <si>
    <t>ORD383</t>
  </si>
  <si>
    <t>ORD384</t>
  </si>
  <si>
    <t>ORD385</t>
  </si>
  <si>
    <t>ORD386</t>
  </si>
  <si>
    <t>ORD387</t>
  </si>
  <si>
    <t>ORD388</t>
  </si>
  <si>
    <t>ORD389</t>
  </si>
  <si>
    <t>ORD390</t>
  </si>
  <si>
    <t>ORD391</t>
  </si>
  <si>
    <t>ORD392</t>
  </si>
  <si>
    <t>ORD393</t>
  </si>
  <si>
    <t>ORD394</t>
  </si>
  <si>
    <t>ORD395</t>
  </si>
  <si>
    <t>ORD396</t>
  </si>
  <si>
    <t>ORD397</t>
  </si>
  <si>
    <t>ORD398</t>
  </si>
  <si>
    <t>ORD399</t>
  </si>
  <si>
    <t>ORD400</t>
  </si>
  <si>
    <t>ORD401</t>
  </si>
  <si>
    <t>ORD402</t>
  </si>
  <si>
    <t>ORD403</t>
  </si>
  <si>
    <t>ORD404</t>
  </si>
  <si>
    <t>ORD405</t>
  </si>
  <si>
    <t>ORD406</t>
  </si>
  <si>
    <t>ORD407</t>
  </si>
  <si>
    <t>ORD408</t>
  </si>
  <si>
    <t>ORD409</t>
  </si>
  <si>
    <t>ORD410</t>
  </si>
  <si>
    <t>ORD411</t>
  </si>
  <si>
    <t>ORD412</t>
  </si>
  <si>
    <t>ORD413</t>
  </si>
  <si>
    <t>ORD414</t>
  </si>
  <si>
    <t>ORD415</t>
  </si>
  <si>
    <t>ORD416</t>
  </si>
  <si>
    <t>ORD417</t>
  </si>
  <si>
    <t>ORD418</t>
  </si>
  <si>
    <t>ORD419</t>
  </si>
  <si>
    <t>ORD420</t>
  </si>
  <si>
    <t>ORD421</t>
  </si>
  <si>
    <t>ORD422</t>
  </si>
  <si>
    <t>ORD423</t>
  </si>
  <si>
    <t>ORD424</t>
  </si>
  <si>
    <t>ORD425</t>
  </si>
  <si>
    <t>ORD426</t>
  </si>
  <si>
    <t>ORD427</t>
  </si>
  <si>
    <t>ORD428</t>
  </si>
  <si>
    <t>ORD429</t>
  </si>
  <si>
    <t>ORD430</t>
  </si>
  <si>
    <t>ORD431</t>
  </si>
  <si>
    <t>ORD432</t>
  </si>
  <si>
    <t>ORD433</t>
  </si>
  <si>
    <t>ORD434</t>
  </si>
  <si>
    <t>ORD435</t>
  </si>
  <si>
    <t>ORD436</t>
  </si>
  <si>
    <t>ORD437</t>
  </si>
  <si>
    <t>ORD438</t>
  </si>
  <si>
    <t>ORD439</t>
  </si>
  <si>
    <t>ORD440</t>
  </si>
  <si>
    <t>ORD441</t>
  </si>
  <si>
    <t>ORD442</t>
  </si>
  <si>
    <t>ORD443</t>
  </si>
  <si>
    <t>ORD444</t>
  </si>
  <si>
    <t>ORD445</t>
  </si>
  <si>
    <t>ORD446</t>
  </si>
  <si>
    <t>ORD447</t>
  </si>
  <si>
    <t>ORD448</t>
  </si>
  <si>
    <t>ORD449</t>
  </si>
  <si>
    <t>ORD450</t>
  </si>
  <si>
    <t>ORD451</t>
  </si>
  <si>
    <t>ORD452</t>
  </si>
  <si>
    <t>ORD453</t>
  </si>
  <si>
    <t>ORD454</t>
  </si>
  <si>
    <t>ORD455</t>
  </si>
  <si>
    <t>ORD456</t>
  </si>
  <si>
    <t>ORD457</t>
  </si>
  <si>
    <t>ORD458</t>
  </si>
  <si>
    <t>ORD459</t>
  </si>
  <si>
    <t>ORD460</t>
  </si>
  <si>
    <t>ORD461</t>
  </si>
  <si>
    <t>ORD462</t>
  </si>
  <si>
    <t>ORD463</t>
  </si>
  <si>
    <t>ORD464</t>
  </si>
  <si>
    <t>ORD465</t>
  </si>
  <si>
    <t>ORD466</t>
  </si>
  <si>
    <t>ORD467</t>
  </si>
  <si>
    <t>ORD468</t>
  </si>
  <si>
    <t>ORD469</t>
  </si>
  <si>
    <t>ORD470</t>
  </si>
  <si>
    <t>ORD471</t>
  </si>
  <si>
    <t>ORD472</t>
  </si>
  <si>
    <t>ORD473</t>
  </si>
  <si>
    <t>ORD474</t>
  </si>
  <si>
    <t>ORD475</t>
  </si>
  <si>
    <t>ORD476</t>
  </si>
  <si>
    <t>ORD477</t>
  </si>
  <si>
    <t>ORD478</t>
  </si>
  <si>
    <t>ORD479</t>
  </si>
  <si>
    <t>ORD480</t>
  </si>
  <si>
    <t>ORD481</t>
  </si>
  <si>
    <t>ORD482</t>
  </si>
  <si>
    <t>ORD483</t>
  </si>
  <si>
    <t>ORD484</t>
  </si>
  <si>
    <t>ORD485</t>
  </si>
  <si>
    <t>ORD486</t>
  </si>
  <si>
    <t>ORD487</t>
  </si>
  <si>
    <t>ORD488</t>
  </si>
  <si>
    <t>ORD489</t>
  </si>
  <si>
    <t>ORD490</t>
  </si>
  <si>
    <t>ORD491</t>
  </si>
  <si>
    <t>ORD492</t>
  </si>
  <si>
    <t>ORD493</t>
  </si>
  <si>
    <t>ORD494</t>
  </si>
  <si>
    <t>ORD495</t>
  </si>
  <si>
    <t>ORD496</t>
  </si>
  <si>
    <t>ORD497</t>
  </si>
  <si>
    <t>ORD498</t>
  </si>
  <si>
    <t>ORD499</t>
  </si>
  <si>
    <t>ORD500</t>
  </si>
  <si>
    <t>Unsold Quantity</t>
  </si>
  <si>
    <t xml:space="preserve">unsold Value </t>
  </si>
  <si>
    <t>Sell Through %</t>
  </si>
  <si>
    <t xml:space="preserve">Decision </t>
  </si>
  <si>
    <t xml:space="preserve">Dead stock Quantity </t>
  </si>
  <si>
    <t>In Stock or Remaining</t>
  </si>
  <si>
    <t>sell movement Ratio</t>
  </si>
  <si>
    <t>Stock In(Total)</t>
  </si>
  <si>
    <t xml:space="preserve"> </t>
  </si>
  <si>
    <t>Dead Stock %</t>
  </si>
  <si>
    <t>Row Labels</t>
  </si>
  <si>
    <t>Grand Total</t>
  </si>
  <si>
    <t>Dead Stock</t>
  </si>
  <si>
    <t>Sum of Unsold Quantity</t>
  </si>
  <si>
    <t>Sum of Sell Through %</t>
  </si>
  <si>
    <t>Month</t>
  </si>
  <si>
    <t>Avg</t>
  </si>
  <si>
    <t>High</t>
  </si>
  <si>
    <t xml:space="preserve">Sum of unsold Value </t>
  </si>
  <si>
    <t>Aug</t>
  </si>
  <si>
    <t>Feb</t>
  </si>
  <si>
    <t>Jul</t>
  </si>
  <si>
    <t>Jan</t>
  </si>
  <si>
    <t>Apr</t>
  </si>
  <si>
    <t>Jun</t>
  </si>
  <si>
    <t>Sep</t>
  </si>
  <si>
    <t>May</t>
  </si>
  <si>
    <t>Mar</t>
  </si>
  <si>
    <t>Dec</t>
  </si>
  <si>
    <t>Nov</t>
  </si>
  <si>
    <t>Oct</t>
  </si>
  <si>
    <t>selling value value</t>
  </si>
  <si>
    <t>Sum of selling value value</t>
  </si>
  <si>
    <t>-</t>
  </si>
  <si>
    <t>incomplete</t>
  </si>
  <si>
    <t>45654</t>
  </si>
  <si>
    <t>7</t>
  </si>
  <si>
    <t>115</t>
  </si>
  <si>
    <t>122</t>
  </si>
  <si>
    <t>108</t>
  </si>
  <si>
    <t>50</t>
  </si>
  <si>
    <t>13</t>
  </si>
  <si>
    <t>1161</t>
  </si>
  <si>
    <t>2047</t>
  </si>
  <si>
    <t>0.942622951</t>
  </si>
  <si>
    <t>0.9426229512</t>
  </si>
  <si>
    <t>73</t>
  </si>
  <si>
    <t>8127</t>
  </si>
  <si>
    <t>235405</t>
  </si>
  <si>
    <t>Sold Value</t>
  </si>
  <si>
    <t>Fast Moving Stock</t>
  </si>
  <si>
    <t>Slow moving Stock</t>
  </si>
  <si>
    <t xml:space="preserve">Sum of sold Value </t>
  </si>
  <si>
    <t>Avg Inventory</t>
  </si>
  <si>
    <t>Turn Over</t>
  </si>
  <si>
    <t>Count of Turn Over</t>
  </si>
  <si>
    <t>(blank)</t>
  </si>
  <si>
    <t>Lead_Time D</t>
  </si>
  <si>
    <t>Top Fast Turnover Products</t>
  </si>
  <si>
    <t>Top Slow Turnover 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</si>
</sst>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 #,##0.00"/>
  </numFmts>
  <fonts count="13" x14ac:knownFonts="1">
    <font>
      <sz val="11"/>
      <color theme="1"/>
      <name val="Aptos Narrow"/>
      <family val="2"/>
      <scheme val="minor"/>
    </font>
    <font>
      <sz val="11"/>
      <name val="Aptos Narrow"/>
      <family val="2"/>
      <scheme val="minor"/>
    </font>
    <font>
      <sz val="11"/>
      <color theme="1"/>
      <name val="Aptos Narrow"/>
      <family val="2"/>
      <scheme val="minor"/>
    </font>
    <font>
      <b/>
      <sz val="11"/>
      <color theme="0"/>
      <name val="Aptos Narrow"/>
      <family val="2"/>
      <scheme val="minor"/>
    </font>
    <font>
      <b/>
      <sz val="11"/>
      <name val="Aptos Narrow"/>
      <family val="2"/>
      <scheme val="minor"/>
    </font>
    <font>
      <sz val="8"/>
      <name val="Aptos Narrow"/>
      <family val="2"/>
      <scheme val="minor"/>
    </font>
    <font>
      <sz val="11"/>
      <color theme="5" tint="0.79998168889431442"/>
      <name val="Aptos Narrow"/>
      <family val="2"/>
      <scheme val="minor"/>
    </font>
    <font>
      <b/>
      <sz val="11"/>
      <color theme="1"/>
      <name val="Aptos Narrow"/>
      <family val="2"/>
      <scheme val="minor"/>
    </font>
    <font>
      <b/>
      <sz val="16"/>
      <color theme="1"/>
      <name val="Aptos Narrow"/>
      <family val="2"/>
      <scheme val="minor"/>
    </font>
    <font>
      <b/>
      <sz val="22"/>
      <color rgb="FF002060"/>
      <name val="Aptos Narrow"/>
      <family val="2"/>
      <scheme val="minor"/>
    </font>
    <font>
      <sz val="22"/>
      <color theme="1"/>
      <name val="Aptos Narrow"/>
      <family val="2"/>
      <scheme val="minor"/>
    </font>
    <font>
      <b/>
      <sz val="20"/>
      <color theme="1" tint="0.14999847407452621"/>
      <name val="Aptos Narrow"/>
      <family val="2"/>
      <scheme val="minor"/>
    </font>
    <font>
      <sz val="11"/>
      <color theme="3" tint="0.89999084444715716"/>
      <name val="Aptos Narrow"/>
      <family val="2"/>
      <scheme val="minor"/>
    </font>
  </fonts>
  <fills count="16">
    <fill>
      <patternFill patternType="none"/>
    </fill>
    <fill>
      <patternFill patternType="gray125"/>
    </fill>
    <fill>
      <patternFill patternType="solid">
        <fgColor rgb="FFFFFF00"/>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4" tint="0.79998168889431442"/>
        <bgColor theme="4" tint="0.79998168889431442"/>
      </patternFill>
    </fill>
    <fill>
      <patternFill patternType="solid">
        <fgColor rgb="FFFFFF00"/>
        <bgColor theme="4" tint="0.79998168889431442"/>
      </patternFill>
    </fill>
    <fill>
      <patternFill patternType="solid">
        <fgColor theme="6" tint="0.79998168889431442"/>
        <bgColor indexed="64"/>
      </patternFill>
    </fill>
    <fill>
      <patternFill patternType="solid">
        <fgColor theme="0"/>
        <bgColor theme="4"/>
      </patternFill>
    </fill>
    <fill>
      <patternFill patternType="solid">
        <fgColor theme="0"/>
        <bgColor theme="4" tint="0.79998168889431442"/>
      </patternFill>
    </fill>
    <fill>
      <patternFill patternType="solid">
        <fgColor theme="0"/>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5" tint="0.59999389629810485"/>
        <bgColor indexed="65"/>
      </patternFill>
    </fill>
    <fill>
      <patternFill patternType="solid">
        <fgColor theme="6" tint="0.59999389629810485"/>
        <bgColor indexed="65"/>
      </patternFill>
    </fill>
    <fill>
      <patternFill patternType="solid">
        <fgColor theme="5" tint="-0.249977111117893"/>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bottom style="thin">
        <color theme="4" tint="0.39997558519241921"/>
      </bottom>
      <diagonal/>
    </border>
    <border>
      <left/>
      <right/>
      <top style="thin">
        <color theme="4" tint="0.39997558519241921"/>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theme="4" tint="0.39997558519241921"/>
      </top>
      <bottom/>
      <diagonal/>
    </border>
    <border>
      <left style="thin">
        <color theme="4" tint="0.39997558519241921"/>
      </left>
      <right/>
      <top/>
      <bottom/>
      <diagonal/>
    </border>
    <border>
      <left/>
      <right style="thin">
        <color theme="4" tint="0.39997558519241921"/>
      </right>
      <top/>
      <bottom/>
      <diagonal/>
    </border>
    <border>
      <left style="medium">
        <color indexed="64"/>
      </left>
      <right/>
      <top style="thin">
        <color theme="4" tint="0.39997558519241921"/>
      </top>
      <bottom style="thin">
        <color theme="4" tint="0.39997558519241921"/>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4" tint="0.39997558519241921"/>
      </left>
      <right/>
      <top style="thin">
        <color indexed="64"/>
      </top>
      <bottom/>
      <diagonal/>
    </border>
    <border>
      <left/>
      <right/>
      <top style="double">
        <color theme="4"/>
      </top>
      <bottom/>
      <diagonal/>
    </border>
    <border>
      <left style="medium">
        <color indexed="64"/>
      </left>
      <right/>
      <top/>
      <bottom style="thin">
        <color indexed="64"/>
      </bottom>
      <diagonal/>
    </border>
    <border>
      <left style="thin">
        <color indexed="64"/>
      </left>
      <right/>
      <top style="thin">
        <color indexed="64"/>
      </top>
      <bottom style="thin">
        <color theme="4" tint="0.39997558519241921"/>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theme="4" tint="0.39997558519241921"/>
      </bottom>
      <diagonal/>
    </border>
    <border>
      <left style="thin">
        <color indexed="64"/>
      </left>
      <right style="medium">
        <color indexed="64"/>
      </right>
      <top style="thin">
        <color theme="4" tint="0.39997558519241921"/>
      </top>
      <bottom style="thin">
        <color theme="4" tint="0.39997558519241921"/>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theme="4" tint="0.39997558519241921"/>
      </top>
      <bottom style="medium">
        <color indexed="64"/>
      </bottom>
      <diagonal/>
    </border>
  </borders>
  <cellStyleXfs count="4">
    <xf numFmtId="0" fontId="0" fillId="0" borderId="0"/>
    <xf numFmtId="9" fontId="2" fillId="0" borderId="0" applyFont="0" applyFill="0" applyBorder="0" applyAlignment="0" applyProtection="0"/>
    <xf numFmtId="0" fontId="2" fillId="13" borderId="0" applyNumberFormat="0" applyBorder="0" applyAlignment="0" applyProtection="0"/>
    <xf numFmtId="0" fontId="2" fillId="14" borderId="0" applyNumberFormat="0" applyBorder="0" applyAlignment="0" applyProtection="0"/>
  </cellStyleXfs>
  <cellXfs count="137">
    <xf numFmtId="0" fontId="0" fillId="0" borderId="0" xfId="0"/>
    <xf numFmtId="0" fontId="1" fillId="2" borderId="0" xfId="0" applyFont="1" applyFill="1"/>
    <xf numFmtId="9" fontId="1" fillId="2" borderId="0" xfId="1" applyFont="1" applyFill="1"/>
    <xf numFmtId="9" fontId="0" fillId="0" borderId="0" xfId="1" applyFont="1"/>
    <xf numFmtId="164" fontId="1" fillId="2" borderId="0" xfId="0" applyNumberFormat="1" applyFont="1" applyFill="1"/>
    <xf numFmtId="164" fontId="0" fillId="0" borderId="0" xfId="0" applyNumberFormat="1"/>
    <xf numFmtId="0" fontId="0" fillId="0" borderId="0" xfId="0" applyAlignment="1">
      <alignment horizontal="center"/>
    </xf>
    <xf numFmtId="164" fontId="0" fillId="0" borderId="0" xfId="0" applyNumberFormat="1" applyAlignment="1">
      <alignment horizontal="center"/>
    </xf>
    <xf numFmtId="0" fontId="4" fillId="2" borderId="0" xfId="0" applyFont="1" applyFill="1"/>
    <xf numFmtId="0" fontId="0" fillId="0" borderId="1" xfId="0" applyBorder="1" applyAlignment="1">
      <alignment horizontal="center"/>
    </xf>
    <xf numFmtId="164" fontId="0" fillId="0" borderId="1" xfId="0" applyNumberFormat="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14" fontId="1" fillId="2" borderId="0" xfId="0" applyNumberFormat="1" applyFont="1" applyFill="1"/>
    <xf numFmtId="14" fontId="0" fillId="0" borderId="0" xfId="0" applyNumberFormat="1"/>
    <xf numFmtId="0" fontId="1" fillId="2" borderId="0" xfId="0" applyFont="1" applyFill="1" applyAlignment="1">
      <alignment horizontal="center"/>
    </xf>
    <xf numFmtId="0" fontId="0" fillId="4" borderId="0" xfId="0" applyFill="1"/>
    <xf numFmtId="0" fontId="0" fillId="4" borderId="2" xfId="0" applyFill="1" applyBorder="1"/>
    <xf numFmtId="0" fontId="0" fillId="4" borderId="3" xfId="0" applyFill="1" applyBorder="1"/>
    <xf numFmtId="0" fontId="0" fillId="4" borderId="4" xfId="0" applyFill="1" applyBorder="1"/>
    <xf numFmtId="0" fontId="4" fillId="2" borderId="5" xfId="0" applyFont="1" applyFill="1" applyBorder="1"/>
    <xf numFmtId="0" fontId="4" fillId="2" borderId="6" xfId="0" applyFont="1" applyFill="1" applyBorder="1"/>
    <xf numFmtId="164" fontId="4" fillId="2" borderId="6" xfId="0" applyNumberFormat="1" applyFont="1" applyFill="1" applyBorder="1"/>
    <xf numFmtId="0" fontId="0" fillId="0" borderId="1" xfId="0" applyBorder="1"/>
    <xf numFmtId="0" fontId="6" fillId="4" borderId="0" xfId="0" applyFont="1" applyFill="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4" borderId="1" xfId="0" applyFill="1" applyBorder="1" applyAlignment="1">
      <alignment horizontal="center"/>
    </xf>
    <xf numFmtId="2" fontId="0" fillId="4" borderId="1" xfId="0" applyNumberFormat="1" applyFill="1" applyBorder="1" applyAlignment="1">
      <alignment horizontal="center"/>
    </xf>
    <xf numFmtId="164" fontId="0" fillId="4" borderId="1" xfId="0" applyNumberFormat="1" applyFill="1" applyBorder="1" applyAlignment="1">
      <alignment horizontal="center"/>
    </xf>
    <xf numFmtId="164" fontId="0" fillId="0" borderId="0" xfId="1" applyNumberFormat="1" applyFont="1"/>
    <xf numFmtId="0" fontId="7" fillId="5" borderId="12" xfId="0" applyFont="1" applyFill="1" applyBorder="1"/>
    <xf numFmtId="0" fontId="7" fillId="6" borderId="12" xfId="0" applyFont="1" applyFill="1" applyBorder="1"/>
    <xf numFmtId="0" fontId="0" fillId="2" borderId="0" xfId="0" applyFill="1"/>
    <xf numFmtId="0" fontId="0" fillId="5" borderId="11" xfId="0" applyFill="1" applyBorder="1" applyAlignment="1">
      <alignment horizontal="center"/>
    </xf>
    <xf numFmtId="14" fontId="0" fillId="5" borderId="11" xfId="0" applyNumberFormat="1" applyFill="1" applyBorder="1" applyAlignment="1">
      <alignment horizontal="center"/>
    </xf>
    <xf numFmtId="0" fontId="3" fillId="3" borderId="11" xfId="0" applyFont="1" applyFill="1" applyBorder="1" applyAlignment="1">
      <alignment horizontal="center"/>
    </xf>
    <xf numFmtId="9" fontId="0" fillId="5" borderId="11" xfId="1" applyFont="1" applyFill="1" applyBorder="1" applyAlignment="1">
      <alignment horizontal="center"/>
    </xf>
    <xf numFmtId="164" fontId="0" fillId="5" borderId="11" xfId="0" applyNumberFormat="1" applyFill="1" applyBorder="1" applyAlignment="1">
      <alignment horizontal="center"/>
    </xf>
    <xf numFmtId="0" fontId="0" fillId="5" borderId="23" xfId="0" applyFill="1" applyBorder="1" applyAlignment="1">
      <alignment horizontal="center"/>
    </xf>
    <xf numFmtId="0" fontId="0" fillId="0" borderId="11" xfId="0" applyBorder="1" applyAlignment="1">
      <alignment horizontal="center"/>
    </xf>
    <xf numFmtId="14" fontId="0" fillId="0" borderId="11" xfId="0" applyNumberFormat="1" applyBorder="1" applyAlignment="1">
      <alignment horizontal="center"/>
    </xf>
    <xf numFmtId="9" fontId="0" fillId="0" borderId="11" xfId="1" applyFont="1" applyBorder="1" applyAlignment="1">
      <alignment horizontal="center"/>
    </xf>
    <xf numFmtId="164" fontId="0" fillId="0" borderId="11" xfId="0" applyNumberFormat="1" applyBorder="1" applyAlignment="1">
      <alignment horizontal="center"/>
    </xf>
    <xf numFmtId="0" fontId="0" fillId="0" borderId="23" xfId="0" applyBorder="1" applyAlignment="1">
      <alignment horizontal="center"/>
    </xf>
    <xf numFmtId="0" fontId="0" fillId="5" borderId="11" xfId="1" applyNumberFormat="1" applyFont="1" applyFill="1" applyBorder="1" applyAlignment="1">
      <alignment horizontal="center"/>
    </xf>
    <xf numFmtId="49" fontId="0" fillId="5" borderId="11" xfId="0" applyNumberFormat="1" applyFill="1" applyBorder="1" applyAlignment="1">
      <alignment horizontal="center"/>
    </xf>
    <xf numFmtId="0" fontId="0" fillId="0" borderId="11" xfId="1" applyNumberFormat="1" applyFont="1" applyBorder="1" applyAlignment="1">
      <alignment horizontal="center"/>
    </xf>
    <xf numFmtId="14" fontId="4" fillId="2" borderId="0" xfId="0" applyNumberFormat="1" applyFont="1" applyFill="1"/>
    <xf numFmtId="9" fontId="4" fillId="2" borderId="0" xfId="1" applyFont="1" applyFill="1" applyBorder="1"/>
    <xf numFmtId="164" fontId="4" fillId="2" borderId="0" xfId="0" applyNumberFormat="1" applyFont="1" applyFill="1"/>
    <xf numFmtId="0" fontId="4" fillId="2" borderId="0" xfId="0" applyFont="1" applyFill="1" applyAlignment="1">
      <alignment horizontal="center"/>
    </xf>
    <xf numFmtId="0" fontId="0" fillId="9" borderId="13" xfId="0" applyFill="1" applyBorder="1" applyAlignment="1">
      <alignment horizontal="center"/>
    </xf>
    <xf numFmtId="0" fontId="0" fillId="10" borderId="13" xfId="0" applyFill="1" applyBorder="1" applyAlignment="1">
      <alignment horizontal="center"/>
    </xf>
    <xf numFmtId="0" fontId="1" fillId="8" borderId="13" xfId="0" applyFont="1" applyFill="1" applyBorder="1" applyAlignment="1">
      <alignment horizontal="center"/>
    </xf>
    <xf numFmtId="0" fontId="4" fillId="2" borderId="6" xfId="0" applyFont="1" applyFill="1" applyBorder="1" applyAlignment="1">
      <alignment horizontal="center"/>
    </xf>
    <xf numFmtId="164" fontId="4" fillId="2" borderId="6" xfId="0" applyNumberFormat="1" applyFont="1" applyFill="1" applyBorder="1" applyAlignment="1">
      <alignment horizontal="center"/>
    </xf>
    <xf numFmtId="0" fontId="0" fillId="0" borderId="8" xfId="0" applyBorder="1" applyAlignment="1">
      <alignment horizontal="center"/>
    </xf>
    <xf numFmtId="0" fontId="4" fillId="2" borderId="26" xfId="0" applyFont="1" applyFill="1" applyBorder="1" applyAlignment="1">
      <alignment horizontal="center"/>
    </xf>
    <xf numFmtId="0" fontId="0" fillId="0" borderId="27" xfId="0" applyBorder="1" applyAlignment="1">
      <alignment horizontal="center"/>
    </xf>
    <xf numFmtId="0" fontId="4" fillId="2" borderId="24" xfId="0" applyFont="1" applyFill="1" applyBorder="1"/>
    <xf numFmtId="164" fontId="4" fillId="2" borderId="25" xfId="0" applyNumberFormat="1" applyFont="1" applyFill="1" applyBorder="1"/>
    <xf numFmtId="164" fontId="0" fillId="10" borderId="13" xfId="0" applyNumberFormat="1" applyFill="1" applyBorder="1" applyAlignment="1">
      <alignment horizontal="center"/>
    </xf>
    <xf numFmtId="164" fontId="0" fillId="9" borderId="13" xfId="0" applyNumberFormat="1" applyFill="1" applyBorder="1" applyAlignment="1">
      <alignment horizontal="center"/>
    </xf>
    <xf numFmtId="0" fontId="0" fillId="12" borderId="19" xfId="0" applyFill="1" applyBorder="1"/>
    <xf numFmtId="0" fontId="0" fillId="12" borderId="0" xfId="0" applyFill="1"/>
    <xf numFmtId="0" fontId="0" fillId="12" borderId="20" xfId="0" applyFill="1" applyBorder="1"/>
    <xf numFmtId="0" fontId="0" fillId="12" borderId="16" xfId="0" applyFill="1" applyBorder="1"/>
    <xf numFmtId="0" fontId="0" fillId="12" borderId="17" xfId="0" applyFill="1" applyBorder="1"/>
    <xf numFmtId="0" fontId="0" fillId="12" borderId="18" xfId="0" applyFill="1" applyBorder="1"/>
    <xf numFmtId="0" fontId="0" fillId="12" borderId="21" xfId="0" applyFill="1" applyBorder="1"/>
    <xf numFmtId="0" fontId="0" fillId="4" borderId="19" xfId="0" applyFill="1" applyBorder="1"/>
    <xf numFmtId="0" fontId="0" fillId="4" borderId="20" xfId="0" applyFill="1" applyBorder="1"/>
    <xf numFmtId="0" fontId="0" fillId="4" borderId="16" xfId="0" applyFill="1" applyBorder="1"/>
    <xf numFmtId="0" fontId="0" fillId="4" borderId="17" xfId="0" applyFill="1" applyBorder="1"/>
    <xf numFmtId="0" fontId="0" fillId="4" borderId="18" xfId="0" applyFill="1" applyBorder="1"/>
    <xf numFmtId="0" fontId="0" fillId="4" borderId="21" xfId="0" applyFill="1" applyBorder="1"/>
    <xf numFmtId="0" fontId="0" fillId="4" borderId="22" xfId="0" applyFill="1" applyBorder="1"/>
    <xf numFmtId="164" fontId="0" fillId="5" borderId="13" xfId="0" applyNumberFormat="1" applyFill="1" applyBorder="1" applyAlignment="1">
      <alignment horizontal="center"/>
    </xf>
    <xf numFmtId="164" fontId="0" fillId="0" borderId="13" xfId="0" applyNumberFormat="1" applyBorder="1" applyAlignment="1">
      <alignment horizontal="center"/>
    </xf>
    <xf numFmtId="0" fontId="7" fillId="0" borderId="32" xfId="0" applyFont="1" applyBorder="1" applyAlignment="1">
      <alignment horizontal="center"/>
    </xf>
    <xf numFmtId="14" fontId="7" fillId="0" borderId="14" xfId="0" applyNumberFormat="1" applyFont="1" applyBorder="1" applyAlignment="1">
      <alignment horizontal="center"/>
    </xf>
    <xf numFmtId="0" fontId="7" fillId="0" borderId="14" xfId="0" applyFont="1" applyBorder="1" applyAlignment="1">
      <alignment horizontal="center"/>
    </xf>
    <xf numFmtId="2" fontId="3" fillId="3" borderId="14" xfId="0" applyNumberFormat="1" applyFont="1" applyFill="1" applyBorder="1" applyAlignment="1">
      <alignment horizontal="center"/>
    </xf>
    <xf numFmtId="2" fontId="7" fillId="0" borderId="14" xfId="0" applyNumberFormat="1" applyFont="1" applyBorder="1" applyAlignment="1">
      <alignment horizontal="center"/>
    </xf>
    <xf numFmtId="9" fontId="7" fillId="0" borderId="14" xfId="0" applyNumberFormat="1" applyFont="1" applyBorder="1" applyAlignment="1">
      <alignment horizontal="center"/>
    </xf>
    <xf numFmtId="164" fontId="7" fillId="0" borderId="14" xfId="0" applyNumberFormat="1" applyFont="1" applyBorder="1" applyAlignment="1">
      <alignment horizontal="center"/>
    </xf>
    <xf numFmtId="0" fontId="7" fillId="0" borderId="33" xfId="0" applyFont="1" applyBorder="1"/>
    <xf numFmtId="164" fontId="7" fillId="0" borderId="33" xfId="0" applyNumberFormat="1" applyFont="1" applyBorder="1"/>
    <xf numFmtId="9" fontId="0" fillId="0" borderId="0" xfId="1" applyFont="1" applyAlignment="1">
      <alignment horizontal="center"/>
    </xf>
    <xf numFmtId="0" fontId="4" fillId="2" borderId="1" xfId="0" applyFont="1" applyFill="1" applyBorder="1"/>
    <xf numFmtId="9" fontId="4" fillId="2" borderId="1" xfId="1" applyFont="1" applyFill="1" applyBorder="1"/>
    <xf numFmtId="0" fontId="4" fillId="2" borderId="1" xfId="0" applyFont="1" applyFill="1" applyBorder="1" applyAlignment="1">
      <alignment horizontal="center"/>
    </xf>
    <xf numFmtId="0" fontId="4" fillId="2" borderId="1" xfId="0" applyFont="1" applyFill="1" applyBorder="1" applyAlignment="1">
      <alignment horizontal="center" vertical="center"/>
    </xf>
    <xf numFmtId="9" fontId="4" fillId="2" borderId="1" xfId="1" applyFont="1" applyFill="1" applyBorder="1" applyAlignment="1">
      <alignment horizontal="center" vertical="center"/>
    </xf>
    <xf numFmtId="0" fontId="4" fillId="2" borderId="26" xfId="0" applyFont="1" applyFill="1" applyBorder="1" applyAlignment="1">
      <alignment horizontal="center" vertical="center"/>
    </xf>
    <xf numFmtId="0" fontId="4" fillId="2" borderId="6" xfId="0" applyFont="1" applyFill="1" applyBorder="1" applyAlignment="1">
      <alignment horizontal="center" vertical="center"/>
    </xf>
    <xf numFmtId="164" fontId="4" fillId="2" borderId="6" xfId="0" applyNumberFormat="1" applyFont="1" applyFill="1" applyBorder="1" applyAlignment="1">
      <alignment horizontal="center" vertical="center"/>
    </xf>
    <xf numFmtId="0" fontId="4" fillId="2" borderId="27" xfId="0" applyFont="1" applyFill="1" applyBorder="1" applyAlignment="1">
      <alignment horizontal="center" vertical="center"/>
    </xf>
    <xf numFmtId="0" fontId="4" fillId="2" borderId="36" xfId="0" applyFont="1" applyFill="1" applyBorder="1" applyAlignment="1">
      <alignment horizontal="center" vertical="center"/>
    </xf>
    <xf numFmtId="0" fontId="0" fillId="10" borderId="27" xfId="0" applyFill="1" applyBorder="1" applyAlignment="1">
      <alignment horizontal="center"/>
    </xf>
    <xf numFmtId="164" fontId="0" fillId="10" borderId="27" xfId="0" applyNumberFormat="1" applyFill="1" applyBorder="1" applyAlignment="1">
      <alignment horizontal="center"/>
    </xf>
    <xf numFmtId="0" fontId="0" fillId="10" borderId="28" xfId="0" applyFill="1" applyBorder="1" applyAlignment="1">
      <alignment horizontal="center"/>
    </xf>
    <xf numFmtId="0" fontId="2" fillId="13" borderId="37" xfId="2" applyBorder="1" applyAlignment="1">
      <alignment horizontal="center"/>
    </xf>
    <xf numFmtId="0" fontId="2" fillId="13" borderId="35" xfId="2" applyBorder="1" applyAlignment="1">
      <alignment horizontal="center"/>
    </xf>
    <xf numFmtId="9" fontId="2" fillId="13" borderId="35" xfId="2" applyNumberFormat="1" applyBorder="1" applyAlignment="1">
      <alignment horizontal="center"/>
    </xf>
    <xf numFmtId="0" fontId="2" fillId="13" borderId="38" xfId="2" applyBorder="1" applyAlignment="1">
      <alignment horizontal="center"/>
    </xf>
    <xf numFmtId="0" fontId="2" fillId="13" borderId="39" xfId="2" applyBorder="1" applyAlignment="1">
      <alignment horizontal="center"/>
    </xf>
    <xf numFmtId="0" fontId="2" fillId="13" borderId="40" xfId="2" applyBorder="1" applyAlignment="1">
      <alignment horizontal="center"/>
    </xf>
    <xf numFmtId="9" fontId="2" fillId="13" borderId="40" xfId="2" applyNumberFormat="1" applyBorder="1" applyAlignment="1">
      <alignment horizontal="center"/>
    </xf>
    <xf numFmtId="0" fontId="2" fillId="13" borderId="41" xfId="2" applyBorder="1" applyAlignment="1">
      <alignment horizontal="center"/>
    </xf>
    <xf numFmtId="0" fontId="2" fillId="14" borderId="1" xfId="3" applyBorder="1" applyAlignment="1">
      <alignment horizontal="center"/>
    </xf>
    <xf numFmtId="9" fontId="2" fillId="14" borderId="1" xfId="3" applyNumberFormat="1" applyBorder="1" applyAlignment="1">
      <alignment horizontal="center"/>
    </xf>
    <xf numFmtId="0" fontId="9" fillId="3" borderId="34" xfId="0" applyFont="1" applyFill="1" applyBorder="1" applyAlignment="1">
      <alignment horizontal="center"/>
    </xf>
    <xf numFmtId="0" fontId="10" fillId="3" borderId="15" xfId="0" applyFont="1" applyFill="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4" borderId="2"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0" fontId="8" fillId="7" borderId="29" xfId="0" applyFont="1" applyFill="1" applyBorder="1" applyAlignment="1">
      <alignment horizontal="center"/>
    </xf>
    <xf numFmtId="0" fontId="0" fillId="7" borderId="30" xfId="0" applyFill="1" applyBorder="1" applyAlignment="1">
      <alignment horizontal="center"/>
    </xf>
    <xf numFmtId="0" fontId="0" fillId="7" borderId="31" xfId="0" applyFill="1" applyBorder="1" applyAlignment="1">
      <alignment horizontal="center"/>
    </xf>
    <xf numFmtId="0" fontId="8" fillId="11" borderId="29" xfId="0" applyFont="1" applyFill="1" applyBorder="1" applyAlignment="1">
      <alignment horizontal="center"/>
    </xf>
    <xf numFmtId="0" fontId="0" fillId="11" borderId="30" xfId="0" applyFill="1" applyBorder="1" applyAlignment="1">
      <alignment horizontal="center"/>
    </xf>
    <xf numFmtId="0" fontId="0" fillId="11" borderId="31" xfId="0" applyFill="1" applyBorder="1" applyAlignment="1">
      <alignment horizontal="center"/>
    </xf>
    <xf numFmtId="0" fontId="11" fillId="15" borderId="16" xfId="0" applyFont="1" applyFill="1" applyBorder="1" applyAlignment="1">
      <alignment horizontal="center"/>
    </xf>
    <xf numFmtId="0" fontId="0" fillId="15" borderId="17" xfId="0" applyFill="1" applyBorder="1" applyAlignment="1">
      <alignment horizontal="center"/>
    </xf>
    <xf numFmtId="0" fontId="0" fillId="15" borderId="18" xfId="0" applyFill="1" applyBorder="1" applyAlignment="1">
      <alignment horizontal="center"/>
    </xf>
    <xf numFmtId="0" fontId="6" fillId="4" borderId="17" xfId="0" applyFont="1" applyFill="1" applyBorder="1"/>
    <xf numFmtId="0" fontId="12" fillId="12" borderId="17" xfId="0" applyFont="1" applyFill="1" applyBorder="1"/>
    <xf numFmtId="0" fontId="0" fillId="0" borderId="0" xfId="0" applyNumberFormat="1"/>
  </cellXfs>
  <cellStyles count="4">
    <cellStyle name="40% - Accent2" xfId="2" builtinId="35"/>
    <cellStyle name="40% - Accent3" xfId="3" builtinId="39"/>
    <cellStyle name="Normal" xfId="0" builtinId="0"/>
    <cellStyle name="Percent" xfId="1" builtinId="5"/>
  </cellStyles>
  <dxfs count="83">
    <dxf>
      <fill>
        <patternFill patternType="solid">
          <bgColor rgb="FFFFFF00"/>
        </patternFill>
      </fill>
    </dxf>
    <dxf>
      <fill>
        <patternFill patternType="solid">
          <bgColor rgb="FFFFFF00"/>
        </patternFill>
      </fill>
    </dxf>
    <dxf>
      <fill>
        <patternFill>
          <bgColor theme="5" tint="0.59996337778862885"/>
        </patternFill>
      </fill>
    </dxf>
    <dxf>
      <fill>
        <patternFill>
          <bgColor rgb="FFC0E6F5"/>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ont>
        <color rgb="FF9C0006"/>
      </font>
      <fill>
        <patternFill>
          <bgColor rgb="FFFFC7CE"/>
        </patternFill>
      </fill>
    </dxf>
    <dxf>
      <font>
        <b/>
        <i val="0"/>
        <color theme="0"/>
      </font>
      <fill>
        <patternFill>
          <bgColor rgb="FFFF0000"/>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minor"/>
      </font>
      <fill>
        <patternFill patternType="solid">
          <fgColor indexed="64"/>
          <bgColor theme="9" tint="0.39997558519241921"/>
        </patternFill>
      </fill>
      <alignment horizontal="center" vertical="bottom" textRotation="0" wrapText="0" indent="0" justifyLastLine="0" shrinkToFit="0" readingOrder="0"/>
      <border diagonalUp="0" diagonalDown="0">
        <left style="thin">
          <color indexed="64"/>
        </left>
        <right/>
        <top style="thin">
          <color indexed="64"/>
        </top>
        <bottom/>
        <vertical/>
        <horizontal/>
      </border>
    </dxf>
    <dxf>
      <border outline="0">
        <right style="thin">
          <color theme="4" tint="0.39997558519241921"/>
        </right>
        <top style="thin">
          <color theme="4" tint="0.39997558519241921"/>
        </top>
        <bottom style="thin">
          <color theme="4" tint="0.39997558519241921"/>
        </bottom>
      </border>
    </dxf>
    <dxf>
      <border outline="0">
        <top style="thin">
          <color theme="4" tint="0.39997558519241921"/>
        </top>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0"/>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0"/>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0"/>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0"/>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0"/>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0"/>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0"/>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0"/>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0"/>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0"/>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0"/>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0"/>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0"/>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0"/>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0"/>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0"/>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0"/>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0"/>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0"/>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0"/>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0"/>
        </patternFill>
      </fill>
      <alignment horizontal="center" vertical="bottom" textRotation="0" wrapText="0" indent="0" justifyLastLine="0" shrinkToFit="0" readingOrder="0"/>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auto="1"/>
        <name val="Aptos Narrow"/>
        <family val="2"/>
        <scheme val="minor"/>
      </font>
      <fill>
        <patternFill patternType="solid">
          <fgColor indexed="64"/>
          <bgColor rgb="FFFFFF00"/>
        </patternFill>
      </fill>
    </dxf>
    <dxf>
      <fill>
        <patternFill patternType="solid">
          <bgColor rgb="FFFFFF00"/>
        </patternFill>
      </fill>
    </dxf>
    <dxf>
      <fill>
        <patternFill patternType="solid">
          <bgColor rgb="FFFFFF00"/>
        </patternFill>
      </fill>
    </dxf>
    <dxf>
      <font>
        <b/>
        <i val="0"/>
        <color theme="0"/>
      </font>
      <fill>
        <patternFill>
          <bgColor rgb="FFFF0000"/>
        </patternFill>
      </fill>
    </dxf>
    <dxf>
      <font>
        <color rgb="FF9C0006"/>
      </font>
      <fill>
        <patternFill>
          <bgColor rgb="FFFFC7CE"/>
        </patternFill>
      </fill>
    </dxf>
    <dxf>
      <font>
        <b/>
        <i val="0"/>
        <color theme="0"/>
      </font>
      <fill>
        <patternFill>
          <bgColor rgb="FFFF0000"/>
        </patternFill>
      </fill>
    </dxf>
    <dxf>
      <font>
        <color rgb="FF9C0006"/>
      </font>
      <fill>
        <patternFill>
          <bgColor rgb="FFFFC7CE"/>
        </patternFill>
      </fill>
    </dxf>
    <dxf>
      <font>
        <b/>
        <i val="0"/>
        <color theme="0"/>
      </font>
      <fill>
        <patternFill>
          <bgColor rgb="FFFF0000"/>
        </patternFill>
      </fill>
    </dxf>
    <dxf>
      <font>
        <color rgb="FF9C0006"/>
      </font>
      <fill>
        <patternFill>
          <bgColor rgb="FFFFC7CE"/>
        </patternFill>
      </fill>
    </dxf>
    <dxf>
      <font>
        <b/>
        <i val="0"/>
        <color theme="0"/>
      </font>
      <fill>
        <patternFill>
          <bgColor rgb="FFFF0000"/>
        </patternFill>
      </fill>
    </dxf>
    <dxf>
      <font>
        <color rgb="FF9C0006"/>
      </font>
      <fill>
        <patternFill>
          <bgColor rgb="FFFFC7CE"/>
        </patternFill>
      </fill>
    </dxf>
    <dxf>
      <font>
        <b/>
        <i val="0"/>
        <color theme="0"/>
      </font>
      <fill>
        <patternFill>
          <bgColor rgb="FFFF0000"/>
        </patternFill>
      </fill>
    </dxf>
    <dxf>
      <font>
        <color rgb="FF9C0006"/>
      </font>
      <fill>
        <patternFill>
          <bgColor rgb="FFFFC7CE"/>
        </patternFill>
      </fill>
    </dxf>
    <dxf>
      <font>
        <b/>
        <i val="0"/>
        <color theme="0"/>
      </font>
      <fill>
        <patternFill>
          <bgColor rgb="FFFF0000"/>
        </patternFill>
      </fill>
    </dxf>
    <dxf>
      <font>
        <color rgb="FF9C0006"/>
      </font>
      <fill>
        <patternFill>
          <bgColor rgb="FFFFC7CE"/>
        </patternFill>
      </fill>
    </dxf>
  </dxfs>
  <tableStyles count="3" defaultTableStyle="TableStyleMedium2" defaultPivotStyle="PivotStyleLight16">
    <tableStyle name="Invisible" pivot="0" table="0" count="0" xr9:uid="{D8976BE8-29B1-457D-9902-EC405F4CE748}"/>
    <tableStyle name="Slicer Style 1" pivot="0" table="0" count="7" xr9:uid="{276E0843-E02A-4296-8CBA-637CC025BB2F}">
      <tableStyleElement type="wholeTable" dxfId="3"/>
    </tableStyle>
    <tableStyle name="Slicer Style 1 2" pivot="0" table="0" count="7" xr9:uid="{6203B666-AD0C-46E2-8ACE-21FB7DF4AB4B}">
      <tableStyleElement type="wholeTable" dxfId="2"/>
    </tableStyle>
  </tableStyles>
  <colors>
    <mruColors>
      <color rgb="FFC0E6F5"/>
      <color rgb="FFC2F1C8"/>
      <color rgb="FFFF6600"/>
      <color rgb="FFFFCC99"/>
      <color rgb="FFFF5050"/>
    </mruColors>
  </colors>
  <extLst>
    <ext xmlns:x14="http://schemas.microsoft.com/office/spreadsheetml/2009/9/main" uri="{46F421CA-312F-682f-3DD2-61675219B42D}">
      <x14:dxfs count="40">
        <dxf>
          <fill>
            <patternFill>
              <bgColor theme="5" tint="0.79998168889431442"/>
            </patternFill>
          </fill>
        </dxf>
        <dxf>
          <fill>
            <patternFill>
              <bgColor theme="5" tint="0.79998168889431442"/>
            </patternFill>
          </fill>
        </dxf>
        <dxf>
          <fill>
            <patternFill>
              <bgColor theme="5" tint="0.79998168889431442"/>
            </patternFill>
          </fill>
        </dxf>
        <dxf>
          <fill>
            <patternFill>
              <bgColor theme="7" tint="0.3999450666829432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7" tint="0.3999450666829432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7" tint="0.3999450666829432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7" tint="0.3999450666829432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1"/>
            <x14:slicerStyleElement type="unselectedItemWithNoData" dxfId="10"/>
            <x14:slicerStyleElement type="selectedItemWithData" dxfId="9"/>
            <x14:slicerStyleElement type="selectedItemWithNoData" dxfId="8"/>
            <x14:slicerStyleElement type="hoveredSelectedItemWithData" dxfId="7"/>
            <x14:slicerStyleElement type="hoveredSelectedItemWithNoData" dxfId="6"/>
          </x14:slicerStyleElements>
        </x14:slicerStyle>
        <x14:slicerStyle name="Slicer Style 1 2">
          <x14:slicerStyleElements>
            <x14:slicerStyleElement type="unselectedItemWithData" dxfId="5"/>
            <x14:slicerStyleElement type="unselectedItemWithNoData" dxfId="4"/>
            <x14:slicerStyleElement type="selectedItemWithData" dxfId="3"/>
            <x14:slicerStyleElement type="selectedItemWithNo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2.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[Prolect 1.xlsm]Automated raw!PivotTable1</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9444444444444445E-2"/>
          <c:y val="0.17171296296296298"/>
          <c:w val="0.93888888888888888"/>
          <c:h val="0.72125801983085447"/>
        </c:manualLayout>
      </c:layout>
      <c:lineChart>
        <c:grouping val="standard"/>
        <c:varyColors val="0"/>
        <c:ser>
          <c:idx val="0"/>
          <c:order val="0"/>
          <c:tx>
            <c:strRef>
              <c:f>'Automated raw'!$AO$5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'Automated raw'!$AN$6:$AN$9</c:f>
              <c:strCache>
                <c:ptCount val="3"/>
                <c:pt idx="0">
                  <c:v>Kids</c:v>
                </c:pt>
                <c:pt idx="1">
                  <c:v>Men</c:v>
                </c:pt>
                <c:pt idx="2">
                  <c:v>Women</c:v>
                </c:pt>
              </c:strCache>
            </c:strRef>
          </c:cat>
          <c:val>
            <c:numRef>
              <c:f>'Automated raw'!$AO$6:$AO$9</c:f>
              <c:numCache>
                <c:formatCode>General</c:formatCode>
                <c:ptCount val="3"/>
                <c:pt idx="0">
                  <c:v>3824</c:v>
                </c:pt>
                <c:pt idx="1">
                  <c:v>3782</c:v>
                </c:pt>
                <c:pt idx="2">
                  <c:v>3771</c:v>
                </c:pt>
              </c:numCache>
            </c:numRef>
          </c:val>
          <c:smooth val="0"/>
          <c:extLst>
            <c:ext xmlns:c16="http://schemas.microsoft.com/office/drawing/2014/chart" uri="{C3380CC4-5D6E-409C-BE32-E72D297353CC}">
              <c16:uniqueId val="{00000000-15AE-4D9A-9F2C-912BB587ABDC}"/>
            </c:ext>
          </c:extLst>
        </c:ser>
        <c:dLbls>
          <c:dLblPos val="t"/>
          <c:showLegendKey val="0"/>
          <c:showVal val="1"/>
          <c:showCatName val="0"/>
          <c:showSerName val="0"/>
          <c:showPercent val="0"/>
          <c:showBubbleSize val="0"/>
        </c:dLbls>
        <c:marker val="1"/>
        <c:smooth val="0"/>
        <c:axId val="2134701535"/>
        <c:axId val="2134724095"/>
      </c:lineChart>
      <c:catAx>
        <c:axId val="2134701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4724095"/>
        <c:crosses val="autoZero"/>
        <c:auto val="1"/>
        <c:lblAlgn val="ctr"/>
        <c:lblOffset val="100"/>
        <c:noMultiLvlLbl val="0"/>
      </c:catAx>
      <c:valAx>
        <c:axId val="2134724095"/>
        <c:scaling>
          <c:orientation val="minMax"/>
        </c:scaling>
        <c:delete val="1"/>
        <c:axPos val="l"/>
        <c:numFmt formatCode="General" sourceLinked="1"/>
        <c:majorTickMark val="none"/>
        <c:minorTickMark val="none"/>
        <c:tickLblPos val="nextTo"/>
        <c:crossAx val="21347015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[Prolect 1.xlsm]Automated raw!PivotTable5</c:name>
    <c:fmtId val="1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'Automated raw'!$AU$5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'Automated raw'!$AT$6:$AT$14</c:f>
              <c:strCache>
                <c:ptCount val="8"/>
                <c:pt idx="0">
                  <c:v>Dress</c:v>
                </c:pt>
                <c:pt idx="1">
                  <c:v>Hoodie</c:v>
                </c:pt>
                <c:pt idx="2">
                  <c:v>jacket</c:v>
                </c:pt>
                <c:pt idx="3">
                  <c:v>Jeans</c:v>
                </c:pt>
                <c:pt idx="4">
                  <c:v>Shirt</c:v>
                </c:pt>
                <c:pt idx="5">
                  <c:v>Shorts</c:v>
                </c:pt>
                <c:pt idx="6">
                  <c:v>Sweater</c:v>
                </c:pt>
                <c:pt idx="7">
                  <c:v>T-Shirt</c:v>
                </c:pt>
              </c:strCache>
            </c:strRef>
          </c:cat>
          <c:val>
            <c:numRef>
              <c:f>'Automated raw'!$AU$6:$AU$14</c:f>
              <c:numCache>
                <c:formatCode>0.00%</c:formatCode>
                <c:ptCount val="8"/>
                <c:pt idx="0">
                  <c:v>0.12858907579876158</c:v>
                </c:pt>
                <c:pt idx="1">
                  <c:v>0.13811206266477458</c:v>
                </c:pt>
                <c:pt idx="2">
                  <c:v>8.563775032974702E-2</c:v>
                </c:pt>
                <c:pt idx="3">
                  <c:v>0.20913038318387878</c:v>
                </c:pt>
                <c:pt idx="4">
                  <c:v>0.12333862968160221</c:v>
                </c:pt>
                <c:pt idx="5">
                  <c:v>8.1552491424882773E-2</c:v>
                </c:pt>
                <c:pt idx="6">
                  <c:v>0.15549147997401266</c:v>
                </c:pt>
                <c:pt idx="7">
                  <c:v>7.8148126942340579E-2</c:v>
                </c:pt>
              </c:numCache>
            </c:numRef>
          </c:val>
          <c:smooth val="0"/>
          <c:extLst>
            <c:ext xmlns:c16="http://schemas.microsoft.com/office/drawing/2014/chart" uri="{C3380CC4-5D6E-409C-BE32-E72D297353CC}">
              <c16:uniqueId val="{00000002-C90C-4EFA-A2FB-F0E267DB5736}"/>
            </c:ext>
          </c:extLst>
        </c:ser>
        <c:dLbls>
          <c:showLegendKey val="0"/>
          <c:showVal val="0"/>
          <c:showCatName val="0"/>
          <c:showSerName val="0"/>
          <c:showPercent val="0"/>
          <c:showBubbleSize val="0"/>
        </c:dLbls>
        <c:marker val="1"/>
        <c:smooth val="0"/>
        <c:axId val="242989103"/>
        <c:axId val="242981903"/>
      </c:lineChart>
      <c:catAx>
        <c:axId val="242989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981903"/>
        <c:crosses val="autoZero"/>
        <c:auto val="1"/>
        <c:lblAlgn val="ctr"/>
        <c:lblOffset val="100"/>
        <c:noMultiLvlLbl val="0"/>
      </c:catAx>
      <c:valAx>
        <c:axId val="24298190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9891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[Prolect 1.xlsm]Automated raw!PivotTable2</c:name>
    <c:fmtId val="1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'Automated raw'!$AR$5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E71-4DC6-A4B2-5D314B38181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E71-4DC6-A4B2-5D314B38181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E71-4DC6-A4B2-5D314B38181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'Automated raw'!$AQ$6:$AQ$9</c:f>
              <c:strCache>
                <c:ptCount val="3"/>
                <c:pt idx="0">
                  <c:v>Avg</c:v>
                </c:pt>
                <c:pt idx="1">
                  <c:v>Dead Stock</c:v>
                </c:pt>
                <c:pt idx="2">
                  <c:v>High</c:v>
                </c:pt>
              </c:strCache>
            </c:strRef>
          </c:cat>
          <c:val>
            <c:numRef>
              <c:f>'Automated raw'!$AR$6:$AR$9</c:f>
              <c:numCache>
                <c:formatCode>"₹"\ #,##0.00</c:formatCode>
                <c:ptCount val="3"/>
                <c:pt idx="0">
                  <c:v>14788443</c:v>
                </c:pt>
                <c:pt idx="1">
                  <c:v>8059258</c:v>
                </c:pt>
                <c:pt idx="2">
                  <c:v>2180434</c:v>
                </c:pt>
              </c:numCache>
            </c:numRef>
          </c:val>
          <c:extLst>
            <c:ext xmlns:c16="http://schemas.microsoft.com/office/drawing/2014/chart" uri="{C3380CC4-5D6E-409C-BE32-E72D297353CC}">
              <c16:uniqueId val="{00000000-3BF0-4C2B-850F-E2CE7A88FA6D}"/>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[Prolect 1.xlsm]Automated raw!PivotTable3</c:name>
    <c:fmtId val="1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'Automated raw'!$AX$5</c:f>
              <c:strCache>
                <c:ptCount val="1"/>
                <c:pt idx="0">
                  <c:v>Sum of selling value value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'Automated raw'!$AX$6</c:f>
              <c:strCache>
                <c:ptCount val="1"/>
                <c:pt idx="0">
                  <c:v>Total</c:v>
                </c:pt>
              </c:strCache>
            </c:strRef>
          </c:cat>
          <c:val>
            <c:numRef>
              <c:f>'Automated raw'!$AX$6</c:f>
              <c:numCache>
                <c:formatCode>"₹"\ #,##0.00</c:formatCode>
                <c:ptCount val="1"/>
                <c:pt idx="0">
                  <c:v>56757898</c:v>
                </c:pt>
              </c:numCache>
            </c:numRef>
          </c:val>
          <c:extLst>
            <c:ext xmlns:c16="http://schemas.microsoft.com/office/drawing/2014/chart" uri="{C3380CC4-5D6E-409C-BE32-E72D297353CC}">
              <c16:uniqueId val="{00000000-F850-438C-96B3-ABA69E45CBBA}"/>
            </c:ext>
          </c:extLst>
        </c:ser>
        <c:ser>
          <c:idx val="1"/>
          <c:order val="1"/>
          <c:tx>
            <c:strRef>
              <c:f>'Automated raw'!$AY$5</c:f>
              <c:strCache>
                <c:ptCount val="1"/>
                <c:pt idx="0">
                  <c:v>Sum of unsold Value </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'Automated raw'!$AX$6</c:f>
              <c:strCache>
                <c:ptCount val="1"/>
                <c:pt idx="0">
                  <c:v>Total</c:v>
                </c:pt>
              </c:strCache>
            </c:strRef>
          </c:cat>
          <c:val>
            <c:numRef>
              <c:f>'Automated raw'!$AY$6</c:f>
              <c:numCache>
                <c:formatCode>"₹"\ #,##0.00</c:formatCode>
                <c:ptCount val="1"/>
                <c:pt idx="0">
                  <c:v>39859265</c:v>
                </c:pt>
              </c:numCache>
            </c:numRef>
          </c:val>
          <c:extLst>
            <c:ext xmlns:c16="http://schemas.microsoft.com/office/drawing/2014/chart" uri="{C3380CC4-5D6E-409C-BE32-E72D297353CC}">
              <c16:uniqueId val="{00000001-F850-438C-96B3-ABA69E45CBBA}"/>
            </c:ext>
          </c:extLst>
        </c:ser>
        <c:dLbls>
          <c:dLblPos val="outEnd"/>
          <c:showLegendKey val="0"/>
          <c:showVal val="1"/>
          <c:showCatName val="0"/>
          <c:showSerName val="0"/>
          <c:showPercent val="0"/>
          <c:showBubbleSize val="0"/>
        </c:dLbls>
        <c:gapWidth val="182"/>
        <c:axId val="1701877664"/>
        <c:axId val="1701871424"/>
      </c:barChart>
      <c:catAx>
        <c:axId val="1701877664"/>
        <c:scaling>
          <c:orientation val="minMax"/>
        </c:scaling>
        <c:delete val="1"/>
        <c:axPos val="l"/>
        <c:numFmt formatCode="General" sourceLinked="1"/>
        <c:majorTickMark val="none"/>
        <c:minorTickMark val="none"/>
        <c:tickLblPos val="nextTo"/>
        <c:crossAx val="1701871424"/>
        <c:crosses val="autoZero"/>
        <c:auto val="1"/>
        <c:lblAlgn val="ctr"/>
        <c:lblOffset val="100"/>
        <c:noMultiLvlLbl val="0"/>
      </c:catAx>
      <c:valAx>
        <c:axId val="1701871424"/>
        <c:scaling>
          <c:orientation val="minMax"/>
        </c:scaling>
        <c:delete val="1"/>
        <c:axPos val="b"/>
        <c:numFmt formatCode="&quot;₹&quot;\ #,##0.00" sourceLinked="1"/>
        <c:majorTickMark val="none"/>
        <c:minorTickMark val="none"/>
        <c:tickLblPos val="nextTo"/>
        <c:crossAx val="17018776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6229805496371696E-3"/>
          <c:y val="9.7221904898860484E-2"/>
          <c:w val="0.93888888888888888"/>
          <c:h val="0.89814814814814814"/>
        </c:manualLayout>
      </c:layout>
      <c:barChart>
        <c:barDir val="bar"/>
        <c:grouping val="clustered"/>
        <c:varyColors val="0"/>
        <c:ser>
          <c:idx val="0"/>
          <c:order val="0"/>
          <c:spPr>
            <a:solidFill>
              <a:schemeClr val="accent1"/>
            </a:solidFill>
            <a:ln>
              <a:noFill/>
            </a:ln>
            <a:effectLst/>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01-A7E4-476F-85F5-05C079FCB86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'Automated raw'!$AZ$30:$BA$30</c:f>
              <c:numCache>
                <c:formatCode>General</c:formatCode>
                <c:ptCount val="2"/>
                <c:pt idx="0" formatCode="&quot;₹&quot;\ #,##0.00">
                  <c:v>14788443</c:v>
                </c:pt>
                <c:pt idx="1">
                  <c:v>0</c:v>
                </c:pt>
              </c:numCache>
            </c:numRef>
          </c:val>
          <c:extLst>
            <c:ext xmlns:c16="http://schemas.microsoft.com/office/drawing/2014/chart" uri="{C3380CC4-5D6E-409C-BE32-E72D297353CC}">
              <c16:uniqueId val="{00000000-A7E4-476F-85F5-05C079FCB86E}"/>
            </c:ext>
          </c:extLst>
        </c:ser>
        <c:dLbls>
          <c:dLblPos val="outEnd"/>
          <c:showLegendKey val="0"/>
          <c:showVal val="1"/>
          <c:showCatName val="0"/>
          <c:showSerName val="0"/>
          <c:showPercent val="0"/>
          <c:showBubbleSize val="0"/>
        </c:dLbls>
        <c:gapWidth val="182"/>
        <c:axId val="588341023"/>
        <c:axId val="588342463"/>
      </c:barChart>
      <c:catAx>
        <c:axId val="588341023"/>
        <c:scaling>
          <c:orientation val="minMax"/>
        </c:scaling>
        <c:delete val="1"/>
        <c:axPos val="l"/>
        <c:numFmt formatCode="General" sourceLinked="1"/>
        <c:majorTickMark val="none"/>
        <c:minorTickMark val="none"/>
        <c:tickLblPos val="nextTo"/>
        <c:crossAx val="588342463"/>
        <c:crosses val="autoZero"/>
        <c:auto val="1"/>
        <c:lblAlgn val="ctr"/>
        <c:lblOffset val="100"/>
        <c:noMultiLvlLbl val="0"/>
      </c:catAx>
      <c:valAx>
        <c:axId val="588342463"/>
        <c:scaling>
          <c:orientation val="minMax"/>
        </c:scaling>
        <c:delete val="1"/>
        <c:axPos val="b"/>
        <c:numFmt formatCode="&quot;₹&quot;\ #,##0.00" sourceLinked="1"/>
        <c:majorTickMark val="none"/>
        <c:minorTickMark val="none"/>
        <c:tickLblPos val="nextTo"/>
        <c:crossAx val="5883410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val>
            <c:numRef>
              <c:f>'Automated raw'!$AZ$31:$BA$31</c:f>
              <c:numCache>
                <c:formatCode>General</c:formatCode>
                <c:ptCount val="2"/>
                <c:pt idx="0" formatCode="&quot;₹&quot;\ #,##0.00">
                  <c:v>2180434</c:v>
                </c:pt>
                <c:pt idx="1">
                  <c:v>0</c:v>
                </c:pt>
              </c:numCache>
            </c:numRef>
          </c:val>
          <c:extLst>
            <c:ext xmlns:c16="http://schemas.microsoft.com/office/drawing/2014/chart" uri="{C3380CC4-5D6E-409C-BE32-E72D297353CC}">
              <c16:uniqueId val="{00000000-1873-4B20-BD2E-85292EBA31E6}"/>
            </c:ext>
          </c:extLst>
        </c:ser>
        <c:dLbls>
          <c:showLegendKey val="0"/>
          <c:showVal val="0"/>
          <c:showCatName val="0"/>
          <c:showSerName val="0"/>
          <c:showPercent val="0"/>
          <c:showBubbleSize val="0"/>
        </c:dLbls>
        <c:gapWidth val="182"/>
        <c:axId val="518163567"/>
        <c:axId val="518156367"/>
      </c:barChart>
      <c:catAx>
        <c:axId val="5181635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156367"/>
        <c:crosses val="autoZero"/>
        <c:auto val="1"/>
        <c:lblAlgn val="ctr"/>
        <c:lblOffset val="100"/>
        <c:noMultiLvlLbl val="0"/>
      </c:catAx>
      <c:valAx>
        <c:axId val="518156367"/>
        <c:scaling>
          <c:orientation val="minMax"/>
        </c:scaling>
        <c:delete val="0"/>
        <c:axPos val="b"/>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16356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[Prolect 1.xlsm]Automated raw!PivotTable1</c:name>
    <c:fmtId val="9"/>
  </c:pivotSource>
  <c:chart>
    <c:title>
      <c:tx>
        <c:rich>
          <a:bodyPr rot="0" spcFirstLastPara="1" vertOverflow="ellipsis" vert="horz" wrap="square" anchor="ctr" anchorCtr="1"/>
          <a:lstStyle/>
          <a:p>
            <a:pPr>
              <a:defRPr sz="1800" b="1" i="0" u="none" strike="noStrike" kern="1200" spc="0" baseline="0">
                <a:solidFill>
                  <a:srgbClr val="C00000"/>
                </a:solidFill>
                <a:latin typeface="+mn-lt"/>
                <a:ea typeface="+mn-ea"/>
                <a:cs typeface="+mn-cs"/>
              </a:defRPr>
            </a:pPr>
            <a:r>
              <a:rPr lang="en-US">
                <a:solidFill>
                  <a:srgbClr val="C00000"/>
                </a:solidFill>
              </a:rPr>
              <a:t>Unsold Quantity</a:t>
            </a:r>
          </a:p>
        </c:rich>
      </c:tx>
      <c:layout>
        <c:manualLayout>
          <c:xMode val="edge"/>
          <c:yMode val="edge"/>
          <c:x val="5.3007524765049545E-2"/>
          <c:y val="4.8169556840077067E-3"/>
        </c:manualLayout>
      </c:layout>
      <c:overlay val="0"/>
      <c:spPr>
        <a:noFill/>
        <a:ln>
          <a:noFill/>
        </a:ln>
        <a:effectLst/>
      </c:spPr>
      <c:txPr>
        <a:bodyPr rot="0" spcFirstLastPara="1" vertOverflow="ellipsis" vert="horz" wrap="square" anchor="ctr" anchorCtr="1"/>
        <a:lstStyle/>
        <a:p>
          <a:pPr>
            <a:defRPr sz="1800" b="1" i="0" u="none" strike="noStrike" kern="1200" spc="0" baseline="0">
              <a:solidFill>
                <a:srgbClr val="C0000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tx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20303050991458438"/>
          <c:w val="0.93523645821446233"/>
          <c:h val="0.65009482196228352"/>
        </c:manualLayout>
      </c:layout>
      <c:lineChart>
        <c:grouping val="standard"/>
        <c:varyColors val="0"/>
        <c:ser>
          <c:idx val="0"/>
          <c:order val="0"/>
          <c:tx>
            <c:strRef>
              <c:f>'Automated raw'!$AO$5</c:f>
              <c:strCache>
                <c:ptCount val="1"/>
                <c:pt idx="0">
                  <c:v>Total</c:v>
                </c:pt>
              </c:strCache>
            </c:strRef>
          </c:tx>
          <c:spPr>
            <a:ln w="28575" cap="rnd">
              <a:solidFill>
                <a:schemeClr val="tx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'Automated raw'!$AN$6:$AN$9</c:f>
              <c:strCache>
                <c:ptCount val="3"/>
                <c:pt idx="0">
                  <c:v>Kids</c:v>
                </c:pt>
                <c:pt idx="1">
                  <c:v>Men</c:v>
                </c:pt>
                <c:pt idx="2">
                  <c:v>Women</c:v>
                </c:pt>
              </c:strCache>
            </c:strRef>
          </c:cat>
          <c:val>
            <c:numRef>
              <c:f>'Automated raw'!$AO$6:$AO$9</c:f>
              <c:numCache>
                <c:formatCode>General</c:formatCode>
                <c:ptCount val="3"/>
                <c:pt idx="0">
                  <c:v>3824</c:v>
                </c:pt>
                <c:pt idx="1">
                  <c:v>3782</c:v>
                </c:pt>
                <c:pt idx="2">
                  <c:v>3771</c:v>
                </c:pt>
              </c:numCache>
            </c:numRef>
          </c:val>
          <c:smooth val="0"/>
          <c:extLst>
            <c:ext xmlns:c16="http://schemas.microsoft.com/office/drawing/2014/chart" uri="{C3380CC4-5D6E-409C-BE32-E72D297353CC}">
              <c16:uniqueId val="{00000000-8FCA-4318-8F29-8B1AA699EADD}"/>
            </c:ext>
          </c:extLst>
        </c:ser>
        <c:dLbls>
          <c:dLblPos val="t"/>
          <c:showLegendKey val="0"/>
          <c:showVal val="1"/>
          <c:showCatName val="0"/>
          <c:showSerName val="0"/>
          <c:showPercent val="0"/>
          <c:showBubbleSize val="0"/>
        </c:dLbls>
        <c:marker val="1"/>
        <c:smooth val="0"/>
        <c:axId val="2134701535"/>
        <c:axId val="2134724095"/>
      </c:lineChart>
      <c:catAx>
        <c:axId val="2134701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2134724095"/>
        <c:crosses val="autoZero"/>
        <c:auto val="1"/>
        <c:lblAlgn val="ctr"/>
        <c:lblOffset val="100"/>
        <c:noMultiLvlLbl val="0"/>
      </c:catAx>
      <c:valAx>
        <c:axId val="2134724095"/>
        <c:scaling>
          <c:orientation val="minMax"/>
        </c:scaling>
        <c:delete val="1"/>
        <c:axPos val="l"/>
        <c:numFmt formatCode="General" sourceLinked="1"/>
        <c:majorTickMark val="none"/>
        <c:minorTickMark val="none"/>
        <c:tickLblPos val="nextTo"/>
        <c:crossAx val="21347015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[Prolect 1.xlsm]Automated raw!PivotTable5</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baseline="0">
                <a:solidFill>
                  <a:srgbClr val="C00000"/>
                </a:solidFill>
              </a:rPr>
              <a:t>% Sell  of products</a:t>
            </a:r>
            <a:endParaRPr lang="en-US" sz="1600" b="1">
              <a:solidFill>
                <a:srgbClr val="C00000"/>
              </a:solidFill>
            </a:endParaRPr>
          </a:p>
        </c:rich>
      </c:tx>
      <c:layout>
        <c:manualLayout>
          <c:xMode val="edge"/>
          <c:yMode val="edge"/>
          <c:x val="6.5364061456245806E-2"/>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tx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'Automated raw'!$AU$5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'Automated raw'!$AT$6:$AT$14</c:f>
              <c:strCache>
                <c:ptCount val="8"/>
                <c:pt idx="0">
                  <c:v>Dress</c:v>
                </c:pt>
                <c:pt idx="1">
                  <c:v>Hoodie</c:v>
                </c:pt>
                <c:pt idx="2">
                  <c:v>jacket</c:v>
                </c:pt>
                <c:pt idx="3">
                  <c:v>Jeans</c:v>
                </c:pt>
                <c:pt idx="4">
                  <c:v>Shirt</c:v>
                </c:pt>
                <c:pt idx="5">
                  <c:v>Shorts</c:v>
                </c:pt>
                <c:pt idx="6">
                  <c:v>Sweater</c:v>
                </c:pt>
                <c:pt idx="7">
                  <c:v>T-Shirt</c:v>
                </c:pt>
              </c:strCache>
            </c:strRef>
          </c:cat>
          <c:val>
            <c:numRef>
              <c:f>'Automated raw'!$AU$6:$AU$14</c:f>
              <c:numCache>
                <c:formatCode>0.00%</c:formatCode>
                <c:ptCount val="8"/>
                <c:pt idx="0">
                  <c:v>0.12858907579876158</c:v>
                </c:pt>
                <c:pt idx="1">
                  <c:v>0.13811206266477458</c:v>
                </c:pt>
                <c:pt idx="2">
                  <c:v>8.563775032974702E-2</c:v>
                </c:pt>
                <c:pt idx="3">
                  <c:v>0.20913038318387878</c:v>
                </c:pt>
                <c:pt idx="4">
                  <c:v>0.12333862968160221</c:v>
                </c:pt>
                <c:pt idx="5">
                  <c:v>8.1552491424882773E-2</c:v>
                </c:pt>
                <c:pt idx="6">
                  <c:v>0.15549147997401266</c:v>
                </c:pt>
                <c:pt idx="7">
                  <c:v>7.8148126942340579E-2</c:v>
                </c:pt>
              </c:numCache>
            </c:numRef>
          </c:val>
          <c:smooth val="0"/>
          <c:extLst>
            <c:ext xmlns:c16="http://schemas.microsoft.com/office/drawing/2014/chart" uri="{C3380CC4-5D6E-409C-BE32-E72D297353CC}">
              <c16:uniqueId val="{00000001-6D81-4E9E-8BC8-08F32AC73E1B}"/>
            </c:ext>
          </c:extLst>
        </c:ser>
        <c:dLbls>
          <c:dLblPos val="t"/>
          <c:showLegendKey val="0"/>
          <c:showVal val="1"/>
          <c:showCatName val="0"/>
          <c:showSerName val="0"/>
          <c:showPercent val="0"/>
          <c:showBubbleSize val="0"/>
        </c:dLbls>
        <c:marker val="1"/>
        <c:smooth val="0"/>
        <c:axId val="242989103"/>
        <c:axId val="242981903"/>
      </c:lineChart>
      <c:catAx>
        <c:axId val="242989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242981903"/>
        <c:crosses val="autoZero"/>
        <c:auto val="1"/>
        <c:lblAlgn val="ctr"/>
        <c:lblOffset val="100"/>
        <c:noMultiLvlLbl val="0"/>
      </c:catAx>
      <c:valAx>
        <c:axId val="242981903"/>
        <c:scaling>
          <c:orientation val="minMax"/>
        </c:scaling>
        <c:delete val="1"/>
        <c:axPos val="l"/>
        <c:numFmt formatCode="0.00%" sourceLinked="1"/>
        <c:majorTickMark val="none"/>
        <c:minorTickMark val="none"/>
        <c:tickLblPos val="nextTo"/>
        <c:crossAx val="2429891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[Prolect 1.xlsm]Automated raw!PivotTable3</c:name>
    <c:fmtId val="19"/>
  </c:pivotSource>
  <c:chart>
    <c:title>
      <c:tx>
        <c:rich>
          <a:bodyPr rot="0" spcFirstLastPara="1" vertOverflow="ellipsis" vert="horz" wrap="square" anchor="ctr" anchorCtr="1"/>
          <a:lstStyle/>
          <a:p>
            <a:pPr>
              <a:defRPr sz="1400" b="1" i="0" u="none" strike="noStrike" kern="1200" spc="0" baseline="0">
                <a:solidFill>
                  <a:srgbClr val="C00000"/>
                </a:solidFill>
                <a:latin typeface="+mn-lt"/>
                <a:ea typeface="+mn-ea"/>
                <a:cs typeface="+mn-cs"/>
              </a:defRPr>
            </a:pPr>
            <a:r>
              <a:rPr lang="en-IN" sz="1800" b="1">
                <a:solidFill>
                  <a:srgbClr val="C00000"/>
                </a:solidFill>
              </a:rPr>
              <a:t>Unsold VS Sold Price</a:t>
            </a:r>
          </a:p>
        </c:rich>
      </c:tx>
      <c:layout>
        <c:manualLayout>
          <c:xMode val="edge"/>
          <c:yMode val="edge"/>
          <c:x val="0.11047388761444188"/>
          <c:y val="3.240740740740740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C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5144356955380581"/>
                  <c:h val="0.16645851560221639"/>
                </c:manualLayout>
              </c15:layout>
            </c:ext>
          </c:extLst>
        </c:dLbl>
      </c:pivotFmt>
      <c:pivotFmt>
        <c:idx val="7"/>
        <c:spPr>
          <a:solidFill>
            <a:srgbClr val="FFFF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5006561679790024"/>
                  <c:h val="0.18340296004666085"/>
                </c:manualLayout>
              </c15:layout>
            </c:ext>
          </c:extLst>
        </c:dLbl>
      </c:pivotFmt>
    </c:pivotFmts>
    <c:plotArea>
      <c:layout/>
      <c:barChart>
        <c:barDir val="bar"/>
        <c:grouping val="clustered"/>
        <c:varyColors val="0"/>
        <c:ser>
          <c:idx val="0"/>
          <c:order val="0"/>
          <c:tx>
            <c:strRef>
              <c:f>'Automated raw'!$AX$5</c:f>
              <c:strCache>
                <c:ptCount val="1"/>
                <c:pt idx="0">
                  <c:v>Sum of selling value value</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2-E0D3-4CDA-AF8F-BDB7BE6BAE1B}"/>
              </c:ext>
            </c:extLst>
          </c:dPt>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5144356955380581"/>
                      <c:h val="0.16645851560221639"/>
                    </c:manualLayout>
                  </c15:layout>
                </c:ext>
                <c:ext xmlns:c16="http://schemas.microsoft.com/office/drawing/2014/chart" uri="{C3380CC4-5D6E-409C-BE32-E72D297353CC}">
                  <c16:uniqueId val="{00000002-E0D3-4CDA-AF8F-BDB7BE6BAE1B}"/>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'Automated raw'!$AX$6</c:f>
              <c:strCache>
                <c:ptCount val="1"/>
                <c:pt idx="0">
                  <c:v>Total</c:v>
                </c:pt>
              </c:strCache>
            </c:strRef>
          </c:cat>
          <c:val>
            <c:numRef>
              <c:f>'Automated raw'!$AX$6</c:f>
              <c:numCache>
                <c:formatCode>"₹"\ #,##0.00</c:formatCode>
                <c:ptCount val="1"/>
                <c:pt idx="0">
                  <c:v>56757898</c:v>
                </c:pt>
              </c:numCache>
            </c:numRef>
          </c:val>
          <c:extLst>
            <c:ext xmlns:c16="http://schemas.microsoft.com/office/drawing/2014/chart" uri="{C3380CC4-5D6E-409C-BE32-E72D297353CC}">
              <c16:uniqueId val="{00000000-E0D3-4CDA-AF8F-BDB7BE6BAE1B}"/>
            </c:ext>
          </c:extLst>
        </c:ser>
        <c:ser>
          <c:idx val="1"/>
          <c:order val="1"/>
          <c:tx>
            <c:strRef>
              <c:f>'Automated raw'!$AY$5</c:f>
              <c:strCache>
                <c:ptCount val="1"/>
                <c:pt idx="0">
                  <c:v>Sum of unsold Value </c:v>
                </c:pt>
              </c:strCache>
            </c:strRef>
          </c:tx>
          <c:spPr>
            <a:solidFill>
              <a:srgbClr val="FFFF00"/>
            </a:solidFill>
            <a:ln>
              <a:noFill/>
            </a:ln>
            <a:effectLst/>
          </c:spPr>
          <c:invertIfNegative val="0"/>
          <c:dPt>
            <c:idx val="0"/>
            <c:invertIfNegative val="0"/>
            <c:bubble3D val="0"/>
            <c:spPr>
              <a:solidFill>
                <a:srgbClr val="FFFF00"/>
              </a:solidFill>
              <a:ln>
                <a:noFill/>
              </a:ln>
              <a:effectLst/>
            </c:spPr>
            <c:extLst>
              <c:ext xmlns:c16="http://schemas.microsoft.com/office/drawing/2014/chart" uri="{C3380CC4-5D6E-409C-BE32-E72D297353CC}">
                <c16:uniqueId val="{00000003-E0D3-4CDA-AF8F-BDB7BE6BAE1B}"/>
              </c:ext>
            </c:extLst>
          </c:dPt>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5006561679790024"/>
                      <c:h val="0.18340296004666085"/>
                    </c:manualLayout>
                  </c15:layout>
                </c:ext>
                <c:ext xmlns:c16="http://schemas.microsoft.com/office/drawing/2014/chart" uri="{C3380CC4-5D6E-409C-BE32-E72D297353CC}">
                  <c16:uniqueId val="{00000003-E0D3-4CDA-AF8F-BDB7BE6BAE1B}"/>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'Automated raw'!$AX$6</c:f>
              <c:strCache>
                <c:ptCount val="1"/>
                <c:pt idx="0">
                  <c:v>Total</c:v>
                </c:pt>
              </c:strCache>
            </c:strRef>
          </c:cat>
          <c:val>
            <c:numRef>
              <c:f>'Automated raw'!$AY$6</c:f>
              <c:numCache>
                <c:formatCode>"₹"\ #,##0.00</c:formatCode>
                <c:ptCount val="1"/>
                <c:pt idx="0">
                  <c:v>39859265</c:v>
                </c:pt>
              </c:numCache>
            </c:numRef>
          </c:val>
          <c:extLst>
            <c:ext xmlns:c16="http://schemas.microsoft.com/office/drawing/2014/chart" uri="{C3380CC4-5D6E-409C-BE32-E72D297353CC}">
              <c16:uniqueId val="{00000001-E0D3-4CDA-AF8F-BDB7BE6BAE1B}"/>
            </c:ext>
          </c:extLst>
        </c:ser>
        <c:dLbls>
          <c:dLblPos val="outEnd"/>
          <c:showLegendKey val="0"/>
          <c:showVal val="1"/>
          <c:showCatName val="0"/>
          <c:showSerName val="0"/>
          <c:showPercent val="0"/>
          <c:showBubbleSize val="0"/>
        </c:dLbls>
        <c:gapWidth val="182"/>
        <c:axId val="1701877664"/>
        <c:axId val="1701871424"/>
      </c:barChart>
      <c:catAx>
        <c:axId val="1701877664"/>
        <c:scaling>
          <c:orientation val="minMax"/>
        </c:scaling>
        <c:delete val="1"/>
        <c:axPos val="l"/>
        <c:numFmt formatCode="General" sourceLinked="1"/>
        <c:majorTickMark val="none"/>
        <c:minorTickMark val="none"/>
        <c:tickLblPos val="nextTo"/>
        <c:crossAx val="1701871424"/>
        <c:crosses val="autoZero"/>
        <c:auto val="1"/>
        <c:lblAlgn val="ctr"/>
        <c:lblOffset val="100"/>
        <c:noMultiLvlLbl val="0"/>
      </c:catAx>
      <c:valAx>
        <c:axId val="1701871424"/>
        <c:scaling>
          <c:orientation val="minMax"/>
        </c:scaling>
        <c:delete val="1"/>
        <c:axPos val="b"/>
        <c:numFmt formatCode="&quot;₹&quot;\ #,##0.00" sourceLinked="1"/>
        <c:majorTickMark val="none"/>
        <c:minorTickMark val="none"/>
        <c:tickLblPos val="nextTo"/>
        <c:crossAx val="1701877664"/>
        <c:crosses val="autoZero"/>
        <c:crossBetween val="between"/>
      </c:valAx>
      <c:spPr>
        <a:noFill/>
        <a:ln>
          <a:noFill/>
        </a:ln>
        <a:effectLst/>
      </c:spPr>
    </c:plotArea>
    <c:legend>
      <c:legendPos val="r"/>
      <c:layout>
        <c:manualLayout>
          <c:xMode val="edge"/>
          <c:yMode val="edge"/>
          <c:x val="0.67587911009155355"/>
          <c:y val="0.18192002041411487"/>
          <c:w val="0.30771669043338085"/>
          <c:h val="0.26157626130067069"/>
        </c:manualLayout>
      </c:layout>
      <c:overlay val="0"/>
      <c:spPr>
        <a:solidFill>
          <a:sysClr val="window" lastClr="FFFFFF"/>
        </a:solid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[Prolect 1.xlsm]Automated raw!PivotTable2</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chemeClr val="bg1"/>
                </a:solidFill>
              </a:rPr>
              <a:t>Stocks Value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a:outerShdw blurRad="50800" dist="38100" dir="5400000" algn="t"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noFill/>
          </a:ln>
          <a:effectLst>
            <a:outerShdw blurRad="50800" dist="38100" dir="5400000" algn="t" rotWithShape="0">
              <a:prstClr val="black">
                <a:alpha val="40000"/>
              </a:prstClr>
            </a:outerShdw>
          </a:effectLst>
        </c:spPr>
      </c:pivotFmt>
      <c:pivotFmt>
        <c:idx val="7"/>
        <c:spPr>
          <a:solidFill>
            <a:schemeClr val="accent1"/>
          </a:solidFill>
          <a:ln w="19050">
            <a:noFill/>
          </a:ln>
          <a:effectLst>
            <a:outerShdw blurRad="50800" dist="38100" dir="5400000" algn="t" rotWithShape="0">
              <a:prstClr val="black">
                <a:alpha val="40000"/>
              </a:prstClr>
            </a:outerShdw>
          </a:effectLst>
        </c:spPr>
      </c:pivotFmt>
      <c:pivotFmt>
        <c:idx val="8"/>
        <c:spPr>
          <a:solidFill>
            <a:schemeClr val="accent1"/>
          </a:solidFill>
          <a:ln w="19050">
            <a:noFill/>
          </a:ln>
          <a:effectLst>
            <a:outerShdw blurRad="50800" dist="38100" dir="5400000" algn="t" rotWithShape="0">
              <a:prstClr val="black">
                <a:alpha val="40000"/>
              </a:prstClr>
            </a:outerShdw>
          </a:effectLst>
        </c:spPr>
      </c:pivotFmt>
      <c:pivotFmt>
        <c:idx val="9"/>
        <c:spPr>
          <a:solidFill>
            <a:schemeClr val="accent1"/>
          </a:solidFill>
          <a:ln w="19050">
            <a:noFill/>
          </a:ln>
          <a:effectLst>
            <a:outerShdw blurRad="50800" dist="38100" dir="5400000" algn="t"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noFill/>
          </a:ln>
          <a:effectLst>
            <a:outerShdw blurRad="50800" dist="38100" dir="5400000" algn="t" rotWithShape="0">
              <a:prstClr val="black">
                <a:alpha val="40000"/>
              </a:prstClr>
            </a:outerShdw>
          </a:effectLst>
        </c:spPr>
      </c:pivotFmt>
      <c:pivotFmt>
        <c:idx val="11"/>
        <c:spPr>
          <a:solidFill>
            <a:schemeClr val="accent1"/>
          </a:solidFill>
          <a:ln w="19050">
            <a:noFill/>
          </a:ln>
          <a:effectLst>
            <a:outerShdw blurRad="50800" dist="38100" dir="5400000" algn="t" rotWithShape="0">
              <a:prstClr val="black">
                <a:alpha val="40000"/>
              </a:prstClr>
            </a:outerShdw>
          </a:effectLst>
        </c:spPr>
      </c:pivotFmt>
      <c:pivotFmt>
        <c:idx val="12"/>
        <c:spPr>
          <a:solidFill>
            <a:schemeClr val="accent1"/>
          </a:solidFill>
          <a:ln w="19050">
            <a:noFill/>
          </a:ln>
          <a:effectLst>
            <a:outerShdw blurRad="50800" dist="38100" dir="5400000" algn="t" rotWithShape="0">
              <a:prstClr val="black">
                <a:alpha val="40000"/>
              </a:prstClr>
            </a:outerShdw>
          </a:effectLst>
        </c:spPr>
      </c:pivotFmt>
      <c:pivotFmt>
        <c:idx val="13"/>
        <c:spPr>
          <a:solidFill>
            <a:schemeClr val="accent1"/>
          </a:solidFill>
          <a:ln w="19050">
            <a:noFill/>
          </a:ln>
          <a:effectLst>
            <a:outerShdw blurRad="50800" dist="38100" dir="5400000" algn="t"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noFill/>
          </a:ln>
          <a:effectLst>
            <a:outerShdw blurRad="50800" dist="38100" dir="5400000" algn="t" rotWithShape="0">
              <a:prstClr val="black">
                <a:alpha val="40000"/>
              </a:prstClr>
            </a:outerShdw>
          </a:effectLst>
        </c:spPr>
      </c:pivotFmt>
      <c:pivotFmt>
        <c:idx val="15"/>
        <c:spPr>
          <a:solidFill>
            <a:schemeClr val="accent1"/>
          </a:solidFill>
          <a:ln w="19050">
            <a:noFill/>
          </a:ln>
          <a:effectLst>
            <a:outerShdw blurRad="50800" dist="38100" dir="5400000" algn="t" rotWithShape="0">
              <a:prstClr val="black">
                <a:alpha val="40000"/>
              </a:prstClr>
            </a:outerShdw>
          </a:effectLst>
        </c:spPr>
      </c:pivotFmt>
      <c:pivotFmt>
        <c:idx val="16"/>
        <c:spPr>
          <a:solidFill>
            <a:schemeClr val="accent1"/>
          </a:solidFill>
          <a:ln w="19050">
            <a:noFill/>
          </a:ln>
          <a:effectLst>
            <a:outerShdw blurRad="50800" dist="38100" dir="5400000" algn="t" rotWithShape="0">
              <a:prstClr val="black">
                <a:alpha val="40000"/>
              </a:prstClr>
            </a:outerShdw>
          </a:effectLst>
        </c:spPr>
      </c:pivotFmt>
    </c:pivotFmts>
    <c:plotArea>
      <c:layout>
        <c:manualLayout>
          <c:layoutTarget val="inner"/>
          <c:xMode val="edge"/>
          <c:yMode val="edge"/>
          <c:x val="3.8245656544109295E-2"/>
          <c:y val="0.12166048171047747"/>
          <c:w val="0.65480452419652158"/>
          <c:h val="0.87451474189823641"/>
        </c:manualLayout>
      </c:layout>
      <c:doughnutChart>
        <c:varyColors val="1"/>
        <c:ser>
          <c:idx val="0"/>
          <c:order val="0"/>
          <c:tx>
            <c:strRef>
              <c:f>'Automated raw'!$AR$5</c:f>
              <c:strCache>
                <c:ptCount val="1"/>
                <c:pt idx="0">
                  <c:v>Total</c:v>
                </c:pt>
              </c:strCache>
            </c:strRef>
          </c:tx>
          <c:spPr>
            <a:ln>
              <a:noFill/>
            </a:ln>
            <a:effectLst>
              <a:outerShdw blurRad="50800" dist="38100" dir="5400000" algn="t" rotWithShape="0">
                <a:prstClr val="black">
                  <a:alpha val="40000"/>
                </a:prstClr>
              </a:outerShdw>
            </a:effectLst>
          </c:spPr>
          <c:explosion val="8"/>
          <c:dPt>
            <c:idx val="0"/>
            <c:bubble3D val="0"/>
            <c:spPr>
              <a:solidFill>
                <a:schemeClr val="accent1"/>
              </a:solidFill>
              <a:ln w="19050">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1-336F-4DFB-9866-AF6ECCFCA96D}"/>
              </c:ext>
            </c:extLst>
          </c:dPt>
          <c:dPt>
            <c:idx val="1"/>
            <c:bubble3D val="0"/>
            <c:spPr>
              <a:solidFill>
                <a:schemeClr val="accent2"/>
              </a:solidFill>
              <a:ln w="19050">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3-336F-4DFB-9866-AF6ECCFCA96D}"/>
              </c:ext>
            </c:extLst>
          </c:dPt>
          <c:dPt>
            <c:idx val="2"/>
            <c:bubble3D val="0"/>
            <c:spPr>
              <a:solidFill>
                <a:schemeClr val="accent3"/>
              </a:solidFill>
              <a:ln w="19050">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5-336F-4DFB-9866-AF6ECCFCA96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'Automated raw'!$AQ$6:$AQ$9</c:f>
              <c:strCache>
                <c:ptCount val="3"/>
                <c:pt idx="0">
                  <c:v>Avg</c:v>
                </c:pt>
                <c:pt idx="1">
                  <c:v>Dead Stock</c:v>
                </c:pt>
                <c:pt idx="2">
                  <c:v>High</c:v>
                </c:pt>
              </c:strCache>
            </c:strRef>
          </c:cat>
          <c:val>
            <c:numRef>
              <c:f>'Automated raw'!$AR$6:$AR$9</c:f>
              <c:numCache>
                <c:formatCode>"₹"\ #,##0.00</c:formatCode>
                <c:ptCount val="3"/>
                <c:pt idx="0">
                  <c:v>14788443</c:v>
                </c:pt>
                <c:pt idx="1">
                  <c:v>8059258</c:v>
                </c:pt>
                <c:pt idx="2">
                  <c:v>2180434</c:v>
                </c:pt>
              </c:numCache>
            </c:numRef>
          </c:val>
          <c:extLst>
            <c:ext xmlns:c16="http://schemas.microsoft.com/office/drawing/2014/chart" uri="{C3380CC4-5D6E-409C-BE32-E72D297353CC}">
              <c16:uniqueId val="{00000006-336F-4DFB-9866-AF6ECCFCA96D}"/>
            </c:ext>
          </c:extLst>
        </c:ser>
        <c:dLbls>
          <c:showLegendKey val="0"/>
          <c:showVal val="1"/>
          <c:showCatName val="0"/>
          <c:showSerName val="0"/>
          <c:showPercent val="0"/>
          <c:showBubbleSize val="0"/>
          <c:showLeaderLines val="1"/>
        </c:dLbls>
        <c:firstSliceAng val="133"/>
        <c:holeSize val="48"/>
      </c:doughnutChart>
      <c:spPr>
        <a:noFill/>
        <a:ln>
          <a:noFill/>
        </a:ln>
        <a:effectLst/>
      </c:spPr>
    </c:plotArea>
    <c:legend>
      <c:legendPos val="r"/>
      <c:overlay val="0"/>
      <c:spPr>
        <a:solidFill>
          <a:sysClr val="window" lastClr="FFFFFF"/>
        </a:solid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800" b="1"/>
              <a:t>Stock Value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4459665144596651E-3"/>
          <c:y val="2.1651048371805282E-3"/>
          <c:w val="0.93888888888888888"/>
          <c:h val="0.89814814814814814"/>
        </c:manualLayout>
      </c:layout>
      <c:barChart>
        <c:barDir val="bar"/>
        <c:grouping val="clustered"/>
        <c:varyColors val="0"/>
        <c:ser>
          <c:idx val="0"/>
          <c:order val="0"/>
          <c:spPr>
            <a:solidFill>
              <a:srgbClr val="FF6600"/>
            </a:solidFill>
            <a:ln>
              <a:noFill/>
            </a:ln>
            <a:effectLst/>
          </c:spPr>
          <c:invertIfNegative val="0"/>
          <c:dLbls>
            <c:dLbl>
              <c:idx val="0"/>
              <c:layout>
                <c:manualLayout>
                  <c:x val="-3.5627794383674818E-2"/>
                  <c:y val="-0.33333333333333331"/>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44026146092760771"/>
                      <c:h val="0.27872123542696697"/>
                    </c:manualLayout>
                  </c15:layout>
                </c:ext>
                <c:ext xmlns:c16="http://schemas.microsoft.com/office/drawing/2014/chart" uri="{C3380CC4-5D6E-409C-BE32-E72D297353CC}">
                  <c16:uniqueId val="{00000002-630C-431E-BFC6-A80022A1E67D}"/>
                </c:ext>
              </c:extLst>
            </c:dLbl>
            <c:dLbl>
              <c:idx val="1"/>
              <c:delete val="1"/>
              <c:extLst>
                <c:ext xmlns:c15="http://schemas.microsoft.com/office/drawing/2012/chart" uri="{CE6537A1-D6FC-4f65-9D91-7224C49458BB}"/>
                <c:ext xmlns:c16="http://schemas.microsoft.com/office/drawing/2014/chart" uri="{C3380CC4-5D6E-409C-BE32-E72D297353CC}">
                  <c16:uniqueId val="{00000000-630C-431E-BFC6-A80022A1E67D}"/>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'Automated raw'!$AZ$30:$BA$30</c:f>
              <c:numCache>
                <c:formatCode>General</c:formatCode>
                <c:ptCount val="2"/>
                <c:pt idx="0" formatCode="&quot;₹&quot;\ #,##0.00">
                  <c:v>14788443</c:v>
                </c:pt>
                <c:pt idx="1">
                  <c:v>0</c:v>
                </c:pt>
              </c:numCache>
            </c:numRef>
          </c:val>
          <c:extLst>
            <c:ext xmlns:c16="http://schemas.microsoft.com/office/drawing/2014/chart" uri="{C3380CC4-5D6E-409C-BE32-E72D297353CC}">
              <c16:uniqueId val="{00000001-630C-431E-BFC6-A80022A1E67D}"/>
            </c:ext>
          </c:extLst>
        </c:ser>
        <c:dLbls>
          <c:dLblPos val="outEnd"/>
          <c:showLegendKey val="0"/>
          <c:showVal val="1"/>
          <c:showCatName val="0"/>
          <c:showSerName val="0"/>
          <c:showPercent val="0"/>
          <c:showBubbleSize val="0"/>
        </c:dLbls>
        <c:gapWidth val="182"/>
        <c:axId val="588341023"/>
        <c:axId val="588342463"/>
      </c:barChart>
      <c:catAx>
        <c:axId val="588341023"/>
        <c:scaling>
          <c:orientation val="minMax"/>
        </c:scaling>
        <c:delete val="1"/>
        <c:axPos val="l"/>
        <c:numFmt formatCode="General" sourceLinked="1"/>
        <c:majorTickMark val="none"/>
        <c:minorTickMark val="none"/>
        <c:tickLblPos val="nextTo"/>
        <c:crossAx val="588342463"/>
        <c:crosses val="autoZero"/>
        <c:auto val="1"/>
        <c:lblAlgn val="ctr"/>
        <c:lblOffset val="100"/>
        <c:noMultiLvlLbl val="0"/>
      </c:catAx>
      <c:valAx>
        <c:axId val="588342463"/>
        <c:scaling>
          <c:orientation val="minMax"/>
        </c:scaling>
        <c:delete val="1"/>
        <c:axPos val="b"/>
        <c:numFmt formatCode="&quot;₹&quot;\ #,##0.00" sourceLinked="1"/>
        <c:majorTickMark val="none"/>
        <c:minorTickMark val="none"/>
        <c:tickLblPos val="nextTo"/>
        <c:crossAx val="588341023"/>
        <c:crosses val="autoZero"/>
        <c:crossBetween val="between"/>
      </c:valAx>
      <c:spPr>
        <a:noFill/>
        <a:ln>
          <a:noFill/>
        </a:ln>
        <a:effectLst/>
      </c:spPr>
    </c:plotArea>
    <c:plotVisOnly val="1"/>
    <c:dispBlanksAs val="gap"/>
    <c:showDLblsOverMax val="0"/>
  </c:chart>
  <c:spPr>
    <a:noFill/>
    <a:ln w="9525" cap="flat" cmpd="sng" algn="ctr">
      <a:no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800" b="1"/>
              <a:t>Stock Value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0615711252653927E-2"/>
          <c:y val="7.4012119452810346E-2"/>
          <c:w val="0.91851851851851851"/>
          <c:h val="0.84126984126984128"/>
        </c:manualLayout>
      </c:layout>
      <c:barChart>
        <c:barDir val="bar"/>
        <c:grouping val="clustered"/>
        <c:varyColors val="0"/>
        <c:ser>
          <c:idx val="0"/>
          <c:order val="0"/>
          <c:spPr>
            <a:solidFill>
              <a:srgbClr val="00B050"/>
            </a:solidFill>
            <a:ln>
              <a:noFill/>
            </a:ln>
            <a:effectLst/>
          </c:spPr>
          <c:invertIfNegative val="0"/>
          <c:dLbls>
            <c:dLbl>
              <c:idx val="0"/>
              <c:layout>
                <c:manualLayout>
                  <c:x val="-6.5860457729408156E-2"/>
                  <c:y val="-0.25973970995561041"/>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3955330424461273"/>
                      <c:h val="0.25941616168946624"/>
                    </c:manualLayout>
                  </c15:layout>
                </c:ext>
                <c:ext xmlns:c16="http://schemas.microsoft.com/office/drawing/2014/chart" uri="{C3380CC4-5D6E-409C-BE32-E72D297353CC}">
                  <c16:uniqueId val="{00000002-D9EC-4C23-AF4C-19582247C3A2}"/>
                </c:ext>
              </c:extLst>
            </c:dLbl>
            <c:dLbl>
              <c:idx val="1"/>
              <c:delete val="1"/>
              <c:extLst>
                <c:ext xmlns:c15="http://schemas.microsoft.com/office/drawing/2012/chart" uri="{CE6537A1-D6FC-4f65-9D91-7224C49458BB}"/>
                <c:ext xmlns:c16="http://schemas.microsoft.com/office/drawing/2014/chart" uri="{C3380CC4-5D6E-409C-BE32-E72D297353CC}">
                  <c16:uniqueId val="{00000001-D9EC-4C23-AF4C-19582247C3A2}"/>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'Automated raw'!$AZ$31:$BA$31</c:f>
              <c:numCache>
                <c:formatCode>General</c:formatCode>
                <c:ptCount val="2"/>
                <c:pt idx="0" formatCode="&quot;₹&quot;\ #,##0.00">
                  <c:v>2180434</c:v>
                </c:pt>
                <c:pt idx="1">
                  <c:v>0</c:v>
                </c:pt>
              </c:numCache>
            </c:numRef>
          </c:val>
          <c:extLst>
            <c:ext xmlns:c16="http://schemas.microsoft.com/office/drawing/2014/chart" uri="{C3380CC4-5D6E-409C-BE32-E72D297353CC}">
              <c16:uniqueId val="{00000000-D9EC-4C23-AF4C-19582247C3A2}"/>
            </c:ext>
          </c:extLst>
        </c:ser>
        <c:dLbls>
          <c:dLblPos val="outEnd"/>
          <c:showLegendKey val="0"/>
          <c:showVal val="1"/>
          <c:showCatName val="0"/>
          <c:showSerName val="0"/>
          <c:showPercent val="0"/>
          <c:showBubbleSize val="0"/>
        </c:dLbls>
        <c:gapWidth val="182"/>
        <c:axId val="518163567"/>
        <c:axId val="518156367"/>
      </c:barChart>
      <c:catAx>
        <c:axId val="518163567"/>
        <c:scaling>
          <c:orientation val="minMax"/>
        </c:scaling>
        <c:delete val="1"/>
        <c:axPos val="l"/>
        <c:numFmt formatCode="General" sourceLinked="1"/>
        <c:majorTickMark val="none"/>
        <c:minorTickMark val="none"/>
        <c:tickLblPos val="nextTo"/>
        <c:crossAx val="518156367"/>
        <c:crosses val="autoZero"/>
        <c:auto val="1"/>
        <c:lblAlgn val="ctr"/>
        <c:lblOffset val="100"/>
        <c:noMultiLvlLbl val="0"/>
      </c:catAx>
      <c:valAx>
        <c:axId val="518156367"/>
        <c:scaling>
          <c:orientation val="minMax"/>
        </c:scaling>
        <c:delete val="1"/>
        <c:axPos val="b"/>
        <c:numFmt formatCode="&quot;₹&quot;\ #,##0.00" sourceLinked="1"/>
        <c:majorTickMark val="none"/>
        <c:minorTickMark val="none"/>
        <c:tickLblPos val="nextTo"/>
        <c:crossAx val="518163567"/>
        <c:crosses val="autoZero"/>
        <c:crossBetween val="between"/>
      </c:valAx>
      <c:spPr>
        <a:noFill/>
        <a:ln>
          <a:noFill/>
        </a:ln>
        <a:effectLst/>
      </c:spPr>
    </c:plotArea>
    <c:plotVisOnly val="1"/>
    <c:dispBlanksAs val="gap"/>
    <c:showDLblsOverMax val="0"/>
  </c:chart>
  <c:spPr>
    <a:noFill/>
    <a:ln w="9525" cap="flat" cmpd="sng" algn="ctr">
      <a:no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title pos="t" align="ctr" overlay="0"/>
    <cx:plotArea>
      <cx:plotAreaRegion>
        <cx:series layoutId="treemap" uniqueId="{C273301D-4A4C-470B-A8BB-2E4FD3C85CDE}" formatIdx="0">
          <cx:tx>
            <cx:txData>
              <cx:f>_xlchart.v1.1</cx:f>
              <cx:v>Sum of Unsold Quantity</cx:v>
            </cx:txData>
          </cx:tx>
          <cx:dataLabels pos="inEnd">
            <cx:visibility seriesName="0" categoryName="1" value="0"/>
          </cx:dataLabels>
          <cx:dataId val="0"/>
          <cx:layoutPr>
            <cx:parentLabelLayout val="overlapping"/>
          </cx:layoutPr>
        </cx:series>
      </cx:plotAreaRegion>
    </cx:plotArea>
    <cx:legend pos="t"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title pos="t" align="ctr" overlay="0">
      <cx:tx>
        <cx:txData>
          <cx:v>No of Stocks</cx:v>
        </cx:txData>
      </cx:tx>
      <cx:txPr>
        <a:bodyPr spcFirstLastPara="1" vertOverflow="ellipsis" horzOverflow="overflow" wrap="square" lIns="0" tIns="0" rIns="0" bIns="0" anchor="ctr" anchorCtr="1"/>
        <a:lstStyle/>
        <a:p>
          <a:pPr algn="ctr" rtl="0">
            <a:defRPr b="1"/>
          </a:pPr>
          <a:r>
            <a:rPr lang="en-US" sz="1400" b="1" i="0" u="none" strike="noStrike" baseline="0">
              <a:solidFill>
                <a:sysClr val="windowText" lastClr="000000">
                  <a:lumMod val="65000"/>
                  <a:lumOff val="35000"/>
                </a:sysClr>
              </a:solidFill>
              <a:latin typeface="Aptos Narrow" panose="02110004020202020204"/>
            </a:rPr>
            <a:t>No of Stocks</a:t>
          </a:r>
        </a:p>
      </cx:txPr>
    </cx:title>
    <cx:plotArea>
      <cx:plotAreaRegion>
        <cx:series layoutId="treemap" uniqueId="{C273301D-4A4C-470B-A8BB-2E4FD3C85CDE}" formatIdx="0">
          <cx:tx>
            <cx:txData>
              <cx:f>_xlchart.v1.4</cx:f>
              <cx:v>Sum of Unsold Quantity</cx:v>
            </cx:txData>
          </cx:tx>
          <cx:spPr>
            <a:ln>
              <a:noFill/>
            </a:ln>
            <a:effectLst>
              <a:outerShdw blurRad="50800" dist="38100" dir="5400000" algn="t" rotWithShape="0">
                <a:prstClr val="black">
                  <a:alpha val="40000"/>
                </a:prstClr>
              </a:outerShdw>
            </a:effectLst>
          </cx:spPr>
          <cx:dataLabels>
            <cx:visibility seriesName="0" categoryName="1" value="0"/>
          </cx:dataLabels>
          <cx:dataId val="0"/>
          <cx:layoutPr>
            <cx:parentLabelLayout val="overlapping"/>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6" fmlaLink="$D$20" max="100" min="1" page="10" val="91"/>
</file>

<file path=xl/ctrlProps/ctrlProp2.xml><?xml version="1.0" encoding="utf-8"?>
<formControlPr xmlns="http://schemas.microsoft.com/office/spreadsheetml/2009/9/main" objectType="Scroll" dx="26" fmlaLink="$C$11" max="25" min="1" page="10"/>
</file>

<file path=xl/ctrlProps/ctrlProp3.xml><?xml version="1.0" encoding="utf-8"?>
<formControlPr xmlns="http://schemas.microsoft.com/office/spreadsheetml/2009/9/main" objectType="Scroll" dx="26" fmlaLink="$O$11" max="100" min="1" page="10"/>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microsoft.com/office/2014/relationships/chartEx" Target="../charts/chartEx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7" Type="http://schemas.openxmlformats.org/officeDocument/2006/relationships/hyperlink" Target="#'Slow Vs Fast Selling'!A1"/><Relationship Id="rId2" Type="http://schemas.openxmlformats.org/officeDocument/2006/relationships/hyperlink" Target="#'Dead Stock'!A1"/><Relationship Id="rId1" Type="http://schemas.openxmlformats.org/officeDocument/2006/relationships/image" Target="../media/image1.png"/><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3" Type="http://schemas.microsoft.com/office/2014/relationships/chartEx" Target="../charts/chartEx2.xml"/><Relationship Id="rId2" Type="http://schemas.openxmlformats.org/officeDocument/2006/relationships/hyperlink" Target="#'Dead Stock'!A1"/><Relationship Id="rId1" Type="http://schemas.openxmlformats.org/officeDocument/2006/relationships/hyperlink" Target="#'Slow Vs Fast Selling'!A1"/><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37</xdr:col>
      <xdr:colOff>343912</xdr:colOff>
      <xdr:row>10</xdr:row>
      <xdr:rowOff>7418</xdr:rowOff>
    </xdr:from>
    <xdr:to>
      <xdr:col>40</xdr:col>
      <xdr:colOff>1261009</xdr:colOff>
      <xdr:row>19</xdr:row>
      <xdr:rowOff>74177</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42</xdr:col>
      <xdr:colOff>6745</xdr:colOff>
      <xdr:row>17</xdr:row>
      <xdr:rowOff>91709</xdr:rowOff>
    </xdr:from>
    <xdr:to>
      <xdr:col>45</xdr:col>
      <xdr:colOff>424832</xdr:colOff>
      <xdr:row>26</xdr:row>
      <xdr:rowOff>168584</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41</xdr:col>
      <xdr:colOff>480532</xdr:colOff>
      <xdr:row>27</xdr:row>
      <xdr:rowOff>45652</xdr:rowOff>
    </xdr:from>
    <xdr:to>
      <xdr:col>42</xdr:col>
      <xdr:colOff>856893</xdr:colOff>
      <xdr:row>41</xdr:row>
      <xdr:rowOff>77936</xdr:rowOff>
    </xdr:to>
    <mc:AlternateContent xmlns:mc="http://schemas.openxmlformats.org/markup-compatibility/2006" xmlns:a14="http://schemas.microsoft.com/office/drawing/2010/main">
      <mc:Choice Requires="a14">
        <xdr:graphicFrame macro="">
          <xdr:nvGraphicFramePr>
            <xdr:cNvPr id="7" name="Month">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6152514" y="4961564"/>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43</xdr:col>
      <xdr:colOff>310195</xdr:colOff>
      <xdr:row>11</xdr:row>
      <xdr:rowOff>41135</xdr:rowOff>
    </xdr:from>
    <xdr:to>
      <xdr:col>48</xdr:col>
      <xdr:colOff>134867</xdr:colOff>
      <xdr:row>26</xdr:row>
      <xdr:rowOff>53273</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49</xdr:col>
      <xdr:colOff>937326</xdr:colOff>
      <xdr:row>7</xdr:row>
      <xdr:rowOff>37763</xdr:rowOff>
    </xdr:from>
    <xdr:to>
      <xdr:col>54</xdr:col>
      <xdr:colOff>222530</xdr:colOff>
      <xdr:row>22</xdr:row>
      <xdr:rowOff>49901</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45</xdr:col>
      <xdr:colOff>439270</xdr:colOff>
      <xdr:row>37</xdr:row>
      <xdr:rowOff>71718</xdr:rowOff>
    </xdr:from>
    <xdr:to>
      <xdr:col>46</xdr:col>
      <xdr:colOff>1021976</xdr:colOff>
      <xdr:row>38</xdr:row>
      <xdr:rowOff>143435</xdr:rowOff>
    </xdr:to>
    <xdr:sp macro="" textlink="#REF!">
      <xdr:nvSpPr>
        <xdr:cNvPr id="4" name="TextBox 3">
          <a:extLst>
            <a:ext uri="{FF2B5EF4-FFF2-40B4-BE49-F238E27FC236}">
              <a16:creationId xmlns:a16="http://schemas.microsoft.com/office/drawing/2014/main" id="{00000000-0008-0000-0000-000004000000}"/>
            </a:ext>
          </a:extLst>
        </xdr:cNvPr>
        <xdr:cNvSpPr txBox="1"/>
      </xdr:nvSpPr>
      <xdr:spPr>
        <a:xfrm>
          <a:off x="30220023" y="6705600"/>
          <a:ext cx="1470212" cy="2510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642EBDA-2D3D-4546-A4A0-54132241D332}" type="TxLink">
            <a:rPr lang="en-US" sz="1100" b="0" i="0" u="none" strike="noStrike">
              <a:solidFill>
                <a:srgbClr val="000000"/>
              </a:solidFill>
              <a:latin typeface="Aptos Narrow"/>
            </a:rPr>
            <a:pPr/>
            <a:t>3252</a:t>
          </a:fld>
          <a:endParaRPr lang="en-IN" sz="1100"/>
        </a:p>
      </xdr:txBody>
    </xdr:sp>
    <xdr:clientData/>
  </xdr:twoCellAnchor>
  <xdr:twoCellAnchor>
    <xdr:from>
      <xdr:col>47</xdr:col>
      <xdr:colOff>147918</xdr:colOff>
      <xdr:row>32</xdr:row>
      <xdr:rowOff>152400</xdr:rowOff>
    </xdr:from>
    <xdr:to>
      <xdr:col>51</xdr:col>
      <xdr:colOff>264459</xdr:colOff>
      <xdr:row>48</xdr:row>
      <xdr:rowOff>26894</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50211318" y="6004560"/>
              <a:ext cx="5366721" cy="280057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42</xdr:col>
      <xdr:colOff>605117</xdr:colOff>
      <xdr:row>44</xdr:row>
      <xdr:rowOff>152399</xdr:rowOff>
    </xdr:from>
    <xdr:to>
      <xdr:col>46</xdr:col>
      <xdr:colOff>107576</xdr:colOff>
      <xdr:row>53</xdr:row>
      <xdr:rowOff>26894</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44</xdr:col>
      <xdr:colOff>990600</xdr:colOff>
      <xdr:row>26</xdr:row>
      <xdr:rowOff>80682</xdr:rowOff>
    </xdr:from>
    <xdr:to>
      <xdr:col>48</xdr:col>
      <xdr:colOff>587188</xdr:colOff>
      <xdr:row>41</xdr:row>
      <xdr:rowOff>134470</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38100</xdr:colOff>
      <xdr:row>0</xdr:row>
      <xdr:rowOff>53340</xdr:rowOff>
    </xdr:from>
    <xdr:to>
      <xdr:col>2</xdr:col>
      <xdr:colOff>906780</xdr:colOff>
      <xdr:row>8</xdr:row>
      <xdr:rowOff>22984</xdr:rowOff>
    </xdr:to>
    <xdr:pic>
      <xdr:nvPicPr>
        <xdr:cNvPr id="15" name="Picture 14" descr="Dead stock - Free shipping and delivery ...">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
        <a:stretch>
          <a:fillRect/>
        </a:stretch>
      </xdr:blipFill>
      <xdr:spPr>
        <a:xfrm>
          <a:off x="38100" y="53340"/>
          <a:ext cx="2164080" cy="1432684"/>
        </a:xfrm>
        <a:prstGeom prst="rect">
          <a:avLst/>
        </a:prstGeom>
      </xdr:spPr>
    </xdr:pic>
    <xdr:clientData/>
  </xdr:twoCellAnchor>
  <xdr:twoCellAnchor>
    <xdr:from>
      <xdr:col>0</xdr:col>
      <xdr:colOff>45720</xdr:colOff>
      <xdr:row>0</xdr:row>
      <xdr:rowOff>45720</xdr:rowOff>
    </xdr:from>
    <xdr:to>
      <xdr:col>2</xdr:col>
      <xdr:colOff>914400</xdr:colOff>
      <xdr:row>36</xdr:row>
      <xdr:rowOff>76200</xdr:rowOff>
    </xdr:to>
    <xdr:sp macro="" textlink="">
      <xdr:nvSpPr>
        <xdr:cNvPr id="9" name="Rectangle 8">
          <a:extLst>
            <a:ext uri="{FF2B5EF4-FFF2-40B4-BE49-F238E27FC236}">
              <a16:creationId xmlns:a16="http://schemas.microsoft.com/office/drawing/2014/main" id="{00000000-0008-0000-0100-000009000000}"/>
            </a:ext>
          </a:extLst>
        </xdr:cNvPr>
        <xdr:cNvSpPr/>
      </xdr:nvSpPr>
      <xdr:spPr>
        <a:xfrm>
          <a:off x="45720" y="45720"/>
          <a:ext cx="2164080" cy="6797040"/>
        </a:xfrm>
        <a:prstGeom prst="rect">
          <a:avLst/>
        </a:prstGeom>
        <a:gradFill>
          <a:gsLst>
            <a:gs pos="28000">
              <a:srgbClr val="FF5050">
                <a:alpha val="58000"/>
              </a:srgbClr>
            </a:gs>
            <a:gs pos="0">
              <a:srgbClr val="FFCC99"/>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22860</xdr:colOff>
      <xdr:row>0</xdr:row>
      <xdr:rowOff>45720</xdr:rowOff>
    </xdr:from>
    <xdr:to>
      <xdr:col>21</xdr:col>
      <xdr:colOff>548640</xdr:colOff>
      <xdr:row>4</xdr:row>
      <xdr:rowOff>0</xdr:rowOff>
    </xdr:to>
    <xdr:sp macro="" textlink="">
      <xdr:nvSpPr>
        <xdr:cNvPr id="2" name="Rectangle: Rounded Corners 1">
          <a:hlinkClick xmlns:r="http://schemas.openxmlformats.org/officeDocument/2006/relationships" r:id="rId2"/>
          <a:extLst>
            <a:ext uri="{FF2B5EF4-FFF2-40B4-BE49-F238E27FC236}">
              <a16:creationId xmlns:a16="http://schemas.microsoft.com/office/drawing/2014/main" id="{00000000-0008-0000-0100-000002000000}"/>
            </a:ext>
          </a:extLst>
        </xdr:cNvPr>
        <xdr:cNvSpPr/>
      </xdr:nvSpPr>
      <xdr:spPr>
        <a:xfrm>
          <a:off x="2804160" y="45720"/>
          <a:ext cx="11551920" cy="685800"/>
        </a:xfrm>
        <a:prstGeom prst="roundRect">
          <a:avLst/>
        </a:prstGeom>
        <a:solidFill>
          <a:srgbClr val="FF66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4000" b="1"/>
            <a:t>                                Dead Stocks </a:t>
          </a:r>
        </a:p>
      </xdr:txBody>
    </xdr:sp>
    <xdr:clientData/>
  </xdr:twoCellAnchor>
  <xdr:twoCellAnchor>
    <xdr:from>
      <xdr:col>0</xdr:col>
      <xdr:colOff>99060</xdr:colOff>
      <xdr:row>8</xdr:row>
      <xdr:rowOff>45720</xdr:rowOff>
    </xdr:from>
    <xdr:to>
      <xdr:col>2</xdr:col>
      <xdr:colOff>899160</xdr:colOff>
      <xdr:row>12</xdr:row>
      <xdr:rowOff>167640</xdr:rowOff>
    </xdr:to>
    <xdr:grpSp>
      <xdr:nvGrpSpPr>
        <xdr:cNvPr id="6" name="Group 5">
          <a:extLst>
            <a:ext uri="{FF2B5EF4-FFF2-40B4-BE49-F238E27FC236}">
              <a16:creationId xmlns:a16="http://schemas.microsoft.com/office/drawing/2014/main" id="{00000000-0008-0000-0100-000006000000}"/>
            </a:ext>
          </a:extLst>
        </xdr:cNvPr>
        <xdr:cNvGrpSpPr/>
      </xdr:nvGrpSpPr>
      <xdr:grpSpPr>
        <a:xfrm>
          <a:off x="99060" y="1508760"/>
          <a:ext cx="2095500" cy="853440"/>
          <a:chOff x="99060" y="76200"/>
          <a:chExt cx="2095500" cy="853440"/>
        </a:xfrm>
      </xdr:grpSpPr>
      <xdr:sp macro="" textlink="">
        <xdr:nvSpPr>
          <xdr:cNvPr id="31" name="Speech Bubble: Oval 30">
            <a:extLst>
              <a:ext uri="{FF2B5EF4-FFF2-40B4-BE49-F238E27FC236}">
                <a16:creationId xmlns:a16="http://schemas.microsoft.com/office/drawing/2014/main" id="{00000000-0008-0000-0100-00001F000000}"/>
              </a:ext>
            </a:extLst>
          </xdr:cNvPr>
          <xdr:cNvSpPr/>
        </xdr:nvSpPr>
        <xdr:spPr>
          <a:xfrm flipH="1">
            <a:off x="99060" y="76200"/>
            <a:ext cx="2095500" cy="853440"/>
          </a:xfrm>
          <a:prstGeom prst="wedgeEllipseCallout">
            <a:avLst/>
          </a:prstGeom>
          <a:solidFill>
            <a:srgbClr val="FF66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a:t>Unsold Value</a:t>
            </a:r>
          </a:p>
        </xdr:txBody>
      </xdr:sp>
      <xdr:sp macro="" textlink="'Automated raw'!Q502">
        <xdr:nvSpPr>
          <xdr:cNvPr id="3" name="TextBox 2">
            <a:extLst>
              <a:ext uri="{FF2B5EF4-FFF2-40B4-BE49-F238E27FC236}">
                <a16:creationId xmlns:a16="http://schemas.microsoft.com/office/drawing/2014/main" id="{00000000-0008-0000-0100-000003000000}"/>
              </a:ext>
            </a:extLst>
          </xdr:cNvPr>
          <xdr:cNvSpPr txBox="1"/>
        </xdr:nvSpPr>
        <xdr:spPr>
          <a:xfrm>
            <a:off x="365760" y="487680"/>
            <a:ext cx="140208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56C4F45-9D93-47C0-9C02-177A6E40F661}" type="TxLink">
              <a:rPr lang="en-US" sz="1400" b="1" i="0" u="none" strike="noStrike">
                <a:solidFill>
                  <a:schemeClr val="bg1"/>
                </a:solidFill>
                <a:latin typeface="Aptos Narrow"/>
              </a:rPr>
              <a:pPr/>
              <a:t>₹ 3,94,57,015.00</a:t>
            </a:fld>
            <a:endParaRPr lang="en-IN" sz="1400" b="1">
              <a:solidFill>
                <a:schemeClr val="bg1"/>
              </a:solidFill>
            </a:endParaRPr>
          </a:p>
        </xdr:txBody>
      </xdr:sp>
    </xdr:grpSp>
    <xdr:clientData/>
  </xdr:twoCellAnchor>
  <xdr:twoCellAnchor>
    <xdr:from>
      <xdr:col>0</xdr:col>
      <xdr:colOff>83820</xdr:colOff>
      <xdr:row>24</xdr:row>
      <xdr:rowOff>60960</xdr:rowOff>
    </xdr:from>
    <xdr:to>
      <xdr:col>2</xdr:col>
      <xdr:colOff>906780</xdr:colOff>
      <xdr:row>29</xdr:row>
      <xdr:rowOff>0</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83820" y="4457700"/>
          <a:ext cx="2118360" cy="853440"/>
          <a:chOff x="83820" y="1173480"/>
          <a:chExt cx="2118360" cy="853440"/>
        </a:xfrm>
      </xdr:grpSpPr>
      <xdr:sp macro="" textlink="">
        <xdr:nvSpPr>
          <xdr:cNvPr id="32" name="Speech Bubble: Oval 31">
            <a:extLst>
              <a:ext uri="{FF2B5EF4-FFF2-40B4-BE49-F238E27FC236}">
                <a16:creationId xmlns:a16="http://schemas.microsoft.com/office/drawing/2014/main" id="{00000000-0008-0000-0100-000020000000}"/>
              </a:ext>
            </a:extLst>
          </xdr:cNvPr>
          <xdr:cNvSpPr/>
        </xdr:nvSpPr>
        <xdr:spPr>
          <a:xfrm flipH="1">
            <a:off x="83820" y="1173480"/>
            <a:ext cx="2118360" cy="853440"/>
          </a:xfrm>
          <a:prstGeom prst="wedgeEllipseCallout">
            <a:avLst/>
          </a:prstGeom>
          <a:solidFill>
            <a:srgbClr val="FF66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a:t>Dead Stock Value</a:t>
            </a:r>
          </a:p>
        </xdr:txBody>
      </xdr:sp>
      <xdr:sp macro="" textlink="'Automated raw'!R502">
        <xdr:nvSpPr>
          <xdr:cNvPr id="4" name="TextBox 3">
            <a:extLst>
              <a:ext uri="{FF2B5EF4-FFF2-40B4-BE49-F238E27FC236}">
                <a16:creationId xmlns:a16="http://schemas.microsoft.com/office/drawing/2014/main" id="{00000000-0008-0000-0100-000004000000}"/>
              </a:ext>
            </a:extLst>
          </xdr:cNvPr>
          <xdr:cNvSpPr txBox="1"/>
        </xdr:nvSpPr>
        <xdr:spPr>
          <a:xfrm>
            <a:off x="457200" y="1569720"/>
            <a:ext cx="140970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D5E3176-9A5F-4E92-B592-4EFE9B81FC2A}" type="TxLink">
              <a:rPr lang="en-US" sz="1400" b="1" i="0" u="none" strike="noStrike">
                <a:solidFill>
                  <a:schemeClr val="bg1"/>
                </a:solidFill>
                <a:latin typeface="Aptos Narrow"/>
              </a:rPr>
              <a:pPr/>
              <a:t>₹ 1,81,90,818.00</a:t>
            </a:fld>
            <a:endParaRPr lang="en-IN" sz="1600" b="1">
              <a:solidFill>
                <a:schemeClr val="bg1"/>
              </a:solidFill>
            </a:endParaRPr>
          </a:p>
        </xdr:txBody>
      </xdr:sp>
    </xdr:grpSp>
    <xdr:clientData/>
  </xdr:twoCellAnchor>
  <xdr:twoCellAnchor>
    <xdr:from>
      <xdr:col>0</xdr:col>
      <xdr:colOff>129540</xdr:colOff>
      <xdr:row>14</xdr:row>
      <xdr:rowOff>7620</xdr:rowOff>
    </xdr:from>
    <xdr:to>
      <xdr:col>2</xdr:col>
      <xdr:colOff>899160</xdr:colOff>
      <xdr:row>18</xdr:row>
      <xdr:rowOff>129540</xdr:rowOff>
    </xdr:to>
    <xdr:grpSp>
      <xdr:nvGrpSpPr>
        <xdr:cNvPr id="13" name="Group 12">
          <a:extLst>
            <a:ext uri="{FF2B5EF4-FFF2-40B4-BE49-F238E27FC236}">
              <a16:creationId xmlns:a16="http://schemas.microsoft.com/office/drawing/2014/main" id="{00000000-0008-0000-0100-00000D000000}"/>
            </a:ext>
          </a:extLst>
        </xdr:cNvPr>
        <xdr:cNvGrpSpPr/>
      </xdr:nvGrpSpPr>
      <xdr:grpSpPr>
        <a:xfrm>
          <a:off x="129540" y="2567940"/>
          <a:ext cx="2065020" cy="853440"/>
          <a:chOff x="129540" y="2278380"/>
          <a:chExt cx="2065020" cy="853440"/>
        </a:xfrm>
      </xdr:grpSpPr>
      <xdr:sp macro="" textlink="">
        <xdr:nvSpPr>
          <xdr:cNvPr id="33" name="Speech Bubble: Oval 32">
            <a:extLst>
              <a:ext uri="{FF2B5EF4-FFF2-40B4-BE49-F238E27FC236}">
                <a16:creationId xmlns:a16="http://schemas.microsoft.com/office/drawing/2014/main" id="{00000000-0008-0000-0100-000021000000}"/>
              </a:ext>
            </a:extLst>
          </xdr:cNvPr>
          <xdr:cNvSpPr/>
        </xdr:nvSpPr>
        <xdr:spPr>
          <a:xfrm flipH="1">
            <a:off x="129540" y="2278380"/>
            <a:ext cx="2065020" cy="853440"/>
          </a:xfrm>
          <a:prstGeom prst="wedgeEllipseCallout">
            <a:avLst/>
          </a:prstGeom>
          <a:solidFill>
            <a:srgbClr val="FF66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a:t>unsold Products</a:t>
            </a:r>
          </a:p>
        </xdr:txBody>
      </xdr:sp>
      <xdr:sp macro="" textlink="'Automated raw'!P502">
        <xdr:nvSpPr>
          <xdr:cNvPr id="7" name="TextBox 6">
            <a:extLst>
              <a:ext uri="{FF2B5EF4-FFF2-40B4-BE49-F238E27FC236}">
                <a16:creationId xmlns:a16="http://schemas.microsoft.com/office/drawing/2014/main" id="{00000000-0008-0000-0100-000007000000}"/>
              </a:ext>
            </a:extLst>
          </xdr:cNvPr>
          <xdr:cNvSpPr txBox="1"/>
        </xdr:nvSpPr>
        <xdr:spPr>
          <a:xfrm>
            <a:off x="510540" y="2682240"/>
            <a:ext cx="126492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975A8BE-E266-4FF6-AF51-E8DE4C3C6BB4}" type="TxLink">
              <a:rPr lang="en-US" sz="1400" b="1" i="0" u="none" strike="noStrike">
                <a:solidFill>
                  <a:schemeClr val="bg1"/>
                </a:solidFill>
                <a:latin typeface="Aptos Narrow"/>
              </a:rPr>
              <a:pPr algn="ctr"/>
              <a:t>36933</a:t>
            </a:fld>
            <a:endParaRPr lang="en-IN" sz="2800" b="1">
              <a:solidFill>
                <a:schemeClr val="bg1"/>
              </a:solidFill>
            </a:endParaRPr>
          </a:p>
        </xdr:txBody>
      </xdr:sp>
    </xdr:grpSp>
    <xdr:clientData/>
  </xdr:twoCellAnchor>
  <xdr:twoCellAnchor>
    <xdr:from>
      <xdr:col>0</xdr:col>
      <xdr:colOff>129540</xdr:colOff>
      <xdr:row>29</xdr:row>
      <xdr:rowOff>160020</xdr:rowOff>
    </xdr:from>
    <xdr:to>
      <xdr:col>2</xdr:col>
      <xdr:colOff>899160</xdr:colOff>
      <xdr:row>34</xdr:row>
      <xdr:rowOff>99060</xdr:rowOff>
    </xdr:to>
    <xdr:grpSp>
      <xdr:nvGrpSpPr>
        <xdr:cNvPr id="12" name="Group 11">
          <a:extLst>
            <a:ext uri="{FF2B5EF4-FFF2-40B4-BE49-F238E27FC236}">
              <a16:creationId xmlns:a16="http://schemas.microsoft.com/office/drawing/2014/main" id="{00000000-0008-0000-0100-00000C000000}"/>
            </a:ext>
          </a:extLst>
        </xdr:cNvPr>
        <xdr:cNvGrpSpPr/>
      </xdr:nvGrpSpPr>
      <xdr:grpSpPr>
        <a:xfrm>
          <a:off x="129540" y="5471160"/>
          <a:ext cx="2065020" cy="853440"/>
          <a:chOff x="129540" y="3619500"/>
          <a:chExt cx="2065020" cy="853440"/>
        </a:xfrm>
      </xdr:grpSpPr>
      <xdr:sp macro="" textlink="">
        <xdr:nvSpPr>
          <xdr:cNvPr id="34" name="Speech Bubble: Oval 33">
            <a:extLst>
              <a:ext uri="{FF2B5EF4-FFF2-40B4-BE49-F238E27FC236}">
                <a16:creationId xmlns:a16="http://schemas.microsoft.com/office/drawing/2014/main" id="{00000000-0008-0000-0100-000022000000}"/>
              </a:ext>
            </a:extLst>
          </xdr:cNvPr>
          <xdr:cNvSpPr/>
        </xdr:nvSpPr>
        <xdr:spPr>
          <a:xfrm flipH="1">
            <a:off x="129540" y="3619500"/>
            <a:ext cx="2065020" cy="853440"/>
          </a:xfrm>
          <a:prstGeom prst="wedgeEllipseCallout">
            <a:avLst/>
          </a:prstGeom>
          <a:solidFill>
            <a:srgbClr val="FF66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a:t>%</a:t>
            </a:r>
            <a:r>
              <a:rPr lang="en-IN" sz="1400" baseline="0"/>
              <a:t> Inventory Block</a:t>
            </a:r>
            <a:endParaRPr lang="en-IN" sz="1400"/>
          </a:p>
        </xdr:txBody>
      </xdr:sp>
      <xdr:sp macro="" textlink="'Automated raw'!R505">
        <xdr:nvSpPr>
          <xdr:cNvPr id="11" name="TextBox 10">
            <a:extLst>
              <a:ext uri="{FF2B5EF4-FFF2-40B4-BE49-F238E27FC236}">
                <a16:creationId xmlns:a16="http://schemas.microsoft.com/office/drawing/2014/main" id="{00000000-0008-0000-0100-00000B000000}"/>
              </a:ext>
            </a:extLst>
          </xdr:cNvPr>
          <xdr:cNvSpPr txBox="1"/>
        </xdr:nvSpPr>
        <xdr:spPr>
          <a:xfrm>
            <a:off x="518160" y="4030980"/>
            <a:ext cx="126492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5E79030-F97D-4EE3-B869-E21881370C9D}" type="TxLink">
              <a:rPr lang="en-US" sz="1400" b="1" i="0" u="none" strike="noStrike">
                <a:solidFill>
                  <a:schemeClr val="bg1"/>
                </a:solidFill>
                <a:latin typeface="Aptos Narrow"/>
              </a:rPr>
              <a:pPr algn="ctr"/>
              <a:t>46%</a:t>
            </a:fld>
            <a:endParaRPr lang="en-US" sz="1400" b="1">
              <a:solidFill>
                <a:schemeClr val="bg1"/>
              </a:solidFill>
            </a:endParaRPr>
          </a:p>
        </xdr:txBody>
      </xdr:sp>
    </xdr:grpSp>
    <xdr:clientData/>
  </xdr:twoCellAnchor>
  <xdr:twoCellAnchor>
    <xdr:from>
      <xdr:col>0</xdr:col>
      <xdr:colOff>137160</xdr:colOff>
      <xdr:row>19</xdr:row>
      <xdr:rowOff>68580</xdr:rowOff>
    </xdr:from>
    <xdr:to>
      <xdr:col>2</xdr:col>
      <xdr:colOff>906780</xdr:colOff>
      <xdr:row>23</xdr:row>
      <xdr:rowOff>144780</xdr:rowOff>
    </xdr:to>
    <xdr:grpSp>
      <xdr:nvGrpSpPr>
        <xdr:cNvPr id="10" name="Group 9">
          <a:extLst>
            <a:ext uri="{FF2B5EF4-FFF2-40B4-BE49-F238E27FC236}">
              <a16:creationId xmlns:a16="http://schemas.microsoft.com/office/drawing/2014/main" id="{00000000-0008-0000-0100-00000A000000}"/>
            </a:ext>
          </a:extLst>
        </xdr:cNvPr>
        <xdr:cNvGrpSpPr/>
      </xdr:nvGrpSpPr>
      <xdr:grpSpPr>
        <a:xfrm>
          <a:off x="137160" y="3543300"/>
          <a:ext cx="2065020" cy="815340"/>
          <a:chOff x="137160" y="2339340"/>
          <a:chExt cx="2065020" cy="853440"/>
        </a:xfrm>
      </xdr:grpSpPr>
      <xdr:sp macro="" textlink="">
        <xdr:nvSpPr>
          <xdr:cNvPr id="35" name="Speech Bubble: Oval 34">
            <a:extLst>
              <a:ext uri="{FF2B5EF4-FFF2-40B4-BE49-F238E27FC236}">
                <a16:creationId xmlns:a16="http://schemas.microsoft.com/office/drawing/2014/main" id="{00000000-0008-0000-0100-000023000000}"/>
              </a:ext>
            </a:extLst>
          </xdr:cNvPr>
          <xdr:cNvSpPr/>
        </xdr:nvSpPr>
        <xdr:spPr>
          <a:xfrm flipH="1">
            <a:off x="137160" y="2339340"/>
            <a:ext cx="2065020" cy="853440"/>
          </a:xfrm>
          <a:prstGeom prst="wedgeEllipseCallout">
            <a:avLst/>
          </a:prstGeom>
          <a:solidFill>
            <a:srgbClr val="FF66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a:t>Dead Stocks no</a:t>
            </a:r>
          </a:p>
        </xdr:txBody>
      </xdr:sp>
      <xdr:sp macro="" textlink="'Automated raw'!R504">
        <xdr:nvSpPr>
          <xdr:cNvPr id="5" name="TextBox 4">
            <a:extLst>
              <a:ext uri="{FF2B5EF4-FFF2-40B4-BE49-F238E27FC236}">
                <a16:creationId xmlns:a16="http://schemas.microsoft.com/office/drawing/2014/main" id="{00000000-0008-0000-0100-000005000000}"/>
              </a:ext>
            </a:extLst>
          </xdr:cNvPr>
          <xdr:cNvSpPr txBox="1"/>
        </xdr:nvSpPr>
        <xdr:spPr>
          <a:xfrm>
            <a:off x="525780" y="2720340"/>
            <a:ext cx="128016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F4E92B4-F03F-4C0E-8A0C-8A17A5B81325}" type="TxLink">
              <a:rPr lang="en-US" sz="1400" b="1" i="0" u="none" strike="noStrike">
                <a:solidFill>
                  <a:schemeClr val="bg1"/>
                </a:solidFill>
                <a:latin typeface="Aptos Narrow"/>
              </a:rPr>
              <a:pPr algn="ctr"/>
              <a:t>17998</a:t>
            </a:fld>
            <a:endParaRPr lang="en-IN" sz="1400" b="1">
              <a:solidFill>
                <a:schemeClr val="bg1"/>
              </a:solidFill>
            </a:endParaRPr>
          </a:p>
        </xdr:txBody>
      </xdr:sp>
    </xdr:grpSp>
    <xdr:clientData/>
  </xdr:twoCellAnchor>
  <xdr:twoCellAnchor>
    <xdr:from>
      <xdr:col>2</xdr:col>
      <xdr:colOff>975360</xdr:colOff>
      <xdr:row>4</xdr:row>
      <xdr:rowOff>68580</xdr:rowOff>
    </xdr:from>
    <xdr:to>
      <xdr:col>8</xdr:col>
      <xdr:colOff>0</xdr:colOff>
      <xdr:row>19</xdr:row>
      <xdr:rowOff>0</xdr:rowOff>
    </xdr:to>
    <xdr:grpSp>
      <xdr:nvGrpSpPr>
        <xdr:cNvPr id="24" name="Group 23">
          <a:extLst>
            <a:ext uri="{FF2B5EF4-FFF2-40B4-BE49-F238E27FC236}">
              <a16:creationId xmlns:a16="http://schemas.microsoft.com/office/drawing/2014/main" id="{00000000-0008-0000-0100-000018000000}"/>
            </a:ext>
          </a:extLst>
        </xdr:cNvPr>
        <xdr:cNvGrpSpPr/>
      </xdr:nvGrpSpPr>
      <xdr:grpSpPr>
        <a:xfrm>
          <a:off x="2270760" y="800100"/>
          <a:ext cx="3802380" cy="2674620"/>
          <a:chOff x="2270760" y="800100"/>
          <a:chExt cx="4107180" cy="2705100"/>
        </a:xfrm>
      </xdr:grpSpPr>
      <xdr:sp macro="" textlink="">
        <xdr:nvSpPr>
          <xdr:cNvPr id="16" name="Rectangle: Rounded Corners 15">
            <a:extLst>
              <a:ext uri="{FF2B5EF4-FFF2-40B4-BE49-F238E27FC236}">
                <a16:creationId xmlns:a16="http://schemas.microsoft.com/office/drawing/2014/main" id="{00000000-0008-0000-0100-000010000000}"/>
              </a:ext>
            </a:extLst>
          </xdr:cNvPr>
          <xdr:cNvSpPr/>
        </xdr:nvSpPr>
        <xdr:spPr>
          <a:xfrm>
            <a:off x="2270760" y="800100"/>
            <a:ext cx="4107180" cy="2667000"/>
          </a:xfrm>
          <a:prstGeom prst="roundRect">
            <a:avLst/>
          </a:prstGeom>
          <a:solidFill>
            <a:srgbClr val="FF5050">
              <a:alpha val="64000"/>
            </a:srgb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19" name="Chart 18">
            <a:extLst>
              <a:ext uri="{FF2B5EF4-FFF2-40B4-BE49-F238E27FC236}">
                <a16:creationId xmlns:a16="http://schemas.microsoft.com/office/drawing/2014/main" id="{00000000-0008-0000-0100-000013000000}"/>
              </a:ext>
            </a:extLst>
          </xdr:cNvPr>
          <xdr:cNvGraphicFramePr>
            <a:graphicFrameLocks/>
          </xdr:cNvGraphicFramePr>
        </xdr:nvGraphicFramePr>
        <xdr:xfrm>
          <a:off x="2438400" y="868680"/>
          <a:ext cx="3939540" cy="2636520"/>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15</xdr:col>
      <xdr:colOff>0</xdr:colOff>
      <xdr:row>4</xdr:row>
      <xdr:rowOff>68580</xdr:rowOff>
    </xdr:from>
    <xdr:to>
      <xdr:col>22</xdr:col>
      <xdr:colOff>0</xdr:colOff>
      <xdr:row>19</xdr:row>
      <xdr:rowOff>0</xdr:rowOff>
    </xdr:to>
    <xdr:sp macro="" textlink="">
      <xdr:nvSpPr>
        <xdr:cNvPr id="18" name="Rectangle: Rounded Corners 17">
          <a:extLst>
            <a:ext uri="{FF2B5EF4-FFF2-40B4-BE49-F238E27FC236}">
              <a16:creationId xmlns:a16="http://schemas.microsoft.com/office/drawing/2014/main" id="{00000000-0008-0000-0100-000012000000}"/>
            </a:ext>
          </a:extLst>
        </xdr:cNvPr>
        <xdr:cNvSpPr/>
      </xdr:nvSpPr>
      <xdr:spPr>
        <a:xfrm>
          <a:off x="10088880" y="800100"/>
          <a:ext cx="4061460" cy="2674620"/>
        </a:xfrm>
        <a:prstGeom prst="roundRect">
          <a:avLst/>
        </a:prstGeom>
        <a:solidFill>
          <a:srgbClr val="FF5050">
            <a:alpha val="64000"/>
          </a:srgb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15803</xdr:colOff>
      <xdr:row>5</xdr:row>
      <xdr:rowOff>7620</xdr:rowOff>
    </xdr:from>
    <xdr:to>
      <xdr:col>21</xdr:col>
      <xdr:colOff>506878</xdr:colOff>
      <xdr:row>18</xdr:row>
      <xdr:rowOff>114300</xdr:rowOff>
    </xdr:to>
    <xdr:graphicFrame macro="">
      <xdr:nvGraphicFramePr>
        <xdr:cNvPr id="21" name="Chart 20">
          <a:extLst>
            <a:ext uri="{FF2B5EF4-FFF2-40B4-BE49-F238E27FC236}">
              <a16:creationId xmlns:a16="http://schemas.microsoft.com/office/drawing/2014/main" id="{00000000-0008-0000-0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579120</xdr:colOff>
      <xdr:row>19</xdr:row>
      <xdr:rowOff>91440</xdr:rowOff>
    </xdr:from>
    <xdr:to>
      <xdr:col>21</xdr:col>
      <xdr:colOff>502920</xdr:colOff>
      <xdr:row>36</xdr:row>
      <xdr:rowOff>91440</xdr:rowOff>
    </xdr:to>
    <mc:AlternateContent xmlns:mc="http://schemas.openxmlformats.org/markup-compatibility/2006" xmlns:a14="http://schemas.microsoft.com/office/drawing/2010/main">
      <mc:Choice Requires="a14">
        <xdr:graphicFrame macro="">
          <xdr:nvGraphicFramePr>
            <xdr:cNvPr id="22" name="Month 1">
              <a:extLst>
                <a:ext uri="{FF2B5EF4-FFF2-40B4-BE49-F238E27FC236}">
                  <a16:creationId xmlns:a16="http://schemas.microsoft.com/office/drawing/2014/main" id="{00000000-0008-0000-0100-000016000000}"/>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2291060" y="3566160"/>
              <a:ext cx="1752600" cy="31242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10</xdr:col>
          <xdr:colOff>30480</xdr:colOff>
          <xdr:row>20</xdr:row>
          <xdr:rowOff>22860</xdr:rowOff>
        </xdr:from>
        <xdr:to>
          <xdr:col>10</xdr:col>
          <xdr:colOff>457200</xdr:colOff>
          <xdr:row>34</xdr:row>
          <xdr:rowOff>167640</xdr:rowOff>
        </xdr:to>
        <xdr:sp macro="" textlink="">
          <xdr:nvSpPr>
            <xdr:cNvPr id="1025" name="Scroll Bar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8</xdr:col>
      <xdr:colOff>38100</xdr:colOff>
      <xdr:row>4</xdr:row>
      <xdr:rowOff>60960</xdr:rowOff>
    </xdr:from>
    <xdr:to>
      <xdr:col>14</xdr:col>
      <xdr:colOff>304801</xdr:colOff>
      <xdr:row>19</xdr:row>
      <xdr:rowOff>0</xdr:rowOff>
    </xdr:to>
    <xdr:grpSp>
      <xdr:nvGrpSpPr>
        <xdr:cNvPr id="30" name="Group 29">
          <a:extLst>
            <a:ext uri="{FF2B5EF4-FFF2-40B4-BE49-F238E27FC236}">
              <a16:creationId xmlns:a16="http://schemas.microsoft.com/office/drawing/2014/main" id="{00000000-0008-0000-0100-00001E000000}"/>
            </a:ext>
          </a:extLst>
        </xdr:cNvPr>
        <xdr:cNvGrpSpPr/>
      </xdr:nvGrpSpPr>
      <xdr:grpSpPr>
        <a:xfrm>
          <a:off x="6111240" y="792480"/>
          <a:ext cx="3947161" cy="2682240"/>
          <a:chOff x="6111240" y="792480"/>
          <a:chExt cx="3947161" cy="2781300"/>
        </a:xfrm>
      </xdr:grpSpPr>
      <xdr:sp macro="" textlink="">
        <xdr:nvSpPr>
          <xdr:cNvPr id="17" name="Rectangle: Rounded Corners 16">
            <a:extLst>
              <a:ext uri="{FF2B5EF4-FFF2-40B4-BE49-F238E27FC236}">
                <a16:creationId xmlns:a16="http://schemas.microsoft.com/office/drawing/2014/main" id="{00000000-0008-0000-0100-000011000000}"/>
              </a:ext>
            </a:extLst>
          </xdr:cNvPr>
          <xdr:cNvSpPr/>
        </xdr:nvSpPr>
        <xdr:spPr>
          <a:xfrm>
            <a:off x="6121346" y="792480"/>
            <a:ext cx="3937055" cy="2667000"/>
          </a:xfrm>
          <a:prstGeom prst="roundRect">
            <a:avLst/>
          </a:prstGeom>
          <a:solidFill>
            <a:srgbClr val="FF5050">
              <a:alpha val="64000"/>
            </a:srgb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26" name="Chart 25">
            <a:extLst>
              <a:ext uri="{FF2B5EF4-FFF2-40B4-BE49-F238E27FC236}">
                <a16:creationId xmlns:a16="http://schemas.microsoft.com/office/drawing/2014/main" id="{00000000-0008-0000-0100-00001A000000}"/>
              </a:ext>
            </a:extLst>
          </xdr:cNvPr>
          <xdr:cNvGraphicFramePr>
            <a:graphicFrameLocks/>
          </xdr:cNvGraphicFramePr>
        </xdr:nvGraphicFramePr>
        <xdr:xfrm>
          <a:off x="6111240" y="830580"/>
          <a:ext cx="3870960" cy="2743200"/>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11</xdr:col>
      <xdr:colOff>76200</xdr:colOff>
      <xdr:row>19</xdr:row>
      <xdr:rowOff>83820</xdr:rowOff>
    </xdr:from>
    <xdr:to>
      <xdr:col>18</xdr:col>
      <xdr:colOff>510540</xdr:colOff>
      <xdr:row>35</xdr:row>
      <xdr:rowOff>160020</xdr:rowOff>
    </xdr:to>
    <xdr:grpSp>
      <xdr:nvGrpSpPr>
        <xdr:cNvPr id="36" name="Group 35">
          <a:extLst>
            <a:ext uri="{FF2B5EF4-FFF2-40B4-BE49-F238E27FC236}">
              <a16:creationId xmlns:a16="http://schemas.microsoft.com/office/drawing/2014/main" id="{00000000-0008-0000-0100-000024000000}"/>
            </a:ext>
          </a:extLst>
        </xdr:cNvPr>
        <xdr:cNvGrpSpPr/>
      </xdr:nvGrpSpPr>
      <xdr:grpSpPr>
        <a:xfrm>
          <a:off x="8138160" y="3558540"/>
          <a:ext cx="4084320" cy="3017520"/>
          <a:chOff x="8191500" y="3680460"/>
          <a:chExt cx="4084320" cy="3101340"/>
        </a:xfrm>
      </xdr:grpSpPr>
      <xdr:sp macro="" textlink="">
        <xdr:nvSpPr>
          <xdr:cNvPr id="25" name="Rectangle: Rounded Corners 24">
            <a:extLst>
              <a:ext uri="{FF2B5EF4-FFF2-40B4-BE49-F238E27FC236}">
                <a16:creationId xmlns:a16="http://schemas.microsoft.com/office/drawing/2014/main" id="{00000000-0008-0000-0100-000019000000}"/>
              </a:ext>
            </a:extLst>
          </xdr:cNvPr>
          <xdr:cNvSpPr/>
        </xdr:nvSpPr>
        <xdr:spPr>
          <a:xfrm>
            <a:off x="8191500" y="3680460"/>
            <a:ext cx="4084320" cy="3101340"/>
          </a:xfrm>
          <a:prstGeom prst="roundRect">
            <a:avLst/>
          </a:prstGeom>
          <a:solidFill>
            <a:srgbClr val="FF5050">
              <a:alpha val="64000"/>
            </a:srgb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28" name="Chart 27">
            <a:extLst>
              <a:ext uri="{FF2B5EF4-FFF2-40B4-BE49-F238E27FC236}">
                <a16:creationId xmlns:a16="http://schemas.microsoft.com/office/drawing/2014/main" id="{00000000-0008-0000-0100-00001C000000}"/>
              </a:ext>
            </a:extLst>
          </xdr:cNvPr>
          <xdr:cNvGraphicFramePr>
            <a:graphicFrameLocks/>
          </xdr:cNvGraphicFramePr>
        </xdr:nvGraphicFramePr>
        <xdr:xfrm>
          <a:off x="8244840" y="3875820"/>
          <a:ext cx="3916680" cy="2692620"/>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12</xdr:col>
      <xdr:colOff>571500</xdr:colOff>
      <xdr:row>0</xdr:row>
      <xdr:rowOff>0</xdr:rowOff>
    </xdr:from>
    <xdr:to>
      <xdr:col>17</xdr:col>
      <xdr:colOff>53340</xdr:colOff>
      <xdr:row>4</xdr:row>
      <xdr:rowOff>30480</xdr:rowOff>
    </xdr:to>
    <xdr:sp macro="" textlink="">
      <xdr:nvSpPr>
        <xdr:cNvPr id="37" name="TextBox 36">
          <a:hlinkClick xmlns:r="http://schemas.openxmlformats.org/officeDocument/2006/relationships" r:id="rId7"/>
          <a:extLst>
            <a:ext uri="{FF2B5EF4-FFF2-40B4-BE49-F238E27FC236}">
              <a16:creationId xmlns:a16="http://schemas.microsoft.com/office/drawing/2014/main" id="{00000000-0008-0000-0100-000025000000}"/>
            </a:ext>
          </a:extLst>
        </xdr:cNvPr>
        <xdr:cNvSpPr txBox="1"/>
      </xdr:nvSpPr>
      <xdr:spPr>
        <a:xfrm>
          <a:off x="9243060" y="0"/>
          <a:ext cx="1912620" cy="762000"/>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t> Fast vs Slow Selling</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419100</xdr:colOff>
      <xdr:row>0</xdr:row>
      <xdr:rowOff>60960</xdr:rowOff>
    </xdr:from>
    <xdr:to>
      <xdr:col>23</xdr:col>
      <xdr:colOff>15240</xdr:colOff>
      <xdr:row>4</xdr:row>
      <xdr:rowOff>15240</xdr:rowOff>
    </xdr:to>
    <xdr:sp macro="" textlink="">
      <xdr:nvSpPr>
        <xdr:cNvPr id="26" name="Rectangle: Rounded Corners 25">
          <a:hlinkClick xmlns:r="http://schemas.openxmlformats.org/officeDocument/2006/relationships" r:id="rId1"/>
          <a:extLst>
            <a:ext uri="{FF2B5EF4-FFF2-40B4-BE49-F238E27FC236}">
              <a16:creationId xmlns:a16="http://schemas.microsoft.com/office/drawing/2014/main" id="{00000000-0008-0000-0200-00001A000000}"/>
            </a:ext>
          </a:extLst>
        </xdr:cNvPr>
        <xdr:cNvSpPr/>
      </xdr:nvSpPr>
      <xdr:spPr>
        <a:xfrm>
          <a:off x="3032760" y="60960"/>
          <a:ext cx="11384280" cy="685800"/>
        </a:xfrm>
        <a:prstGeom prst="roundRect">
          <a:avLst/>
        </a:prstGeom>
        <a:gradFill flip="none" rotWithShape="1">
          <a:gsLst>
            <a:gs pos="20000">
              <a:srgbClr val="FF0000"/>
            </a:gs>
            <a:gs pos="50000">
              <a:schemeClr val="accent3">
                <a:lumMod val="40000"/>
                <a:lumOff val="60000"/>
                <a:shade val="67500"/>
                <a:satMod val="115000"/>
              </a:schemeClr>
            </a:gs>
            <a:gs pos="100000">
              <a:schemeClr val="accent3">
                <a:lumMod val="40000"/>
                <a:lumOff val="60000"/>
                <a:shade val="100000"/>
                <a:satMod val="115000"/>
              </a:schemeClr>
            </a:gs>
          </a:gsLst>
          <a:lin ang="10800000" scaled="1"/>
          <a:tileRect/>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000" b="1" baseline="0"/>
            <a:t>Fast vs Slow Selling </a:t>
          </a:r>
          <a:endParaRPr lang="en-IN" sz="4000" b="1"/>
        </a:p>
      </xdr:txBody>
    </xdr:sp>
    <xdr:clientData/>
  </xdr:twoCellAnchor>
  <xdr:twoCellAnchor>
    <xdr:from>
      <xdr:col>7</xdr:col>
      <xdr:colOff>38100</xdr:colOff>
      <xdr:row>0</xdr:row>
      <xdr:rowOff>22860</xdr:rowOff>
    </xdr:from>
    <xdr:to>
      <xdr:col>9</xdr:col>
      <xdr:colOff>381000</xdr:colOff>
      <xdr:row>4</xdr:row>
      <xdr:rowOff>38100</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200-000002000000}"/>
            </a:ext>
          </a:extLst>
        </xdr:cNvPr>
        <xdr:cNvSpPr txBox="1"/>
      </xdr:nvSpPr>
      <xdr:spPr>
        <a:xfrm>
          <a:off x="4305300" y="22860"/>
          <a:ext cx="1562100" cy="746760"/>
        </a:xfrm>
        <a:prstGeom prst="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800" b="1"/>
            <a:t>Dead Stock</a:t>
          </a:r>
        </a:p>
      </xdr:txBody>
    </xdr:sp>
    <xdr:clientData/>
  </xdr:twoCellAnchor>
  <xdr:twoCellAnchor>
    <xdr:from>
      <xdr:col>4</xdr:col>
      <xdr:colOff>411480</xdr:colOff>
      <xdr:row>4</xdr:row>
      <xdr:rowOff>60960</xdr:rowOff>
    </xdr:from>
    <xdr:to>
      <xdr:col>7</xdr:col>
      <xdr:colOff>297180</xdr:colOff>
      <xdr:row>8</xdr:row>
      <xdr:rowOff>0</xdr:rowOff>
    </xdr:to>
    <xdr:grpSp>
      <xdr:nvGrpSpPr>
        <xdr:cNvPr id="45" name="Group 44">
          <a:extLst>
            <a:ext uri="{FF2B5EF4-FFF2-40B4-BE49-F238E27FC236}">
              <a16:creationId xmlns:a16="http://schemas.microsoft.com/office/drawing/2014/main" id="{00000000-0008-0000-0200-00002D000000}"/>
            </a:ext>
          </a:extLst>
        </xdr:cNvPr>
        <xdr:cNvGrpSpPr/>
      </xdr:nvGrpSpPr>
      <xdr:grpSpPr>
        <a:xfrm>
          <a:off x="3025140" y="792480"/>
          <a:ext cx="2202180" cy="670560"/>
          <a:chOff x="1295400" y="784860"/>
          <a:chExt cx="2415540" cy="670560"/>
        </a:xfrm>
        <a:effectLst>
          <a:outerShdw blurRad="50800" dist="38100" dir="5400000" algn="t" rotWithShape="0">
            <a:prstClr val="black">
              <a:alpha val="40000"/>
            </a:prstClr>
          </a:outerShdw>
        </a:effectLst>
      </xdr:grpSpPr>
      <xdr:sp macro="" textlink="">
        <xdr:nvSpPr>
          <xdr:cNvPr id="11" name="Rectangle: Single Corner Rounded 10">
            <a:extLst>
              <a:ext uri="{FF2B5EF4-FFF2-40B4-BE49-F238E27FC236}">
                <a16:creationId xmlns:a16="http://schemas.microsoft.com/office/drawing/2014/main" id="{00000000-0008-0000-0200-00000B000000}"/>
              </a:ext>
            </a:extLst>
          </xdr:cNvPr>
          <xdr:cNvSpPr/>
        </xdr:nvSpPr>
        <xdr:spPr>
          <a:xfrm>
            <a:off x="1295400" y="784860"/>
            <a:ext cx="2415540" cy="670560"/>
          </a:xfrm>
          <a:prstGeom prst="round1Rect">
            <a:avLst/>
          </a:prstGeom>
          <a:solidFill>
            <a:schemeClr val="accent3">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b="1"/>
              <a:t>Fast Moving Stocks</a:t>
            </a:r>
          </a:p>
        </xdr:txBody>
      </xdr:sp>
      <xdr:sp macro="" textlink="'Automated raw'!#REF!">
        <xdr:nvSpPr>
          <xdr:cNvPr id="19" name="TextBox 18">
            <a:extLst>
              <a:ext uri="{FF2B5EF4-FFF2-40B4-BE49-F238E27FC236}">
                <a16:creationId xmlns:a16="http://schemas.microsoft.com/office/drawing/2014/main" id="{00000000-0008-0000-0200-000013000000}"/>
              </a:ext>
            </a:extLst>
          </xdr:cNvPr>
          <xdr:cNvSpPr txBox="1"/>
        </xdr:nvSpPr>
        <xdr:spPr>
          <a:xfrm>
            <a:off x="1775460" y="1082040"/>
            <a:ext cx="1470212"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3B3556C-7457-4AE3-BD0B-4A1C35899254}" type="TxLink">
              <a:rPr lang="en-US" sz="1800" b="1" i="0" u="none" strike="noStrike">
                <a:solidFill>
                  <a:schemeClr val="bg1"/>
                </a:solidFill>
                <a:latin typeface="Aptos Narrow"/>
              </a:rPr>
              <a:pPr algn="ctr"/>
              <a:t>3252</a:t>
            </a:fld>
            <a:endParaRPr lang="en-IN" sz="1800" b="1">
              <a:solidFill>
                <a:schemeClr val="bg1"/>
              </a:solidFill>
            </a:endParaRPr>
          </a:p>
        </xdr:txBody>
      </xdr:sp>
    </xdr:grpSp>
    <xdr:clientData/>
  </xdr:twoCellAnchor>
  <xdr:twoCellAnchor>
    <xdr:from>
      <xdr:col>7</xdr:col>
      <xdr:colOff>327660</xdr:colOff>
      <xdr:row>4</xdr:row>
      <xdr:rowOff>76200</xdr:rowOff>
    </xdr:from>
    <xdr:to>
      <xdr:col>11</xdr:col>
      <xdr:colOff>99060</xdr:colOff>
      <xdr:row>8</xdr:row>
      <xdr:rowOff>15240</xdr:rowOff>
    </xdr:to>
    <xdr:grpSp>
      <xdr:nvGrpSpPr>
        <xdr:cNvPr id="39" name="Group 38">
          <a:extLst>
            <a:ext uri="{FF2B5EF4-FFF2-40B4-BE49-F238E27FC236}">
              <a16:creationId xmlns:a16="http://schemas.microsoft.com/office/drawing/2014/main" id="{00000000-0008-0000-0200-000027000000}"/>
            </a:ext>
          </a:extLst>
        </xdr:cNvPr>
        <xdr:cNvGrpSpPr/>
      </xdr:nvGrpSpPr>
      <xdr:grpSpPr>
        <a:xfrm>
          <a:off x="5257800" y="807720"/>
          <a:ext cx="2209800" cy="670560"/>
          <a:chOff x="3810000" y="792480"/>
          <a:chExt cx="2415540" cy="670560"/>
        </a:xfrm>
        <a:effectLst>
          <a:outerShdw blurRad="50800" dist="38100" dir="5400000" algn="t" rotWithShape="0">
            <a:prstClr val="black">
              <a:alpha val="40000"/>
            </a:prstClr>
          </a:outerShdw>
        </a:effectLst>
      </xdr:grpSpPr>
      <xdr:sp macro="" textlink="">
        <xdr:nvSpPr>
          <xdr:cNvPr id="12" name="Rectangle: Single Corner Rounded 11">
            <a:extLst>
              <a:ext uri="{FF2B5EF4-FFF2-40B4-BE49-F238E27FC236}">
                <a16:creationId xmlns:a16="http://schemas.microsoft.com/office/drawing/2014/main" id="{00000000-0008-0000-0200-00000C000000}"/>
              </a:ext>
            </a:extLst>
          </xdr:cNvPr>
          <xdr:cNvSpPr/>
        </xdr:nvSpPr>
        <xdr:spPr>
          <a:xfrm>
            <a:off x="3810000" y="792480"/>
            <a:ext cx="2415540" cy="670560"/>
          </a:xfrm>
          <a:prstGeom prst="round1Rect">
            <a:avLst/>
          </a:prstGeom>
          <a:solidFill>
            <a:schemeClr val="accent3">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t>Fast</a:t>
            </a:r>
            <a:r>
              <a:rPr lang="en-IN" sz="1600" b="1" baseline="0"/>
              <a:t> Moving sold Value</a:t>
            </a:r>
            <a:endParaRPr lang="en-IN" sz="1600" b="1"/>
          </a:p>
        </xdr:txBody>
      </xdr:sp>
      <xdr:sp macro="" textlink="'Automated raw'!AY31">
        <xdr:nvSpPr>
          <xdr:cNvPr id="20" name="TextBox 19">
            <a:extLst>
              <a:ext uri="{FF2B5EF4-FFF2-40B4-BE49-F238E27FC236}">
                <a16:creationId xmlns:a16="http://schemas.microsoft.com/office/drawing/2014/main" id="{00000000-0008-0000-0200-000014000000}"/>
              </a:ext>
            </a:extLst>
          </xdr:cNvPr>
          <xdr:cNvSpPr txBox="1"/>
        </xdr:nvSpPr>
        <xdr:spPr>
          <a:xfrm>
            <a:off x="4120571" y="1089660"/>
            <a:ext cx="1870628"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AB8FFCC-3B6A-4FBF-90BB-26D0259F2A9A}" type="TxLink">
              <a:rPr lang="en-US" sz="1600" b="1" i="0" u="none" strike="noStrike">
                <a:solidFill>
                  <a:schemeClr val="bg1"/>
                </a:solidFill>
                <a:latin typeface="Aptos Narrow"/>
              </a:rPr>
              <a:pPr algn="ctr"/>
              <a:t>₹ 2,03,39,896.00</a:t>
            </a:fld>
            <a:endParaRPr lang="en-US" sz="1600" b="1" i="0" u="none" strike="noStrike">
              <a:solidFill>
                <a:schemeClr val="bg1"/>
              </a:solidFill>
              <a:latin typeface="Aptos Narrow"/>
            </a:endParaRPr>
          </a:p>
        </xdr:txBody>
      </xdr:sp>
    </xdr:grpSp>
    <xdr:clientData/>
  </xdr:twoCellAnchor>
  <xdr:twoCellAnchor>
    <xdr:from>
      <xdr:col>15</xdr:col>
      <xdr:colOff>236220</xdr:colOff>
      <xdr:row>4</xdr:row>
      <xdr:rowOff>76200</xdr:rowOff>
    </xdr:from>
    <xdr:to>
      <xdr:col>19</xdr:col>
      <xdr:colOff>22860</xdr:colOff>
      <xdr:row>8</xdr:row>
      <xdr:rowOff>15240</xdr:rowOff>
    </xdr:to>
    <xdr:grpSp>
      <xdr:nvGrpSpPr>
        <xdr:cNvPr id="30" name="Group 29">
          <a:extLst>
            <a:ext uri="{FF2B5EF4-FFF2-40B4-BE49-F238E27FC236}">
              <a16:creationId xmlns:a16="http://schemas.microsoft.com/office/drawing/2014/main" id="{00000000-0008-0000-0200-00001E000000}"/>
            </a:ext>
          </a:extLst>
        </xdr:cNvPr>
        <xdr:cNvGrpSpPr/>
      </xdr:nvGrpSpPr>
      <xdr:grpSpPr>
        <a:xfrm>
          <a:off x="9326880" y="807720"/>
          <a:ext cx="2446020" cy="670560"/>
          <a:chOff x="8823960" y="777240"/>
          <a:chExt cx="2415540" cy="670560"/>
        </a:xfrm>
        <a:effectLst>
          <a:outerShdw blurRad="50800" dist="38100" dir="5400000" algn="t" rotWithShape="0">
            <a:prstClr val="black">
              <a:alpha val="40000"/>
            </a:prstClr>
          </a:outerShdw>
        </a:effectLst>
      </xdr:grpSpPr>
      <xdr:sp macro="" textlink="">
        <xdr:nvSpPr>
          <xdr:cNvPr id="13" name="Rectangle: Single Corner Rounded 12">
            <a:extLst>
              <a:ext uri="{FF2B5EF4-FFF2-40B4-BE49-F238E27FC236}">
                <a16:creationId xmlns:a16="http://schemas.microsoft.com/office/drawing/2014/main" id="{00000000-0008-0000-0200-00000D000000}"/>
              </a:ext>
            </a:extLst>
          </xdr:cNvPr>
          <xdr:cNvSpPr/>
        </xdr:nvSpPr>
        <xdr:spPr>
          <a:xfrm>
            <a:off x="8823960" y="777240"/>
            <a:ext cx="2415540" cy="670560"/>
          </a:xfrm>
          <a:prstGeom prst="round1Rect">
            <a:avLst/>
          </a:prstGeom>
          <a:solidFill>
            <a:schemeClr val="accent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b="1"/>
              <a:t>Slow moving Stocks</a:t>
            </a:r>
          </a:p>
        </xdr:txBody>
      </xdr:sp>
      <xdr:sp macro="" textlink="'Automated raw'!AX30">
        <xdr:nvSpPr>
          <xdr:cNvPr id="21" name="TextBox 20">
            <a:extLst>
              <a:ext uri="{FF2B5EF4-FFF2-40B4-BE49-F238E27FC236}">
                <a16:creationId xmlns:a16="http://schemas.microsoft.com/office/drawing/2014/main" id="{00000000-0008-0000-0200-000015000000}"/>
              </a:ext>
            </a:extLst>
          </xdr:cNvPr>
          <xdr:cNvSpPr txBox="1"/>
        </xdr:nvSpPr>
        <xdr:spPr>
          <a:xfrm>
            <a:off x="9182100" y="1089660"/>
            <a:ext cx="166116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FD69933-0D02-481A-9A10-DAA2E7A43850}" type="TxLink">
              <a:rPr lang="en-US" sz="1600" b="1" i="0" u="none" strike="noStrike">
                <a:solidFill>
                  <a:schemeClr val="bg1"/>
                </a:solidFill>
                <a:latin typeface="Aptos Narrow"/>
              </a:rPr>
              <a:pPr algn="ctr"/>
              <a:t>22304</a:t>
            </a:fld>
            <a:endParaRPr lang="en-US" sz="4400" b="1" i="0" u="none" strike="noStrike">
              <a:solidFill>
                <a:schemeClr val="bg1"/>
              </a:solidFill>
              <a:latin typeface="Aptos Narrow"/>
            </a:endParaRPr>
          </a:p>
        </xdr:txBody>
      </xdr:sp>
    </xdr:grpSp>
    <xdr:clientData/>
  </xdr:twoCellAnchor>
  <xdr:twoCellAnchor>
    <xdr:from>
      <xdr:col>19</xdr:col>
      <xdr:colOff>68580</xdr:colOff>
      <xdr:row>4</xdr:row>
      <xdr:rowOff>76200</xdr:rowOff>
    </xdr:from>
    <xdr:to>
      <xdr:col>22</xdr:col>
      <xdr:colOff>548640</xdr:colOff>
      <xdr:row>8</xdr:row>
      <xdr:rowOff>15240</xdr:rowOff>
    </xdr:to>
    <xdr:grpSp>
      <xdr:nvGrpSpPr>
        <xdr:cNvPr id="33" name="Group 32">
          <a:extLst>
            <a:ext uri="{FF2B5EF4-FFF2-40B4-BE49-F238E27FC236}">
              <a16:creationId xmlns:a16="http://schemas.microsoft.com/office/drawing/2014/main" id="{00000000-0008-0000-0200-000021000000}"/>
            </a:ext>
          </a:extLst>
        </xdr:cNvPr>
        <xdr:cNvGrpSpPr/>
      </xdr:nvGrpSpPr>
      <xdr:grpSpPr>
        <a:xfrm>
          <a:off x="11818620" y="807720"/>
          <a:ext cx="2308860" cy="670560"/>
          <a:chOff x="11612880" y="784860"/>
          <a:chExt cx="2415540" cy="670560"/>
        </a:xfrm>
        <a:effectLst>
          <a:outerShdw blurRad="50800" dist="38100" dir="5400000" algn="t" rotWithShape="0">
            <a:prstClr val="black">
              <a:alpha val="40000"/>
            </a:prstClr>
          </a:outerShdw>
        </a:effectLst>
      </xdr:grpSpPr>
      <xdr:sp macro="" textlink="">
        <xdr:nvSpPr>
          <xdr:cNvPr id="14" name="Rectangle: Single Corner Rounded 13">
            <a:extLst>
              <a:ext uri="{FF2B5EF4-FFF2-40B4-BE49-F238E27FC236}">
                <a16:creationId xmlns:a16="http://schemas.microsoft.com/office/drawing/2014/main" id="{00000000-0008-0000-0200-00000E000000}"/>
              </a:ext>
            </a:extLst>
          </xdr:cNvPr>
          <xdr:cNvSpPr/>
        </xdr:nvSpPr>
        <xdr:spPr>
          <a:xfrm>
            <a:off x="11612880" y="784860"/>
            <a:ext cx="2415540" cy="670560"/>
          </a:xfrm>
          <a:prstGeom prst="round1Rect">
            <a:avLst/>
          </a:prstGeom>
          <a:solidFill>
            <a:schemeClr val="accent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t>Slow moving sold Value</a:t>
            </a:r>
          </a:p>
        </xdr:txBody>
      </xdr:sp>
      <xdr:sp macro="" textlink="'Automated raw'!AY30">
        <xdr:nvSpPr>
          <xdr:cNvPr id="22" name="TextBox 21">
            <a:extLst>
              <a:ext uri="{FF2B5EF4-FFF2-40B4-BE49-F238E27FC236}">
                <a16:creationId xmlns:a16="http://schemas.microsoft.com/office/drawing/2014/main" id="{00000000-0008-0000-0200-000016000000}"/>
              </a:ext>
            </a:extLst>
          </xdr:cNvPr>
          <xdr:cNvSpPr txBox="1"/>
        </xdr:nvSpPr>
        <xdr:spPr>
          <a:xfrm>
            <a:off x="12077700" y="1089660"/>
            <a:ext cx="166116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6996117-CFAC-4DBA-9A52-A32D5A4CA971}" type="TxLink">
              <a:rPr lang="en-US" sz="1600" b="1" i="0" u="none" strike="noStrike">
                <a:solidFill>
                  <a:schemeClr val="bg1"/>
                </a:solidFill>
                <a:latin typeface="Aptos Narrow"/>
              </a:rPr>
              <a:pPr algn="ctr"/>
              <a:t>₹ 3,18,28,080.00</a:t>
            </a:fld>
            <a:endParaRPr lang="en-US" sz="6000" b="1" i="0" u="none" strike="noStrike">
              <a:solidFill>
                <a:schemeClr val="bg1"/>
              </a:solidFill>
              <a:latin typeface="Aptos Narrow"/>
            </a:endParaRPr>
          </a:p>
        </xdr:txBody>
      </xdr:sp>
    </xdr:grpSp>
    <xdr:clientData/>
  </xdr:twoCellAnchor>
  <xdr:twoCellAnchor>
    <xdr:from>
      <xdr:col>11</xdr:col>
      <xdr:colOff>137160</xdr:colOff>
      <xdr:row>4</xdr:row>
      <xdr:rowOff>83820</xdr:rowOff>
    </xdr:from>
    <xdr:to>
      <xdr:col>15</xdr:col>
      <xdr:colOff>190500</xdr:colOff>
      <xdr:row>8</xdr:row>
      <xdr:rowOff>22860</xdr:rowOff>
    </xdr:to>
    <xdr:grpSp>
      <xdr:nvGrpSpPr>
        <xdr:cNvPr id="36" name="Group 35">
          <a:extLst>
            <a:ext uri="{FF2B5EF4-FFF2-40B4-BE49-F238E27FC236}">
              <a16:creationId xmlns:a16="http://schemas.microsoft.com/office/drawing/2014/main" id="{00000000-0008-0000-0200-000024000000}"/>
            </a:ext>
          </a:extLst>
        </xdr:cNvPr>
        <xdr:cNvGrpSpPr/>
      </xdr:nvGrpSpPr>
      <xdr:grpSpPr>
        <a:xfrm>
          <a:off x="7505700" y="815340"/>
          <a:ext cx="1775460" cy="670560"/>
          <a:chOff x="6278880" y="769620"/>
          <a:chExt cx="2415540" cy="670560"/>
        </a:xfrm>
        <a:effectLst>
          <a:outerShdw blurRad="50800" dist="38100" dir="5400000" algn="t" rotWithShape="0">
            <a:prstClr val="black">
              <a:alpha val="40000"/>
            </a:prstClr>
          </a:outerShdw>
        </a:effectLst>
      </xdr:grpSpPr>
      <xdr:sp macro="" textlink="">
        <xdr:nvSpPr>
          <xdr:cNvPr id="15" name="Rectangle: Single Corner Rounded 14">
            <a:extLst>
              <a:ext uri="{FF2B5EF4-FFF2-40B4-BE49-F238E27FC236}">
                <a16:creationId xmlns:a16="http://schemas.microsoft.com/office/drawing/2014/main" id="{00000000-0008-0000-0200-00000F000000}"/>
              </a:ext>
            </a:extLst>
          </xdr:cNvPr>
          <xdr:cNvSpPr/>
        </xdr:nvSpPr>
        <xdr:spPr>
          <a:xfrm>
            <a:off x="6278880" y="769620"/>
            <a:ext cx="2415540" cy="670560"/>
          </a:xfrm>
          <a:prstGeom prst="round1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b="1"/>
              <a:t>Avg Sell</a:t>
            </a:r>
            <a:r>
              <a:rPr lang="en-IN" sz="1800" b="1" baseline="0"/>
              <a:t> %</a:t>
            </a:r>
            <a:endParaRPr lang="en-IN" sz="1800" b="1"/>
          </a:p>
        </xdr:txBody>
      </xdr:sp>
      <xdr:sp macro="" textlink="'Automated raw'!O506">
        <xdr:nvSpPr>
          <xdr:cNvPr id="27" name="TextBox 26">
            <a:extLst>
              <a:ext uri="{FF2B5EF4-FFF2-40B4-BE49-F238E27FC236}">
                <a16:creationId xmlns:a16="http://schemas.microsoft.com/office/drawing/2014/main" id="{00000000-0008-0000-0200-00001B000000}"/>
              </a:ext>
            </a:extLst>
          </xdr:cNvPr>
          <xdr:cNvSpPr txBox="1"/>
        </xdr:nvSpPr>
        <xdr:spPr>
          <a:xfrm>
            <a:off x="6591300" y="1074420"/>
            <a:ext cx="166116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BC11B46-B41E-4F48-853E-3420B45B3E2B}" type="TxLink">
              <a:rPr lang="en-US" sz="1800" b="1" i="0" u="none" strike="noStrike">
                <a:solidFill>
                  <a:schemeClr val="bg1"/>
                </a:solidFill>
                <a:latin typeface="Aptos Narrow"/>
              </a:rPr>
              <a:pPr algn="ctr"/>
              <a:t>52%</a:t>
            </a:fld>
            <a:endParaRPr lang="en-US" sz="1800" b="1" i="0" u="none" strike="noStrike">
              <a:solidFill>
                <a:schemeClr val="bg1"/>
              </a:solidFill>
              <a:latin typeface="Aptos Narrow"/>
            </a:endParaRPr>
          </a:p>
        </xdr:txBody>
      </xdr:sp>
    </xdr:grpSp>
    <xdr:clientData/>
  </xdr:twoCellAnchor>
  <xdr:twoCellAnchor>
    <xdr:from>
      <xdr:col>0</xdr:col>
      <xdr:colOff>0</xdr:colOff>
      <xdr:row>0</xdr:row>
      <xdr:rowOff>0</xdr:rowOff>
    </xdr:from>
    <xdr:to>
      <xdr:col>4</xdr:col>
      <xdr:colOff>335280</xdr:colOff>
      <xdr:row>8</xdr:row>
      <xdr:rowOff>99060</xdr:rowOff>
    </xdr:to>
    <xdr:grpSp>
      <xdr:nvGrpSpPr>
        <xdr:cNvPr id="48" name="Group 47">
          <a:extLst>
            <a:ext uri="{FF2B5EF4-FFF2-40B4-BE49-F238E27FC236}">
              <a16:creationId xmlns:a16="http://schemas.microsoft.com/office/drawing/2014/main" id="{00000000-0008-0000-0200-000030000000}"/>
            </a:ext>
          </a:extLst>
        </xdr:cNvPr>
        <xdr:cNvGrpSpPr/>
      </xdr:nvGrpSpPr>
      <xdr:grpSpPr>
        <a:xfrm>
          <a:off x="0" y="0"/>
          <a:ext cx="2948940" cy="1562100"/>
          <a:chOff x="0" y="0"/>
          <a:chExt cx="2773680" cy="2164080"/>
        </a:xfrm>
        <a:solidFill>
          <a:schemeClr val="accent3">
            <a:lumMod val="20000"/>
            <a:lumOff val="80000"/>
          </a:schemeClr>
        </a:solidFill>
      </xdr:grpSpPr>
      <xdr:sp macro="" textlink="">
        <xdr:nvSpPr>
          <xdr:cNvPr id="47" name="Rectangle: Rounded Corners 46">
            <a:extLst>
              <a:ext uri="{FF2B5EF4-FFF2-40B4-BE49-F238E27FC236}">
                <a16:creationId xmlns:a16="http://schemas.microsoft.com/office/drawing/2014/main" id="{00000000-0008-0000-0200-00002F000000}"/>
              </a:ext>
            </a:extLst>
          </xdr:cNvPr>
          <xdr:cNvSpPr/>
        </xdr:nvSpPr>
        <xdr:spPr>
          <a:xfrm>
            <a:off x="0" y="0"/>
            <a:ext cx="2773680" cy="2164080"/>
          </a:xfrm>
          <a:prstGeom prst="roundRect">
            <a:avLst/>
          </a:prstGeom>
          <a:grp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cx1="http://schemas.microsoft.com/office/drawing/2015/9/8/chartex" Requires="cx1">
          <xdr:graphicFrame macro="">
            <xdr:nvGraphicFramePr>
              <xdr:cNvPr id="46" name="Chart 45">
                <a:extLst>
                  <a:ext uri="{FF2B5EF4-FFF2-40B4-BE49-F238E27FC236}">
                    <a16:creationId xmlns:a16="http://schemas.microsoft.com/office/drawing/2014/main" id="{00000000-0008-0000-0200-00002E000000}"/>
                  </a:ext>
                </a:extLst>
              </xdr:cNvPr>
              <xdr:cNvGraphicFramePr/>
            </xdr:nvGraphicFramePr>
            <xdr:xfrm>
              <a:off x="0" y="53340"/>
              <a:ext cx="2766060" cy="185166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0" y="53340"/>
                <a:ext cx="2766060" cy="185166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grpSp>
    <xdr:clientData/>
  </xdr:twoCellAnchor>
  <mc:AlternateContent xmlns:mc="http://schemas.openxmlformats.org/markup-compatibility/2006">
    <mc:Choice xmlns:a14="http://schemas.microsoft.com/office/drawing/2010/main" Requires="a14">
      <xdr:twoCellAnchor editAs="oneCell">
        <xdr:from>
          <xdr:col>6</xdr:col>
          <xdr:colOff>22860</xdr:colOff>
          <xdr:row>11</xdr:row>
          <xdr:rowOff>22860</xdr:rowOff>
        </xdr:from>
        <xdr:to>
          <xdr:col>6</xdr:col>
          <xdr:colOff>396240</xdr:colOff>
          <xdr:row>19</xdr:row>
          <xdr:rowOff>182880</xdr:rowOff>
        </xdr:to>
        <xdr:sp macro="" textlink="">
          <xdr:nvSpPr>
            <xdr:cNvPr id="3073" name="Scroll Bar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11</xdr:row>
          <xdr:rowOff>38100</xdr:rowOff>
        </xdr:from>
        <xdr:to>
          <xdr:col>18</xdr:col>
          <xdr:colOff>396240</xdr:colOff>
          <xdr:row>19</xdr:row>
          <xdr:rowOff>167640</xdr:rowOff>
        </xdr:to>
        <xdr:sp macro="" textlink="">
          <xdr:nvSpPr>
            <xdr:cNvPr id="3074" name="Scroll Bar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19</xdr:col>
      <xdr:colOff>106680</xdr:colOff>
      <xdr:row>11</xdr:row>
      <xdr:rowOff>22860</xdr:rowOff>
    </xdr:from>
    <xdr:to>
      <xdr:col>22</xdr:col>
      <xdr:colOff>579120</xdr:colOff>
      <xdr:row>20</xdr:row>
      <xdr:rowOff>7620</xdr:rowOff>
    </xdr:to>
    <xdr:graphicFrame macro="">
      <xdr:nvGraphicFramePr>
        <xdr:cNvPr id="68" name="Chart 67">
          <a:extLst>
            <a:ext uri="{FF2B5EF4-FFF2-40B4-BE49-F238E27FC236}">
              <a16:creationId xmlns:a16="http://schemas.microsoft.com/office/drawing/2014/main" id="{00000000-0008-0000-0200-00004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106680</xdr:colOff>
      <xdr:row>10</xdr:row>
      <xdr:rowOff>83820</xdr:rowOff>
    </xdr:from>
    <xdr:to>
      <xdr:col>11</xdr:col>
      <xdr:colOff>60960</xdr:colOff>
      <xdr:row>19</xdr:row>
      <xdr:rowOff>182880</xdr:rowOff>
    </xdr:to>
    <xdr:graphicFrame macro="">
      <xdr:nvGraphicFramePr>
        <xdr:cNvPr id="69" name="Chart 68">
          <a:extLst>
            <a:ext uri="{FF2B5EF4-FFF2-40B4-BE49-F238E27FC236}">
              <a16:creationId xmlns:a16="http://schemas.microsoft.com/office/drawing/2014/main" id="{00000000-0008-0000-0200-00004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175260</xdr:colOff>
      <xdr:row>21</xdr:row>
      <xdr:rowOff>45720</xdr:rowOff>
    </xdr:from>
    <xdr:to>
      <xdr:col>11</xdr:col>
      <xdr:colOff>15240</xdr:colOff>
      <xdr:row>32</xdr:row>
      <xdr:rowOff>83820</xdr:rowOff>
    </xdr:to>
    <xdr:grpSp>
      <xdr:nvGrpSpPr>
        <xdr:cNvPr id="16" name="Group 15">
          <a:extLst>
            <a:ext uri="{FF2B5EF4-FFF2-40B4-BE49-F238E27FC236}">
              <a16:creationId xmlns:a16="http://schemas.microsoft.com/office/drawing/2014/main" id="{E06D55AA-3E35-2EDA-CE43-FE81D22A6557}"/>
            </a:ext>
          </a:extLst>
        </xdr:cNvPr>
        <xdr:cNvGrpSpPr/>
      </xdr:nvGrpSpPr>
      <xdr:grpSpPr>
        <a:xfrm>
          <a:off x="5105400" y="3901440"/>
          <a:ext cx="2278380" cy="2232660"/>
          <a:chOff x="5105400" y="3901440"/>
          <a:chExt cx="2278380" cy="2232660"/>
        </a:xfrm>
      </xdr:grpSpPr>
      <xdr:sp macro="" textlink="">
        <xdr:nvSpPr>
          <xdr:cNvPr id="5" name="Rectangle: Rounded Corners 4">
            <a:extLst>
              <a:ext uri="{FF2B5EF4-FFF2-40B4-BE49-F238E27FC236}">
                <a16:creationId xmlns:a16="http://schemas.microsoft.com/office/drawing/2014/main" id="{1F11D3D4-5EA3-DD1E-CF6A-B3AB255E3877}"/>
              </a:ext>
            </a:extLst>
          </xdr:cNvPr>
          <xdr:cNvSpPr/>
        </xdr:nvSpPr>
        <xdr:spPr>
          <a:xfrm>
            <a:off x="5105400" y="3901440"/>
            <a:ext cx="2278380" cy="2232660"/>
          </a:xfrm>
          <a:prstGeom prst="roundRect">
            <a:avLst/>
          </a:prstGeom>
          <a:solidFill>
            <a:schemeClr val="accent3">
              <a:lumMod val="20000"/>
              <a:lumOff val="80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a14="http://schemas.microsoft.com/office/drawing/2010/main" Requires="a14">
          <xdr:graphicFrame macro="">
            <xdr:nvGraphicFramePr>
              <xdr:cNvPr id="3" name="Supplier">
                <a:extLst>
                  <a:ext uri="{FF2B5EF4-FFF2-40B4-BE49-F238E27FC236}">
                    <a16:creationId xmlns:a16="http://schemas.microsoft.com/office/drawing/2014/main" id="{43FEDEF1-2AB5-41D3-835A-6FC08DA0FEAD}"/>
                  </a:ext>
                </a:extLst>
              </xdr:cNvPr>
              <xdr:cNvGraphicFramePr/>
            </xdr:nvGraphicFramePr>
            <xdr:xfrm>
              <a:off x="5212080" y="4046220"/>
              <a:ext cx="2103120" cy="1943100"/>
            </xdr:xfrm>
            <a:graphic>
              <a:graphicData uri="http://schemas.microsoft.com/office/drawing/2010/slicer">
                <sle:slicer xmlns:sle="http://schemas.microsoft.com/office/drawing/2010/slicer" name="Supplier"/>
              </a:graphicData>
            </a:graphic>
          </xdr:graphicFrame>
        </mc:Choice>
        <mc:Fallback>
          <xdr:sp macro="" textlink="">
            <xdr:nvSpPr>
              <xdr:cNvPr id="0" name=""/>
              <xdr:cNvSpPr>
                <a:spLocks noTextEdit="1"/>
              </xdr:cNvSpPr>
            </xdr:nvSpPr>
            <xdr:spPr>
              <a:xfrm>
                <a:off x="5212080" y="4046220"/>
                <a:ext cx="2103120" cy="19431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19</xdr:col>
      <xdr:colOff>129540</xdr:colOff>
      <xdr:row>21</xdr:row>
      <xdr:rowOff>22860</xdr:rowOff>
    </xdr:from>
    <xdr:to>
      <xdr:col>22</xdr:col>
      <xdr:colOff>579120</xdr:colOff>
      <xdr:row>32</xdr:row>
      <xdr:rowOff>60960</xdr:rowOff>
    </xdr:to>
    <xdr:grpSp>
      <xdr:nvGrpSpPr>
        <xdr:cNvPr id="10" name="Group 9">
          <a:extLst>
            <a:ext uri="{FF2B5EF4-FFF2-40B4-BE49-F238E27FC236}">
              <a16:creationId xmlns:a16="http://schemas.microsoft.com/office/drawing/2014/main" id="{14078B2F-3352-E353-5AED-DD5C28872CFE}"/>
            </a:ext>
          </a:extLst>
        </xdr:cNvPr>
        <xdr:cNvGrpSpPr/>
      </xdr:nvGrpSpPr>
      <xdr:grpSpPr>
        <a:xfrm>
          <a:off x="11879580" y="3878580"/>
          <a:ext cx="2278380" cy="2232660"/>
          <a:chOff x="11879580" y="3878580"/>
          <a:chExt cx="2278380" cy="2232660"/>
        </a:xfrm>
      </xdr:grpSpPr>
      <xdr:sp macro="" textlink="">
        <xdr:nvSpPr>
          <xdr:cNvPr id="7" name="Rectangle: Rounded Corners 6">
            <a:extLst>
              <a:ext uri="{FF2B5EF4-FFF2-40B4-BE49-F238E27FC236}">
                <a16:creationId xmlns:a16="http://schemas.microsoft.com/office/drawing/2014/main" id="{2C8B0485-12BE-5B53-6FE3-DF8FCCA4996E}"/>
              </a:ext>
            </a:extLst>
          </xdr:cNvPr>
          <xdr:cNvSpPr/>
        </xdr:nvSpPr>
        <xdr:spPr>
          <a:xfrm>
            <a:off x="11879580" y="3878580"/>
            <a:ext cx="2278380" cy="2232660"/>
          </a:xfrm>
          <a:prstGeom prst="roundRect">
            <a:avLst/>
          </a:prstGeom>
          <a:solidFill>
            <a:schemeClr val="accent2">
              <a:lumMod val="40000"/>
              <a:lumOff val="60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a14="http://schemas.microsoft.com/office/drawing/2010/main" Requires="a14">
          <xdr:graphicFrame macro="">
            <xdr:nvGraphicFramePr>
              <xdr:cNvPr id="9" name="Category">
                <a:extLst>
                  <a:ext uri="{FF2B5EF4-FFF2-40B4-BE49-F238E27FC236}">
                    <a16:creationId xmlns:a16="http://schemas.microsoft.com/office/drawing/2014/main" id="{BA148E0E-C293-496E-B093-954875CB8AF3}"/>
                  </a:ext>
                </a:extLst>
              </xdr:cNvPr>
              <xdr:cNvGraphicFramePr/>
            </xdr:nvGraphicFramePr>
            <xdr:xfrm>
              <a:off x="12070080" y="4168140"/>
              <a:ext cx="1905000" cy="132588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2070080" y="4168140"/>
                <a:ext cx="1905000" cy="13258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ash Sheet" refreshedDate="46154.71456724537" createdVersion="8" refreshedVersion="8" minRefreshableVersion="3" recordCount="500" xr:uid="{EE4E7710-4E23-4CBD-9573-DC89FCFD1508}">
  <cacheSource type="worksheet">
    <worksheetSource ref="A1:T501" sheet="Automated raw"/>
  </cacheSource>
  <cacheFields count="20">
    <cacheField name="Order_ID" numFmtId="0">
      <sharedItems/>
    </cacheField>
    <cacheField name="Date" numFmtId="14">
      <sharedItems containsSemiMixedTypes="0" containsNonDate="0" containsDate="1" containsString="0" minDate="2024-01-01T00:00:00" maxDate="2025-01-01T00:00:00"/>
    </cacheField>
    <cacheField name="Product" numFmtId="0">
      <sharedItems count="8">
        <s v="Jeans"/>
        <s v="Hoodie"/>
        <s v="Sweater"/>
        <s v="T-Shirt"/>
        <s v="Dress"/>
        <s v="jacket"/>
        <s v="Shirt"/>
        <s v="Shorts"/>
      </sharedItems>
    </cacheField>
    <cacheField name="Category" numFmtId="0">
      <sharedItems count="3">
        <s v="Kids"/>
        <s v="Women"/>
        <s v="Men"/>
      </sharedItems>
    </cacheField>
    <cacheField name="Supplier" numFmtId="0">
      <sharedItems count="5">
        <s v="StyleStreet"/>
        <s v="Urban Wear Co"/>
        <s v="Not Available"/>
        <s v="Fashion Hub Ltd"/>
        <s v="Clothify"/>
      </sharedItems>
    </cacheField>
    <cacheField name="In Stock or Remaining" numFmtId="0">
      <sharedItems containsMixedTypes="1" containsNumber="1" containsInteger="1" minValue="5" maxValue="150"/>
    </cacheField>
    <cacheField name="Stock_Out" numFmtId="0">
      <sharedItems containsSemiMixedTypes="0" containsString="0" containsNumber="1" containsInteger="1" minValue="0" maxValue="120"/>
    </cacheField>
    <cacheField name="Stock In(Total)" numFmtId="0">
      <sharedItems containsMixedTypes="1" containsNumber="1" containsInteger="1" minValue="9" maxValue="266"/>
    </cacheField>
    <cacheField name="Inventory_Level" numFmtId="0">
      <sharedItems containsSemiMixedTypes="0" containsString="0" containsNumber="1" containsInteger="1" minValue="1" maxValue="300"/>
    </cacheField>
    <cacheField name="Reorder_Level" numFmtId="0">
      <sharedItems containsSemiMixedTypes="0" containsString="0" containsNumber="1" containsInteger="1" minValue="30" maxValue="80"/>
    </cacheField>
    <cacheField name="Lead_Time_Days" numFmtId="0">
      <sharedItems containsSemiMixedTypes="0" containsString="0" containsNumber="1" containsInteger="1" minValue="2" maxValue="15"/>
    </cacheField>
    <cacheField name="Unit_Cost" numFmtId="0">
      <sharedItems containsSemiMixedTypes="0" containsString="0" containsNumber="1" containsInteger="1" minValue="212" maxValue="2000"/>
    </cacheField>
    <cacheField name="Selling_Price" numFmtId="0">
      <sharedItems containsSemiMixedTypes="0" containsString="0" containsNumber="1" containsInteger="1" minValue="357" maxValue="3447"/>
    </cacheField>
    <cacheField name="sell movement Ratio" numFmtId="0">
      <sharedItems containsMixedTypes="1" containsNumber="1" minValue="0" maxValue="0.95867768595041325"/>
    </cacheField>
    <cacheField name="Sell Through %" numFmtId="0">
      <sharedItems containsMixedTypes="1" containsNumber="1" minValue="0" maxValue="0.95867768595041325"/>
    </cacheField>
    <cacheField name="Unsold Quantity" numFmtId="0">
      <sharedItems containsMixedTypes="1" containsNumber="1" containsInteger="1" minValue="5" maxValue="150"/>
    </cacheField>
    <cacheField name="unsold Value " numFmtId="164">
      <sharedItems containsSemiMixedTypes="0" containsString="0" containsNumber="1" containsInteger="1" minValue="0" maxValue="295852"/>
    </cacheField>
    <cacheField name="Decision " numFmtId="0">
      <sharedItems count="3">
        <s v="High"/>
        <s v="Dead Stock"/>
        <s v="Avg"/>
      </sharedItems>
    </cacheField>
    <cacheField name="Month" numFmtId="0">
      <sharedItems count="12">
        <s v="Dec"/>
        <s v="Aug"/>
        <s v="Jul"/>
        <s v="Nov"/>
        <s v="Feb"/>
        <s v="Oct"/>
        <s v="Jan"/>
        <s v="Jun"/>
        <s v="Sep"/>
        <s v="Apr"/>
        <s v="Mar"/>
        <s v="May"/>
      </sharedItems>
    </cacheField>
    <cacheField name="selling value value" numFmtId="164">
      <sharedItems containsSemiMixedTypes="0" containsString="0" containsNumber="1" containsInteger="1" minValue="0" maxValue="361998"/>
    </cacheField>
  </cacheFields>
  <extLst>
    <ext xmlns:x14="http://schemas.microsoft.com/office/spreadsheetml/2009/9/main" uri="{725AE2AE-9491-48be-B2B4-4EB974FC3084}">
      <x14:pivotCacheDefinition pivotCacheId="119602621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ash Sheet" refreshedDate="46154.784055671298" createdVersion="8" refreshedVersion="8" minRefreshableVersion="3" recordCount="501" xr:uid="{2C9AB625-BE37-4533-B9C5-B960DB5E0F73}">
  <cacheSource type="worksheet">
    <worksheetSource name="Table7"/>
  </cacheSource>
  <cacheFields count="22">
    <cacheField name="Order_ID" numFmtId="0">
      <sharedItems containsBlank="1"/>
    </cacheField>
    <cacheField name="Date" numFmtId="14">
      <sharedItems containsNonDate="0" containsDate="1" containsString="0" containsBlank="1" minDate="2024-01-01T00:00:00" maxDate="2025-01-01T00:00:00"/>
    </cacheField>
    <cacheField name="Product" numFmtId="0">
      <sharedItems containsBlank="1" count="9">
        <s v="Jeans"/>
        <s v="Hoodie"/>
        <s v="Sweater"/>
        <s v="T-Shirt"/>
        <s v="Dress"/>
        <s v="jacket"/>
        <s v="Shirt"/>
        <s v="Shorts"/>
        <m/>
      </sharedItems>
    </cacheField>
    <cacheField name="Category" numFmtId="0">
      <sharedItems containsBlank="1" count="4">
        <s v="Kids"/>
        <s v="Women"/>
        <s v="Men"/>
        <m/>
      </sharedItems>
    </cacheField>
    <cacheField name="Supplier" numFmtId="0">
      <sharedItems containsBlank="1"/>
    </cacheField>
    <cacheField name="In Stock or Remaining" numFmtId="0">
      <sharedItems containsMixedTypes="1" containsNumber="1" containsInteger="1" minValue="5" maxValue="36933"/>
    </cacheField>
    <cacheField name="Stock_Out" numFmtId="0">
      <sharedItems containsSemiMixedTypes="0" containsString="0" containsNumber="1" containsInteger="1" minValue="0" maxValue="29962"/>
    </cacheField>
    <cacheField name="Stock In(Total)" numFmtId="0">
      <sharedItems containsBlank="1" containsMixedTypes="1" containsNumber="1" containsInteger="1" minValue="9" maxValue="266"/>
    </cacheField>
    <cacheField name="Inventory_Level" numFmtId="0">
      <sharedItems containsString="0" containsBlank="1" containsNumber="1" containsInteger="1" minValue="1" maxValue="300"/>
    </cacheField>
    <cacheField name="Reorder_Level" numFmtId="0">
      <sharedItems containsString="0" containsBlank="1" containsNumber="1" containsInteger="1" minValue="30" maxValue="80"/>
    </cacheField>
    <cacheField name="Lead_Time_Days" numFmtId="0">
      <sharedItems containsString="0" containsBlank="1" containsNumber="1" containsInteger="1" minValue="2" maxValue="15"/>
    </cacheField>
    <cacheField name="Unit_Cost" numFmtId="0">
      <sharedItems containsString="0" containsBlank="1" containsNumber="1" containsInteger="1" minValue="212" maxValue="2000"/>
    </cacheField>
    <cacheField name="Selling_Price" numFmtId="0">
      <sharedItems containsString="0" containsBlank="1" containsNumber="1" containsInteger="1" minValue="357" maxValue="3447"/>
    </cacheField>
    <cacheField name="sell movement Ratio" numFmtId="0">
      <sharedItems containsBlank="1" containsMixedTypes="1" containsNumber="1" minValue="0" maxValue="0.95867768595041325"/>
    </cacheField>
    <cacheField name="Sell Through %" numFmtId="0">
      <sharedItems containsMixedTypes="1" containsNumber="1" minValue="0" maxValue="0.95867768595041325"/>
    </cacheField>
    <cacheField name="Unsold Quantity" numFmtId="0">
      <sharedItems containsMixedTypes="1" containsNumber="1" containsInteger="1" minValue="5" maxValue="18494"/>
    </cacheField>
    <cacheField name="unsold Value " numFmtId="164">
      <sharedItems containsSemiMixedTypes="0" containsString="0" containsNumber="1" containsInteger="1" minValue="0" maxValue="39859265"/>
    </cacheField>
    <cacheField name="Decision " numFmtId="0">
      <sharedItems containsMixedTypes="1" containsNumber="1" containsInteger="1" minValue="13037601" maxValue="13037601"/>
    </cacheField>
    <cacheField name="Month" numFmtId="0">
      <sharedItems containsBlank="1"/>
    </cacheField>
    <cacheField name="selling value value" numFmtId="164">
      <sharedItems containsSemiMixedTypes="0" containsString="0" containsNumber="1" containsInteger="1" minValue="0" maxValue="29045560"/>
    </cacheField>
    <cacheField name="Avg Inventory" numFmtId="0">
      <sharedItems containsMixedTypes="1" containsNumber="1" minValue="7.5" maxValue="18466.5"/>
    </cacheField>
    <cacheField name="Turn Over" numFmtId="9">
      <sharedItems containsMixedTypes="1" containsNumber="1" minValue="0" maxValue="1.8412698412698412"/>
    </cacheField>
  </cacheFields>
  <extLst>
    <ext xmlns:x14="http://schemas.microsoft.com/office/spreadsheetml/2009/9/main" uri="{725AE2AE-9491-48be-B2B4-4EB974FC3084}">
      <x14:pivotCacheDefinition pivotCacheId="70174297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s v="ORD1"/>
    <d v="2024-12-28T00:00:00"/>
    <x v="0"/>
    <x v="0"/>
    <x v="0"/>
    <n v="7"/>
    <n v="115"/>
    <n v="122"/>
    <n v="108"/>
    <n v="50"/>
    <n v="13"/>
    <n v="1161"/>
    <n v="2047"/>
    <n v="0.94262295081967218"/>
    <n v="0.94262295081967218"/>
    <n v="7"/>
    <n v="8127"/>
    <x v="0"/>
    <x v="0"/>
    <n v="235405"/>
  </r>
  <r>
    <s v="ORD2"/>
    <d v="2024-08-08T00:00:00"/>
    <x v="1"/>
    <x v="1"/>
    <x v="0"/>
    <n v="117"/>
    <n v="10"/>
    <n v="127"/>
    <n v="49"/>
    <n v="69"/>
    <n v="2"/>
    <n v="1178"/>
    <n v="2614"/>
    <n v="7.874015748031496E-2"/>
    <n v="7.874015748031496E-2"/>
    <n v="117"/>
    <n v="137826"/>
    <x v="1"/>
    <x v="1"/>
    <n v="26140"/>
  </r>
  <r>
    <s v="ORD3"/>
    <d v="2024-08-17T00:00:00"/>
    <x v="2"/>
    <x v="2"/>
    <x v="1"/>
    <n v="147"/>
    <n v="77"/>
    <n v="224"/>
    <n v="160"/>
    <n v="36"/>
    <n v="5"/>
    <n v="247"/>
    <n v="1178"/>
    <n v="0.34375"/>
    <n v="0.34375"/>
    <n v="147"/>
    <n v="36309"/>
    <x v="2"/>
    <x v="1"/>
    <n v="90706"/>
  </r>
  <r>
    <s v="ORD4"/>
    <d v="2024-07-26T00:00:00"/>
    <x v="1"/>
    <x v="0"/>
    <x v="2"/>
    <n v="17"/>
    <n v="59"/>
    <n v="76"/>
    <n v="73"/>
    <n v="41"/>
    <n v="3"/>
    <n v="1958"/>
    <n v="3252"/>
    <n v="0.77631578947368418"/>
    <n v="0.77631578947368418"/>
    <n v="17"/>
    <n v="33286"/>
    <x v="0"/>
    <x v="2"/>
    <n v="191868"/>
  </r>
  <r>
    <s v="ORD5"/>
    <d v="2024-08-25T00:00:00"/>
    <x v="1"/>
    <x v="0"/>
    <x v="1"/>
    <s v="Not Available"/>
    <n v="65"/>
    <s v="-"/>
    <n v="183"/>
    <n v="58"/>
    <n v="4"/>
    <n v="575"/>
    <n v="1541"/>
    <e v="#VALUE!"/>
    <s v="incomplete"/>
    <s v="Not Available"/>
    <n v="0"/>
    <x v="0"/>
    <x v="1"/>
    <n v="100165"/>
  </r>
  <r>
    <s v="ORD6"/>
    <d v="2024-11-19T00:00:00"/>
    <x v="3"/>
    <x v="1"/>
    <x v="0"/>
    <n v="47"/>
    <n v="85"/>
    <n v="132"/>
    <n v="124"/>
    <n v="41"/>
    <n v="8"/>
    <n v="1268"/>
    <n v="2441"/>
    <n v="0.64393939393939392"/>
    <n v="0.64393939393939392"/>
    <n v="47"/>
    <n v="59596"/>
    <x v="0"/>
    <x v="3"/>
    <n v="207485"/>
  </r>
  <r>
    <s v="ORD7"/>
    <d v="2024-02-12T00:00:00"/>
    <x v="0"/>
    <x v="2"/>
    <x v="1"/>
    <n v="102"/>
    <n v="27"/>
    <n v="129"/>
    <n v="199"/>
    <n v="80"/>
    <n v="4"/>
    <n v="1651"/>
    <n v="2194"/>
    <n v="0.20930232558139536"/>
    <n v="0.20930232558139536"/>
    <n v="102"/>
    <n v="168402"/>
    <x v="1"/>
    <x v="4"/>
    <n v="59238"/>
  </r>
  <r>
    <s v="ORD8"/>
    <d v="2024-07-10T00:00:00"/>
    <x v="1"/>
    <x v="1"/>
    <x v="0"/>
    <n v="74"/>
    <n v="13"/>
    <n v="87"/>
    <n v="208"/>
    <n v="40"/>
    <n v="13"/>
    <n v="807"/>
    <n v="1801"/>
    <n v="0.14942528735632185"/>
    <n v="0.14942528735632185"/>
    <n v="74"/>
    <n v="59718"/>
    <x v="1"/>
    <x v="2"/>
    <n v="23413"/>
  </r>
  <r>
    <s v="ORD9"/>
    <d v="2024-07-28T00:00:00"/>
    <x v="4"/>
    <x v="0"/>
    <x v="1"/>
    <n v="135"/>
    <n v="86"/>
    <n v="221"/>
    <n v="94"/>
    <n v="71"/>
    <n v="6"/>
    <n v="1571"/>
    <n v="2690"/>
    <n v="0.38914027149321267"/>
    <n v="0.38914027149321267"/>
    <n v="135"/>
    <n v="212085"/>
    <x v="2"/>
    <x v="2"/>
    <n v="231340"/>
  </r>
  <r>
    <s v="ORD10"/>
    <d v="2024-10-23T00:00:00"/>
    <x v="4"/>
    <x v="1"/>
    <x v="1"/>
    <n v="79"/>
    <n v="108"/>
    <n v="187"/>
    <n v="122"/>
    <n v="43"/>
    <n v="5"/>
    <n v="754"/>
    <n v="2150"/>
    <n v="0.57754010695187163"/>
    <n v="0.57754010695187163"/>
    <n v="79"/>
    <n v="59566"/>
    <x v="2"/>
    <x v="5"/>
    <n v="232200"/>
  </r>
  <r>
    <s v="ORD11"/>
    <d v="2024-07-02T00:00:00"/>
    <x v="4"/>
    <x v="2"/>
    <x v="3"/>
    <n v="41"/>
    <n v="60"/>
    <n v="101"/>
    <n v="247"/>
    <n v="48"/>
    <n v="2"/>
    <n v="1362"/>
    <n v="1988"/>
    <n v="0.59405940594059403"/>
    <n v="0.59405940594059403"/>
    <n v="41"/>
    <n v="55842"/>
    <x v="2"/>
    <x v="2"/>
    <n v="119280"/>
  </r>
  <r>
    <s v="ORD12"/>
    <d v="2024-01-07T00:00:00"/>
    <x v="5"/>
    <x v="2"/>
    <x v="0"/>
    <n v="123"/>
    <n v="73"/>
    <n v="196"/>
    <n v="229"/>
    <n v="48"/>
    <n v="8"/>
    <n v="723"/>
    <n v="1158"/>
    <n v="0.37244897959183676"/>
    <n v="0.37244897959183676"/>
    <n v="123"/>
    <n v="88929"/>
    <x v="2"/>
    <x v="6"/>
    <n v="84534"/>
  </r>
  <r>
    <s v="ORD13"/>
    <d v="2024-06-15T00:00:00"/>
    <x v="6"/>
    <x v="0"/>
    <x v="4"/>
    <n v="60"/>
    <n v="120"/>
    <n v="180"/>
    <n v="136"/>
    <n v="32"/>
    <n v="7"/>
    <n v="1750"/>
    <n v="2380"/>
    <n v="0.66666666666666663"/>
    <n v="0.66666666666666663"/>
    <n v="60"/>
    <n v="105000"/>
    <x v="0"/>
    <x v="7"/>
    <n v="285600"/>
  </r>
  <r>
    <s v="ORD14"/>
    <d v="2024-01-23T00:00:00"/>
    <x v="4"/>
    <x v="1"/>
    <x v="1"/>
    <n v="128"/>
    <n v="19"/>
    <n v="147"/>
    <n v="143"/>
    <n v="64"/>
    <n v="9"/>
    <n v="1727"/>
    <n v="2198"/>
    <n v="0.12925170068027211"/>
    <n v="0.12925170068027211"/>
    <n v="128"/>
    <n v="221056"/>
    <x v="1"/>
    <x v="6"/>
    <n v="41762"/>
  </r>
  <r>
    <s v="ORD15"/>
    <d v="2024-01-02T00:00:00"/>
    <x v="1"/>
    <x v="1"/>
    <x v="4"/>
    <n v="79"/>
    <n v="114"/>
    <n v="193"/>
    <n v="24"/>
    <n v="36"/>
    <n v="6"/>
    <n v="416"/>
    <n v="1455"/>
    <n v="0.59067357512953367"/>
    <n v="0.59067357512953367"/>
    <n v="79"/>
    <n v="32864"/>
    <x v="2"/>
    <x v="6"/>
    <n v="165870"/>
  </r>
  <r>
    <s v="ORD16"/>
    <d v="2024-09-22T00:00:00"/>
    <x v="2"/>
    <x v="2"/>
    <x v="3"/>
    <n v="29"/>
    <n v="83"/>
    <n v="112"/>
    <n v="112"/>
    <n v="59"/>
    <n v="5"/>
    <n v="1464"/>
    <n v="1895"/>
    <n v="0.7410714285714286"/>
    <n v="0.7410714285714286"/>
    <n v="29"/>
    <n v="42456"/>
    <x v="0"/>
    <x v="8"/>
    <n v="157285"/>
  </r>
  <r>
    <s v="ORD17"/>
    <d v="2024-04-11T00:00:00"/>
    <x v="0"/>
    <x v="1"/>
    <x v="4"/>
    <n v="120"/>
    <n v="106"/>
    <n v="226"/>
    <n v="278"/>
    <n v="69"/>
    <n v="14"/>
    <n v="1289"/>
    <n v="2411"/>
    <n v="0.46902654867256638"/>
    <n v="0.46902654867256638"/>
    <n v="120"/>
    <n v="154680"/>
    <x v="2"/>
    <x v="9"/>
    <n v="255566"/>
  </r>
  <r>
    <s v="ORD18"/>
    <d v="2024-10-20T00:00:00"/>
    <x v="1"/>
    <x v="1"/>
    <x v="3"/>
    <n v="68"/>
    <n v="39"/>
    <n v="107"/>
    <n v="291"/>
    <n v="52"/>
    <n v="10"/>
    <n v="733"/>
    <n v="912"/>
    <n v="0.3644859813084112"/>
    <n v="0.3644859813084112"/>
    <n v="68"/>
    <n v="49844"/>
    <x v="2"/>
    <x v="5"/>
    <n v="35568"/>
  </r>
  <r>
    <s v="ORD19"/>
    <d v="2024-02-12T00:00:00"/>
    <x v="7"/>
    <x v="2"/>
    <x v="1"/>
    <n v="125"/>
    <n v="0"/>
    <n v="125"/>
    <n v="167"/>
    <n v="35"/>
    <n v="14"/>
    <n v="1203"/>
    <n v="1502"/>
    <n v="0"/>
    <n v="0"/>
    <n v="125"/>
    <n v="150375"/>
    <x v="1"/>
    <x v="4"/>
    <n v="0"/>
  </r>
  <r>
    <s v="ORD20"/>
    <d v="2024-09-30T00:00:00"/>
    <x v="6"/>
    <x v="0"/>
    <x v="1"/>
    <n v="26"/>
    <n v="62"/>
    <n v="88"/>
    <n v="162"/>
    <n v="36"/>
    <n v="14"/>
    <n v="366"/>
    <n v="1546"/>
    <n v="0.70454545454545459"/>
    <n v="0.70454545454545459"/>
    <n v="26"/>
    <n v="9516"/>
    <x v="0"/>
    <x v="8"/>
    <n v="95852"/>
  </r>
  <r>
    <s v="ORD21"/>
    <d v="2024-02-01T00:00:00"/>
    <x v="1"/>
    <x v="2"/>
    <x v="3"/>
    <n v="64"/>
    <n v="96"/>
    <n v="160"/>
    <n v="119"/>
    <n v="50"/>
    <n v="12"/>
    <n v="1098"/>
    <n v="1479"/>
    <n v="0.6"/>
    <n v="0.6"/>
    <n v="64"/>
    <n v="70272"/>
    <x v="0"/>
    <x v="4"/>
    <n v="141984"/>
  </r>
  <r>
    <s v="ORD22"/>
    <d v="2024-07-28T00:00:00"/>
    <x v="7"/>
    <x v="0"/>
    <x v="4"/>
    <n v="70"/>
    <n v="114"/>
    <n v="184"/>
    <n v="94"/>
    <n v="37"/>
    <n v="11"/>
    <n v="481"/>
    <n v="960"/>
    <n v="0.61956521739130432"/>
    <n v="0.61956521739130432"/>
    <n v="70"/>
    <n v="33670"/>
    <x v="0"/>
    <x v="2"/>
    <n v="109440"/>
  </r>
  <r>
    <s v="ORD23"/>
    <d v="2024-11-02T00:00:00"/>
    <x v="1"/>
    <x v="2"/>
    <x v="3"/>
    <n v="115"/>
    <n v="117"/>
    <n v="232"/>
    <n v="1"/>
    <n v="45"/>
    <n v="11"/>
    <n v="596"/>
    <n v="774"/>
    <n v="0.50431034482758619"/>
    <n v="0.50431034482758619"/>
    <n v="115"/>
    <n v="68540"/>
    <x v="2"/>
    <x v="3"/>
    <n v="90558"/>
  </r>
  <r>
    <s v="ORD24"/>
    <d v="2024-11-24T00:00:00"/>
    <x v="1"/>
    <x v="2"/>
    <x v="0"/>
    <n v="140"/>
    <n v="115"/>
    <n v="255"/>
    <n v="255"/>
    <n v="44"/>
    <n v="6"/>
    <n v="373"/>
    <n v="858"/>
    <n v="0.45098039215686275"/>
    <n v="0.45098039215686275"/>
    <n v="140"/>
    <n v="52220"/>
    <x v="2"/>
    <x v="3"/>
    <n v="98670"/>
  </r>
  <r>
    <s v="ORD25"/>
    <d v="2024-06-24T00:00:00"/>
    <x v="5"/>
    <x v="1"/>
    <x v="0"/>
    <n v="45"/>
    <n v="57"/>
    <n v="102"/>
    <n v="100"/>
    <n v="66"/>
    <n v="15"/>
    <n v="713"/>
    <n v="1903"/>
    <n v="0.55882352941176472"/>
    <n v="0.55882352941176472"/>
    <n v="45"/>
    <n v="32085"/>
    <x v="2"/>
    <x v="7"/>
    <n v="108471"/>
  </r>
  <r>
    <s v="ORD26"/>
    <d v="2024-04-13T00:00:00"/>
    <x v="0"/>
    <x v="0"/>
    <x v="4"/>
    <n v="121"/>
    <n v="13"/>
    <n v="134"/>
    <n v="183"/>
    <n v="42"/>
    <n v="7"/>
    <n v="364"/>
    <n v="1744"/>
    <n v="9.7014925373134331E-2"/>
    <n v="9.7014925373134331E-2"/>
    <n v="121"/>
    <n v="44044"/>
    <x v="1"/>
    <x v="9"/>
    <n v="22672"/>
  </r>
  <r>
    <s v="ORD27"/>
    <d v="2024-04-10T00:00:00"/>
    <x v="4"/>
    <x v="2"/>
    <x v="4"/>
    <n v="35"/>
    <n v="75"/>
    <n v="110"/>
    <n v="16"/>
    <n v="48"/>
    <n v="13"/>
    <n v="570"/>
    <n v="1182"/>
    <n v="0.68181818181818177"/>
    <n v="0.68181818181818177"/>
    <n v="35"/>
    <n v="19950"/>
    <x v="0"/>
    <x v="9"/>
    <n v="88650"/>
  </r>
  <r>
    <s v="ORD28"/>
    <d v="2024-03-09T00:00:00"/>
    <x v="4"/>
    <x v="0"/>
    <x v="1"/>
    <n v="87"/>
    <n v="74"/>
    <n v="161"/>
    <n v="128"/>
    <n v="56"/>
    <n v="13"/>
    <n v="666"/>
    <n v="1457"/>
    <n v="0.45962732919254656"/>
    <n v="0.45962732919254656"/>
    <n v="87"/>
    <n v="57942"/>
    <x v="2"/>
    <x v="10"/>
    <n v="107818"/>
  </r>
  <r>
    <s v="ORD29"/>
    <d v="2024-08-28T00:00:00"/>
    <x v="6"/>
    <x v="0"/>
    <x v="1"/>
    <n v="91"/>
    <n v="42"/>
    <n v="133"/>
    <n v="181"/>
    <n v="38"/>
    <n v="10"/>
    <n v="541"/>
    <n v="1787"/>
    <n v="0.31578947368421051"/>
    <n v="0.31578947368421051"/>
    <n v="91"/>
    <n v="49231"/>
    <x v="2"/>
    <x v="1"/>
    <n v="75054"/>
  </r>
  <r>
    <s v="ORD30"/>
    <d v="2024-10-26T00:00:00"/>
    <x v="6"/>
    <x v="0"/>
    <x v="0"/>
    <n v="11"/>
    <n v="41"/>
    <n v="52"/>
    <n v="73"/>
    <n v="72"/>
    <n v="12"/>
    <n v="232"/>
    <n v="421"/>
    <n v="0.78846153846153844"/>
    <n v="0.78846153846153844"/>
    <n v="11"/>
    <n v="2552"/>
    <x v="0"/>
    <x v="5"/>
    <n v="17261"/>
  </r>
  <r>
    <s v="ORD31"/>
    <d v="2024-11-05T00:00:00"/>
    <x v="5"/>
    <x v="0"/>
    <x v="1"/>
    <n v="99"/>
    <n v="115"/>
    <n v="214"/>
    <n v="17"/>
    <n v="72"/>
    <n v="14"/>
    <n v="1405"/>
    <n v="1787"/>
    <n v="0.53738317757009346"/>
    <n v="0.53738317757009346"/>
    <n v="99"/>
    <n v="139095"/>
    <x v="2"/>
    <x v="3"/>
    <n v="205505"/>
  </r>
  <r>
    <s v="ORD32"/>
    <d v="2024-06-07T00:00:00"/>
    <x v="2"/>
    <x v="0"/>
    <x v="1"/>
    <n v="5"/>
    <n v="81"/>
    <n v="86"/>
    <n v="181"/>
    <n v="66"/>
    <n v="9"/>
    <n v="1797"/>
    <n v="2464"/>
    <n v="0.94186046511627908"/>
    <n v="0.94186046511627908"/>
    <n v="5"/>
    <n v="8985"/>
    <x v="0"/>
    <x v="7"/>
    <n v="199584"/>
  </r>
  <r>
    <s v="ORD33"/>
    <d v="2024-07-01T00:00:00"/>
    <x v="3"/>
    <x v="1"/>
    <x v="4"/>
    <n v="116"/>
    <n v="114"/>
    <n v="230"/>
    <n v="260"/>
    <n v="43"/>
    <n v="2"/>
    <n v="1400"/>
    <n v="2251"/>
    <n v="0.4956521739130435"/>
    <n v="0.4956521739130435"/>
    <n v="116"/>
    <n v="162400"/>
    <x v="2"/>
    <x v="2"/>
    <n v="256614"/>
  </r>
  <r>
    <s v="ORD34"/>
    <d v="2024-01-22T00:00:00"/>
    <x v="6"/>
    <x v="1"/>
    <x v="1"/>
    <n v="45"/>
    <n v="80"/>
    <n v="125"/>
    <n v="5"/>
    <n v="36"/>
    <n v="9"/>
    <n v="1116"/>
    <n v="2247"/>
    <n v="0.64"/>
    <n v="0.64"/>
    <n v="45"/>
    <n v="50220"/>
    <x v="0"/>
    <x v="6"/>
    <n v="179760"/>
  </r>
  <r>
    <s v="ORD35"/>
    <d v="2024-03-30T00:00:00"/>
    <x v="4"/>
    <x v="1"/>
    <x v="0"/>
    <s v="Not Available"/>
    <n v="109"/>
    <s v="-"/>
    <n v="151"/>
    <n v="52"/>
    <n v="15"/>
    <n v="1424"/>
    <n v="2364"/>
    <e v="#VALUE!"/>
    <s v="incomplete"/>
    <s v="Not Available"/>
    <n v="0"/>
    <x v="0"/>
    <x v="10"/>
    <n v="257676"/>
  </r>
  <r>
    <s v="ORD36"/>
    <d v="2024-03-22T00:00:00"/>
    <x v="0"/>
    <x v="0"/>
    <x v="0"/>
    <n v="104"/>
    <n v="50"/>
    <n v="154"/>
    <n v="261"/>
    <n v="66"/>
    <n v="8"/>
    <n v="1272"/>
    <n v="2318"/>
    <n v="0.32467532467532467"/>
    <n v="0.32467532467532467"/>
    <n v="104"/>
    <n v="132288"/>
    <x v="2"/>
    <x v="10"/>
    <n v="115900"/>
  </r>
  <r>
    <s v="ORD37"/>
    <d v="2024-06-12T00:00:00"/>
    <x v="1"/>
    <x v="2"/>
    <x v="3"/>
    <n v="138"/>
    <n v="57"/>
    <n v="195"/>
    <n v="254"/>
    <n v="50"/>
    <n v="11"/>
    <n v="1681"/>
    <n v="3013"/>
    <n v="0.29230769230769232"/>
    <n v="0.29230769230769232"/>
    <n v="138"/>
    <n v="231978"/>
    <x v="1"/>
    <x v="7"/>
    <n v="171741"/>
  </r>
  <r>
    <s v="ORD38"/>
    <d v="2024-11-02T00:00:00"/>
    <x v="7"/>
    <x v="2"/>
    <x v="0"/>
    <n v="145"/>
    <n v="110"/>
    <n v="255"/>
    <n v="191"/>
    <n v="35"/>
    <n v="14"/>
    <n v="1806"/>
    <n v="3262"/>
    <n v="0.43137254901960786"/>
    <n v="0.43137254901960786"/>
    <n v="145"/>
    <n v="261870"/>
    <x v="2"/>
    <x v="3"/>
    <n v="358820"/>
  </r>
  <r>
    <s v="ORD39"/>
    <d v="2024-09-17T00:00:00"/>
    <x v="1"/>
    <x v="2"/>
    <x v="1"/>
    <n v="111"/>
    <n v="52"/>
    <n v="163"/>
    <n v="139"/>
    <n v="60"/>
    <n v="3"/>
    <n v="747"/>
    <n v="1121"/>
    <n v="0.31901840490797545"/>
    <n v="0.31901840490797545"/>
    <n v="111"/>
    <n v="82917"/>
    <x v="2"/>
    <x v="8"/>
    <n v="58292"/>
  </r>
  <r>
    <s v="ORD40"/>
    <d v="2024-09-20T00:00:00"/>
    <x v="3"/>
    <x v="0"/>
    <x v="3"/>
    <s v="Not Available"/>
    <n v="26"/>
    <s v="-"/>
    <n v="176"/>
    <n v="40"/>
    <n v="11"/>
    <n v="1397"/>
    <n v="2716"/>
    <e v="#VALUE!"/>
    <s v="incomplete"/>
    <s v="Not Available"/>
    <n v="0"/>
    <x v="0"/>
    <x v="8"/>
    <n v="70616"/>
  </r>
  <r>
    <s v="ORD41"/>
    <d v="2024-02-29T00:00:00"/>
    <x v="1"/>
    <x v="1"/>
    <x v="3"/>
    <n v="34"/>
    <n v="85"/>
    <n v="119"/>
    <n v="187"/>
    <n v="78"/>
    <n v="12"/>
    <n v="678"/>
    <n v="1220"/>
    <n v="0.7142857142857143"/>
    <n v="0.7142857142857143"/>
    <n v="34"/>
    <n v="23052"/>
    <x v="0"/>
    <x v="4"/>
    <n v="103700"/>
  </r>
  <r>
    <s v="ORD42"/>
    <d v="2024-09-06T00:00:00"/>
    <x v="5"/>
    <x v="2"/>
    <x v="3"/>
    <n v="135"/>
    <n v="35"/>
    <n v="170"/>
    <n v="46"/>
    <n v="32"/>
    <n v="7"/>
    <n v="1421"/>
    <n v="2720"/>
    <n v="0.20588235294117646"/>
    <n v="0.20588235294117646"/>
    <n v="135"/>
    <n v="191835"/>
    <x v="1"/>
    <x v="8"/>
    <n v="95200"/>
  </r>
  <r>
    <s v="ORD43"/>
    <d v="2024-11-02T00:00:00"/>
    <x v="1"/>
    <x v="2"/>
    <x v="4"/>
    <n v="105"/>
    <n v="98"/>
    <n v="203"/>
    <n v="5"/>
    <n v="75"/>
    <n v="5"/>
    <n v="1004"/>
    <n v="1367"/>
    <n v="0.48275862068965519"/>
    <n v="0.48275862068965519"/>
    <n v="105"/>
    <n v="105420"/>
    <x v="2"/>
    <x v="3"/>
    <n v="133966"/>
  </r>
  <r>
    <s v="ORD44"/>
    <d v="2024-09-20T00:00:00"/>
    <x v="0"/>
    <x v="2"/>
    <x v="0"/>
    <n v="123"/>
    <n v="20"/>
    <n v="143"/>
    <n v="58"/>
    <n v="63"/>
    <n v="4"/>
    <n v="742"/>
    <n v="1437"/>
    <n v="0.13986013986013987"/>
    <n v="0.13986013986013987"/>
    <n v="123"/>
    <n v="91266"/>
    <x v="1"/>
    <x v="8"/>
    <n v="28740"/>
  </r>
  <r>
    <s v="ORD45"/>
    <d v="2024-01-16T00:00:00"/>
    <x v="7"/>
    <x v="2"/>
    <x v="4"/>
    <n v="56"/>
    <n v="95"/>
    <n v="151"/>
    <n v="141"/>
    <n v="75"/>
    <n v="4"/>
    <n v="898"/>
    <n v="1689"/>
    <n v="0.62913907284768211"/>
    <n v="0.62913907284768211"/>
    <n v="56"/>
    <n v="50288"/>
    <x v="0"/>
    <x v="6"/>
    <n v="160455"/>
  </r>
  <r>
    <s v="ORD46"/>
    <d v="2024-05-14T00:00:00"/>
    <x v="1"/>
    <x v="2"/>
    <x v="3"/>
    <n v="122"/>
    <n v="1"/>
    <n v="123"/>
    <n v="222"/>
    <n v="43"/>
    <n v="9"/>
    <n v="874"/>
    <n v="2248"/>
    <n v="8.130081300813009E-3"/>
    <n v="8.130081300813009E-3"/>
    <n v="122"/>
    <n v="106628"/>
    <x v="1"/>
    <x v="11"/>
    <n v="2248"/>
  </r>
  <r>
    <s v="ORD47"/>
    <d v="2024-12-16T00:00:00"/>
    <x v="0"/>
    <x v="2"/>
    <x v="2"/>
    <n v="10"/>
    <n v="94"/>
    <n v="104"/>
    <n v="204"/>
    <n v="32"/>
    <n v="4"/>
    <n v="1556"/>
    <n v="1856"/>
    <n v="0.90384615384615385"/>
    <n v="0.90384615384615385"/>
    <n v="10"/>
    <n v="15560"/>
    <x v="0"/>
    <x v="0"/>
    <n v="174464"/>
  </r>
  <r>
    <s v="ORD48"/>
    <d v="2024-11-05T00:00:00"/>
    <x v="4"/>
    <x v="2"/>
    <x v="0"/>
    <n v="132"/>
    <n v="112"/>
    <n v="244"/>
    <n v="42"/>
    <n v="57"/>
    <n v="14"/>
    <n v="314"/>
    <n v="1294"/>
    <n v="0.45901639344262296"/>
    <n v="0.45901639344262296"/>
    <n v="132"/>
    <n v="41448"/>
    <x v="2"/>
    <x v="3"/>
    <n v="144928"/>
  </r>
  <r>
    <s v="ORD49"/>
    <d v="2024-03-26T00:00:00"/>
    <x v="6"/>
    <x v="1"/>
    <x v="4"/>
    <n v="87"/>
    <n v="17"/>
    <n v="104"/>
    <n v="202"/>
    <n v="64"/>
    <n v="11"/>
    <n v="259"/>
    <n v="1597"/>
    <n v="0.16346153846153846"/>
    <n v="0.16346153846153846"/>
    <n v="87"/>
    <n v="22533"/>
    <x v="1"/>
    <x v="10"/>
    <n v="27149"/>
  </r>
  <r>
    <s v="ORD50"/>
    <d v="2024-04-26T00:00:00"/>
    <x v="0"/>
    <x v="0"/>
    <x v="2"/>
    <n v="146"/>
    <n v="14"/>
    <n v="160"/>
    <n v="283"/>
    <n v="47"/>
    <n v="4"/>
    <n v="1062"/>
    <n v="1254"/>
    <n v="8.7499999999999994E-2"/>
    <n v="8.7499999999999994E-2"/>
    <n v="146"/>
    <n v="155052"/>
    <x v="1"/>
    <x v="9"/>
    <n v="17556"/>
  </r>
  <r>
    <s v="ORD51"/>
    <d v="2024-06-16T00:00:00"/>
    <x v="2"/>
    <x v="0"/>
    <x v="3"/>
    <n v="144"/>
    <n v="75"/>
    <n v="219"/>
    <n v="178"/>
    <n v="74"/>
    <n v="5"/>
    <n v="1839"/>
    <n v="2710"/>
    <n v="0.34246575342465752"/>
    <n v="0.34246575342465752"/>
    <n v="144"/>
    <n v="264816"/>
    <x v="2"/>
    <x v="7"/>
    <n v="203250"/>
  </r>
  <r>
    <s v="ORD52"/>
    <d v="2024-01-19T00:00:00"/>
    <x v="3"/>
    <x v="1"/>
    <x v="3"/>
    <n v="59"/>
    <n v="62"/>
    <n v="121"/>
    <n v="169"/>
    <n v="40"/>
    <n v="8"/>
    <n v="628"/>
    <n v="1124"/>
    <n v="0.51239669421487599"/>
    <n v="0.51239669421487599"/>
    <n v="59"/>
    <n v="37052"/>
    <x v="2"/>
    <x v="6"/>
    <n v="69688"/>
  </r>
  <r>
    <s v="ORD53"/>
    <d v="2024-02-09T00:00:00"/>
    <x v="4"/>
    <x v="0"/>
    <x v="0"/>
    <n v="88"/>
    <n v="94"/>
    <n v="182"/>
    <n v="143"/>
    <n v="38"/>
    <n v="7"/>
    <n v="683"/>
    <n v="1821"/>
    <n v="0.51648351648351654"/>
    <n v="0.51648351648351654"/>
    <n v="88"/>
    <n v="60104"/>
    <x v="2"/>
    <x v="4"/>
    <n v="171174"/>
  </r>
  <r>
    <s v="ORD54"/>
    <d v="2024-03-01T00:00:00"/>
    <x v="2"/>
    <x v="2"/>
    <x v="3"/>
    <n v="10"/>
    <n v="97"/>
    <n v="107"/>
    <n v="291"/>
    <n v="35"/>
    <n v="13"/>
    <n v="1396"/>
    <n v="1756"/>
    <n v="0.90654205607476634"/>
    <n v="0.90654205607476634"/>
    <n v="10"/>
    <n v="13960"/>
    <x v="0"/>
    <x v="10"/>
    <n v="170332"/>
  </r>
  <r>
    <s v="ORD55"/>
    <d v="2024-06-07T00:00:00"/>
    <x v="5"/>
    <x v="0"/>
    <x v="3"/>
    <n v="145"/>
    <n v="119"/>
    <n v="264"/>
    <n v="297"/>
    <n v="56"/>
    <n v="6"/>
    <n v="1281"/>
    <n v="2431"/>
    <n v="0.45075757575757575"/>
    <n v="0.45075757575757575"/>
    <n v="145"/>
    <n v="185745"/>
    <x v="2"/>
    <x v="7"/>
    <n v="289289"/>
  </r>
  <r>
    <s v="ORD56"/>
    <d v="2024-03-16T00:00:00"/>
    <x v="3"/>
    <x v="2"/>
    <x v="3"/>
    <n v="137"/>
    <n v="92"/>
    <n v="229"/>
    <n v="79"/>
    <n v="60"/>
    <n v="11"/>
    <n v="537"/>
    <n v="1905"/>
    <n v="0.40174672489082969"/>
    <n v="0.40174672489082969"/>
    <n v="137"/>
    <n v="73569"/>
    <x v="2"/>
    <x v="10"/>
    <n v="175260"/>
  </r>
  <r>
    <s v="ORD57"/>
    <d v="2024-10-10T00:00:00"/>
    <x v="1"/>
    <x v="2"/>
    <x v="1"/>
    <n v="72"/>
    <n v="90"/>
    <n v="162"/>
    <n v="208"/>
    <n v="77"/>
    <n v="10"/>
    <n v="1226"/>
    <n v="2446"/>
    <n v="0.55555555555555558"/>
    <n v="0.55555555555555558"/>
    <n v="72"/>
    <n v="88272"/>
    <x v="2"/>
    <x v="5"/>
    <n v="220140"/>
  </r>
  <r>
    <s v="ORD58"/>
    <d v="2024-12-30T00:00:00"/>
    <x v="4"/>
    <x v="1"/>
    <x v="4"/>
    <n v="27"/>
    <n v="78"/>
    <n v="105"/>
    <n v="207"/>
    <n v="52"/>
    <n v="11"/>
    <n v="696"/>
    <n v="2159"/>
    <n v="0.74285714285714288"/>
    <n v="0.74285714285714288"/>
    <n v="27"/>
    <n v="18792"/>
    <x v="0"/>
    <x v="0"/>
    <n v="168402"/>
  </r>
  <r>
    <s v="ORD59"/>
    <d v="2024-01-22T00:00:00"/>
    <x v="2"/>
    <x v="1"/>
    <x v="3"/>
    <n v="84"/>
    <n v="1"/>
    <n v="85"/>
    <n v="47"/>
    <n v="49"/>
    <n v="5"/>
    <n v="503"/>
    <n v="766"/>
    <n v="1.1764705882352941E-2"/>
    <n v="1.1764705882352941E-2"/>
    <n v="84"/>
    <n v="42252"/>
    <x v="1"/>
    <x v="6"/>
    <n v="766"/>
  </r>
  <r>
    <s v="ORD60"/>
    <d v="2024-05-09T00:00:00"/>
    <x v="7"/>
    <x v="0"/>
    <x v="3"/>
    <n v="6"/>
    <n v="108"/>
    <n v="114"/>
    <n v="257"/>
    <n v="53"/>
    <n v="4"/>
    <n v="1135"/>
    <n v="2555"/>
    <n v="0.94736842105263153"/>
    <n v="0.94736842105263153"/>
    <n v="6"/>
    <n v="6810"/>
    <x v="0"/>
    <x v="11"/>
    <n v="275940"/>
  </r>
  <r>
    <s v="ORD61"/>
    <d v="2024-01-29T00:00:00"/>
    <x v="4"/>
    <x v="1"/>
    <x v="4"/>
    <n v="43"/>
    <n v="32"/>
    <n v="75"/>
    <n v="21"/>
    <n v="74"/>
    <n v="7"/>
    <n v="527"/>
    <n v="1368"/>
    <n v="0.42666666666666669"/>
    <n v="0.42666666666666669"/>
    <n v="43"/>
    <n v="22661"/>
    <x v="2"/>
    <x v="6"/>
    <n v="43776"/>
  </r>
  <r>
    <s v="ORD62"/>
    <d v="2024-02-05T00:00:00"/>
    <x v="3"/>
    <x v="2"/>
    <x v="2"/>
    <n v="23"/>
    <n v="64"/>
    <n v="87"/>
    <n v="49"/>
    <n v="48"/>
    <n v="2"/>
    <n v="1712"/>
    <n v="3209"/>
    <n v="0.73563218390804597"/>
    <n v="0.73563218390804597"/>
    <n v="23"/>
    <n v="39376"/>
    <x v="0"/>
    <x v="4"/>
    <n v="205376"/>
  </r>
  <r>
    <s v="ORD63"/>
    <d v="2024-07-25T00:00:00"/>
    <x v="3"/>
    <x v="0"/>
    <x v="0"/>
    <n v="137"/>
    <n v="64"/>
    <n v="201"/>
    <n v="148"/>
    <n v="66"/>
    <n v="14"/>
    <n v="321"/>
    <n v="650"/>
    <n v="0.31840796019900497"/>
    <n v="0.31840796019900497"/>
    <n v="137"/>
    <n v="43977"/>
    <x v="2"/>
    <x v="2"/>
    <n v="41600"/>
  </r>
  <r>
    <s v="ORD64"/>
    <d v="2024-04-10T00:00:00"/>
    <x v="2"/>
    <x v="2"/>
    <x v="0"/>
    <n v="96"/>
    <n v="15"/>
    <n v="111"/>
    <n v="188"/>
    <n v="74"/>
    <n v="12"/>
    <n v="1109"/>
    <n v="2094"/>
    <n v="0.13513513513513514"/>
    <n v="0.13513513513513514"/>
    <n v="96"/>
    <n v="106464"/>
    <x v="1"/>
    <x v="9"/>
    <n v="31410"/>
  </r>
  <r>
    <s v="ORD65"/>
    <d v="2024-02-04T00:00:00"/>
    <x v="2"/>
    <x v="0"/>
    <x v="1"/>
    <n v="31"/>
    <n v="93"/>
    <n v="124"/>
    <n v="8"/>
    <n v="59"/>
    <n v="12"/>
    <n v="1784"/>
    <n v="2480"/>
    <n v="0.75"/>
    <n v="0.75"/>
    <n v="31"/>
    <n v="55304"/>
    <x v="0"/>
    <x v="4"/>
    <n v="230640"/>
  </r>
  <r>
    <s v="ORD66"/>
    <d v="2024-07-05T00:00:00"/>
    <x v="0"/>
    <x v="2"/>
    <x v="0"/>
    <n v="112"/>
    <n v="5"/>
    <n v="117"/>
    <n v="76"/>
    <n v="30"/>
    <n v="11"/>
    <n v="1368"/>
    <n v="2067"/>
    <n v="4.2735042735042736E-2"/>
    <n v="4.2735042735042736E-2"/>
    <n v="112"/>
    <n v="153216"/>
    <x v="1"/>
    <x v="2"/>
    <n v="10335"/>
  </r>
  <r>
    <s v="ORD67"/>
    <d v="2024-04-07T00:00:00"/>
    <x v="1"/>
    <x v="2"/>
    <x v="4"/>
    <n v="147"/>
    <n v="100"/>
    <n v="247"/>
    <n v="2"/>
    <n v="35"/>
    <n v="3"/>
    <n v="1963"/>
    <n v="3359"/>
    <n v="0.40485829959514169"/>
    <n v="0.40485829959514169"/>
    <n v="147"/>
    <n v="288561"/>
    <x v="2"/>
    <x v="9"/>
    <n v="335900"/>
  </r>
  <r>
    <s v="ORD68"/>
    <d v="2024-10-28T00:00:00"/>
    <x v="5"/>
    <x v="1"/>
    <x v="4"/>
    <n v="97"/>
    <n v="60"/>
    <n v="157"/>
    <n v="170"/>
    <n v="32"/>
    <n v="10"/>
    <n v="316"/>
    <n v="876"/>
    <n v="0.38216560509554143"/>
    <n v="0.38216560509554143"/>
    <n v="97"/>
    <n v="30652"/>
    <x v="2"/>
    <x v="5"/>
    <n v="52560"/>
  </r>
  <r>
    <s v="ORD69"/>
    <d v="2024-06-05T00:00:00"/>
    <x v="2"/>
    <x v="0"/>
    <x v="1"/>
    <n v="61"/>
    <n v="49"/>
    <n v="110"/>
    <n v="18"/>
    <n v="66"/>
    <n v="10"/>
    <n v="1761"/>
    <n v="2872"/>
    <n v="0.44545454545454544"/>
    <n v="0.44545454545454544"/>
    <n v="61"/>
    <n v="107421"/>
    <x v="2"/>
    <x v="7"/>
    <n v="140728"/>
  </r>
  <r>
    <s v="ORD70"/>
    <d v="2024-03-07T00:00:00"/>
    <x v="4"/>
    <x v="1"/>
    <x v="1"/>
    <n v="48"/>
    <n v="47"/>
    <n v="95"/>
    <n v="232"/>
    <n v="60"/>
    <n v="14"/>
    <n v="966"/>
    <n v="1255"/>
    <n v="0.49473684210526314"/>
    <n v="0.49473684210526314"/>
    <n v="48"/>
    <n v="46368"/>
    <x v="2"/>
    <x v="10"/>
    <n v="58985"/>
  </r>
  <r>
    <s v="ORD71"/>
    <d v="2024-08-10T00:00:00"/>
    <x v="7"/>
    <x v="1"/>
    <x v="1"/>
    <n v="71"/>
    <n v="87"/>
    <n v="158"/>
    <n v="71"/>
    <n v="76"/>
    <n v="11"/>
    <n v="1023"/>
    <n v="2007"/>
    <n v="0.55063291139240511"/>
    <n v="0.55063291139240511"/>
    <n v="71"/>
    <n v="72633"/>
    <x v="2"/>
    <x v="1"/>
    <n v="174609"/>
  </r>
  <r>
    <s v="ORD72"/>
    <d v="2024-01-10T00:00:00"/>
    <x v="5"/>
    <x v="1"/>
    <x v="3"/>
    <n v="34"/>
    <n v="74"/>
    <n v="108"/>
    <n v="265"/>
    <n v="48"/>
    <n v="12"/>
    <n v="660"/>
    <n v="1348"/>
    <n v="0.68518518518518523"/>
    <n v="0.68518518518518523"/>
    <n v="34"/>
    <n v="22440"/>
    <x v="0"/>
    <x v="6"/>
    <n v="99752"/>
  </r>
  <r>
    <s v="ORD73"/>
    <d v="2024-01-23T00:00:00"/>
    <x v="7"/>
    <x v="1"/>
    <x v="1"/>
    <n v="112"/>
    <n v="96"/>
    <n v="208"/>
    <n v="193"/>
    <n v="56"/>
    <n v="8"/>
    <n v="1026"/>
    <n v="2049"/>
    <n v="0.46153846153846156"/>
    <n v="0.46153846153846156"/>
    <n v="112"/>
    <n v="114912"/>
    <x v="2"/>
    <x v="6"/>
    <n v="196704"/>
  </r>
  <r>
    <s v="ORD74"/>
    <d v="2024-09-17T00:00:00"/>
    <x v="7"/>
    <x v="0"/>
    <x v="4"/>
    <n v="46"/>
    <n v="62"/>
    <n v="108"/>
    <n v="2"/>
    <n v="69"/>
    <n v="3"/>
    <n v="410"/>
    <n v="987"/>
    <n v="0.57407407407407407"/>
    <n v="0.57407407407407407"/>
    <n v="46"/>
    <n v="18860"/>
    <x v="2"/>
    <x v="8"/>
    <n v="61194"/>
  </r>
  <r>
    <s v="ORD75"/>
    <d v="2024-04-26T00:00:00"/>
    <x v="4"/>
    <x v="0"/>
    <x v="4"/>
    <n v="36"/>
    <n v="23"/>
    <n v="59"/>
    <n v="40"/>
    <n v="44"/>
    <n v="5"/>
    <n v="1785"/>
    <n v="2840"/>
    <n v="0.38983050847457629"/>
    <n v="0.38983050847457629"/>
    <n v="36"/>
    <n v="64260"/>
    <x v="2"/>
    <x v="9"/>
    <n v="65320"/>
  </r>
  <r>
    <s v="ORD76"/>
    <d v="2024-03-13T00:00:00"/>
    <x v="0"/>
    <x v="1"/>
    <x v="4"/>
    <n v="58"/>
    <n v="84"/>
    <n v="142"/>
    <n v="258"/>
    <n v="66"/>
    <n v="13"/>
    <n v="252"/>
    <n v="1275"/>
    <n v="0.59154929577464788"/>
    <n v="0.59154929577464788"/>
    <n v="58"/>
    <n v="14616"/>
    <x v="2"/>
    <x v="10"/>
    <n v="107100"/>
  </r>
  <r>
    <s v="ORD77"/>
    <d v="2024-02-15T00:00:00"/>
    <x v="4"/>
    <x v="2"/>
    <x v="3"/>
    <n v="25"/>
    <n v="42"/>
    <n v="67"/>
    <n v="184"/>
    <n v="77"/>
    <n v="10"/>
    <n v="882"/>
    <n v="1802"/>
    <n v="0.62686567164179108"/>
    <n v="0.62686567164179108"/>
    <n v="25"/>
    <n v="22050"/>
    <x v="0"/>
    <x v="4"/>
    <n v="75684"/>
  </r>
  <r>
    <s v="ORD78"/>
    <d v="2024-10-01T00:00:00"/>
    <x v="5"/>
    <x v="0"/>
    <x v="4"/>
    <n v="63"/>
    <n v="41"/>
    <n v="104"/>
    <n v="90"/>
    <n v="72"/>
    <n v="13"/>
    <n v="450"/>
    <n v="572"/>
    <n v="0.39423076923076922"/>
    <n v="0.39423076923076922"/>
    <n v="63"/>
    <n v="28350"/>
    <x v="2"/>
    <x v="5"/>
    <n v="23452"/>
  </r>
  <r>
    <s v="ORD79"/>
    <d v="2024-08-16T00:00:00"/>
    <x v="4"/>
    <x v="0"/>
    <x v="3"/>
    <n v="130"/>
    <n v="68"/>
    <n v="198"/>
    <n v="185"/>
    <n v="40"/>
    <n v="10"/>
    <n v="866"/>
    <n v="2276"/>
    <n v="0.34343434343434343"/>
    <n v="0.34343434343434343"/>
    <n v="130"/>
    <n v="112580"/>
    <x v="2"/>
    <x v="1"/>
    <n v="154768"/>
  </r>
  <r>
    <s v="ORD80"/>
    <d v="2024-03-16T00:00:00"/>
    <x v="1"/>
    <x v="2"/>
    <x v="3"/>
    <n v="12"/>
    <n v="66"/>
    <n v="78"/>
    <n v="33"/>
    <n v="38"/>
    <n v="3"/>
    <n v="767"/>
    <n v="1627"/>
    <n v="0.84615384615384615"/>
    <n v="0.84615384615384615"/>
    <n v="12"/>
    <n v="9204"/>
    <x v="0"/>
    <x v="10"/>
    <n v="107382"/>
  </r>
  <r>
    <s v="ORD81"/>
    <d v="2024-12-30T00:00:00"/>
    <x v="5"/>
    <x v="1"/>
    <x v="3"/>
    <n v="38"/>
    <n v="7"/>
    <n v="45"/>
    <n v="49"/>
    <n v="58"/>
    <n v="11"/>
    <n v="991"/>
    <n v="2483"/>
    <n v="0.15555555555555556"/>
    <n v="0.15555555555555556"/>
    <n v="38"/>
    <n v="37658"/>
    <x v="1"/>
    <x v="0"/>
    <n v="17381"/>
  </r>
  <r>
    <s v="ORD82"/>
    <d v="2024-08-06T00:00:00"/>
    <x v="4"/>
    <x v="2"/>
    <x v="0"/>
    <n v="49"/>
    <n v="4"/>
    <n v="53"/>
    <n v="18"/>
    <n v="41"/>
    <n v="9"/>
    <n v="298"/>
    <n v="432"/>
    <n v="7.5471698113207544E-2"/>
    <n v="7.5471698113207544E-2"/>
    <n v="49"/>
    <n v="14602"/>
    <x v="1"/>
    <x v="1"/>
    <n v="1728"/>
  </r>
  <r>
    <s v="ORD83"/>
    <d v="2024-11-06T00:00:00"/>
    <x v="2"/>
    <x v="1"/>
    <x v="4"/>
    <n v="107"/>
    <n v="24"/>
    <n v="131"/>
    <n v="89"/>
    <n v="46"/>
    <n v="10"/>
    <n v="855"/>
    <n v="2335"/>
    <n v="0.18320610687022901"/>
    <n v="0.18320610687022901"/>
    <n v="107"/>
    <n v="91485"/>
    <x v="1"/>
    <x v="3"/>
    <n v="56040"/>
  </r>
  <r>
    <s v="ORD84"/>
    <d v="2024-02-06T00:00:00"/>
    <x v="3"/>
    <x v="1"/>
    <x v="1"/>
    <n v="9"/>
    <n v="96"/>
    <n v="105"/>
    <n v="49"/>
    <n v="61"/>
    <n v="6"/>
    <n v="911"/>
    <n v="1909"/>
    <n v="0.91428571428571426"/>
    <n v="0.91428571428571426"/>
    <n v="9"/>
    <n v="8199"/>
    <x v="0"/>
    <x v="4"/>
    <n v="183264"/>
  </r>
  <r>
    <s v="ORD85"/>
    <d v="2024-11-08T00:00:00"/>
    <x v="2"/>
    <x v="2"/>
    <x v="1"/>
    <n v="74"/>
    <n v="120"/>
    <n v="194"/>
    <n v="24"/>
    <n v="54"/>
    <n v="5"/>
    <n v="1200"/>
    <n v="2502"/>
    <n v="0.61855670103092786"/>
    <n v="0.61855670103092786"/>
    <n v="74"/>
    <n v="88800"/>
    <x v="0"/>
    <x v="3"/>
    <n v="300240"/>
  </r>
  <r>
    <s v="ORD86"/>
    <d v="2024-07-20T00:00:00"/>
    <x v="0"/>
    <x v="2"/>
    <x v="1"/>
    <n v="119"/>
    <n v="61"/>
    <n v="180"/>
    <n v="271"/>
    <n v="33"/>
    <n v="10"/>
    <n v="772"/>
    <n v="1790"/>
    <n v="0.33888888888888891"/>
    <n v="0.33888888888888891"/>
    <n v="119"/>
    <n v="91868"/>
    <x v="2"/>
    <x v="2"/>
    <n v="109190"/>
  </r>
  <r>
    <s v="ORD87"/>
    <d v="2024-06-11T00:00:00"/>
    <x v="7"/>
    <x v="2"/>
    <x v="1"/>
    <n v="113"/>
    <n v="65"/>
    <n v="178"/>
    <n v="62"/>
    <n v="73"/>
    <n v="3"/>
    <n v="226"/>
    <n v="847"/>
    <n v="0.3651685393258427"/>
    <n v="0.3651685393258427"/>
    <n v="113"/>
    <n v="25538"/>
    <x v="2"/>
    <x v="7"/>
    <n v="55055"/>
  </r>
  <r>
    <s v="ORD88"/>
    <d v="2024-05-31T00:00:00"/>
    <x v="1"/>
    <x v="0"/>
    <x v="0"/>
    <n v="51"/>
    <n v="81"/>
    <n v="132"/>
    <n v="93"/>
    <n v="38"/>
    <n v="6"/>
    <n v="1075"/>
    <n v="2413"/>
    <n v="0.61363636363636365"/>
    <n v="0.61363636363636365"/>
    <n v="51"/>
    <n v="54825"/>
    <x v="0"/>
    <x v="11"/>
    <n v="195453"/>
  </r>
  <r>
    <s v="ORD89"/>
    <d v="2024-11-17T00:00:00"/>
    <x v="6"/>
    <x v="0"/>
    <x v="3"/>
    <s v="Not Available"/>
    <n v="17"/>
    <s v="-"/>
    <n v="235"/>
    <n v="73"/>
    <n v="5"/>
    <n v="1992"/>
    <n v="2468"/>
    <e v="#VALUE!"/>
    <s v="incomplete"/>
    <s v="Not Available"/>
    <n v="0"/>
    <x v="0"/>
    <x v="3"/>
    <n v="41956"/>
  </r>
  <r>
    <s v="ORD90"/>
    <d v="2024-01-16T00:00:00"/>
    <x v="1"/>
    <x v="2"/>
    <x v="0"/>
    <n v="125"/>
    <n v="88"/>
    <n v="213"/>
    <n v="26"/>
    <n v="64"/>
    <n v="6"/>
    <n v="1621"/>
    <n v="2932"/>
    <n v="0.41314553990610331"/>
    <n v="0.41314553990610331"/>
    <n v="125"/>
    <n v="202625"/>
    <x v="2"/>
    <x v="6"/>
    <n v="258016"/>
  </r>
  <r>
    <s v="ORD91"/>
    <d v="2024-07-30T00:00:00"/>
    <x v="4"/>
    <x v="2"/>
    <x v="1"/>
    <n v="70"/>
    <n v="74"/>
    <n v="144"/>
    <n v="205"/>
    <n v="80"/>
    <n v="5"/>
    <n v="1358"/>
    <n v="1792"/>
    <n v="0.51388888888888884"/>
    <n v="0.51388888888888884"/>
    <n v="70"/>
    <n v="95060"/>
    <x v="2"/>
    <x v="2"/>
    <n v="132608"/>
  </r>
  <r>
    <s v="ORD92"/>
    <d v="2024-01-04T00:00:00"/>
    <x v="0"/>
    <x v="0"/>
    <x v="4"/>
    <n v="141"/>
    <n v="30"/>
    <n v="171"/>
    <n v="37"/>
    <n v="67"/>
    <n v="9"/>
    <n v="1746"/>
    <n v="2123"/>
    <n v="0.17543859649122806"/>
    <n v="0.17543859649122806"/>
    <n v="141"/>
    <n v="246186"/>
    <x v="1"/>
    <x v="6"/>
    <n v="63690"/>
  </r>
  <r>
    <s v="ORD93"/>
    <d v="2024-07-06T00:00:00"/>
    <x v="5"/>
    <x v="0"/>
    <x v="3"/>
    <n v="49"/>
    <n v="31"/>
    <n v="80"/>
    <n v="7"/>
    <n v="35"/>
    <n v="12"/>
    <n v="1228"/>
    <n v="2132"/>
    <n v="0.38750000000000001"/>
    <n v="0.38750000000000001"/>
    <n v="49"/>
    <n v="60172"/>
    <x v="2"/>
    <x v="2"/>
    <n v="66092"/>
  </r>
  <r>
    <s v="ORD94"/>
    <d v="2024-07-15T00:00:00"/>
    <x v="6"/>
    <x v="2"/>
    <x v="1"/>
    <n v="28"/>
    <n v="74"/>
    <n v="102"/>
    <n v="2"/>
    <n v="45"/>
    <n v="11"/>
    <n v="600"/>
    <n v="1986"/>
    <n v="0.72549019607843135"/>
    <n v="0.72549019607843135"/>
    <n v="28"/>
    <n v="16800"/>
    <x v="0"/>
    <x v="2"/>
    <n v="146964"/>
  </r>
  <r>
    <s v="ORD95"/>
    <d v="2024-01-18T00:00:00"/>
    <x v="0"/>
    <x v="2"/>
    <x v="4"/>
    <n v="72"/>
    <n v="4"/>
    <n v="76"/>
    <n v="286"/>
    <n v="73"/>
    <n v="12"/>
    <n v="257"/>
    <n v="1490"/>
    <n v="5.2631578947368418E-2"/>
    <n v="5.2631578947368418E-2"/>
    <n v="72"/>
    <n v="18504"/>
    <x v="1"/>
    <x v="6"/>
    <n v="5960"/>
  </r>
  <r>
    <s v="ORD96"/>
    <d v="2024-10-22T00:00:00"/>
    <x v="5"/>
    <x v="1"/>
    <x v="0"/>
    <n v="113"/>
    <n v="58"/>
    <n v="171"/>
    <n v="199"/>
    <n v="49"/>
    <n v="7"/>
    <n v="1251"/>
    <n v="1701"/>
    <n v="0.33918128654970758"/>
    <n v="0.33918128654970758"/>
    <n v="113"/>
    <n v="141363"/>
    <x v="2"/>
    <x v="5"/>
    <n v="98658"/>
  </r>
  <r>
    <s v="ORD97"/>
    <d v="2024-12-04T00:00:00"/>
    <x v="7"/>
    <x v="0"/>
    <x v="3"/>
    <n v="82"/>
    <n v="50"/>
    <n v="132"/>
    <n v="255"/>
    <n v="39"/>
    <n v="7"/>
    <n v="1046"/>
    <n v="2109"/>
    <n v="0.37878787878787878"/>
    <n v="0.37878787878787878"/>
    <n v="82"/>
    <n v="85772"/>
    <x v="2"/>
    <x v="0"/>
    <n v="105450"/>
  </r>
  <r>
    <s v="ORD98"/>
    <d v="2024-05-30T00:00:00"/>
    <x v="3"/>
    <x v="0"/>
    <x v="1"/>
    <n v="139"/>
    <n v="4"/>
    <n v="143"/>
    <n v="204"/>
    <n v="44"/>
    <n v="14"/>
    <n v="1343"/>
    <n v="1898"/>
    <n v="2.7972027972027972E-2"/>
    <n v="2.7972027972027972E-2"/>
    <n v="139"/>
    <n v="186677"/>
    <x v="1"/>
    <x v="11"/>
    <n v="7592"/>
  </r>
  <r>
    <s v="ORD99"/>
    <d v="2024-03-23T00:00:00"/>
    <x v="5"/>
    <x v="0"/>
    <x v="4"/>
    <n v="48"/>
    <n v="74"/>
    <n v="122"/>
    <n v="155"/>
    <n v="37"/>
    <n v="10"/>
    <n v="908"/>
    <n v="2375"/>
    <n v="0.60655737704918034"/>
    <n v="0.60655737704918034"/>
    <n v="48"/>
    <n v="43584"/>
    <x v="0"/>
    <x v="10"/>
    <n v="175750"/>
  </r>
  <r>
    <s v="ORD100"/>
    <d v="2024-09-20T00:00:00"/>
    <x v="6"/>
    <x v="2"/>
    <x v="3"/>
    <n v="28"/>
    <n v="4"/>
    <n v="32"/>
    <n v="278"/>
    <n v="62"/>
    <n v="11"/>
    <n v="1495"/>
    <n v="1908"/>
    <n v="0.125"/>
    <n v="0.125"/>
    <n v="28"/>
    <n v="41860"/>
    <x v="1"/>
    <x v="8"/>
    <n v="7632"/>
  </r>
  <r>
    <s v="ORD101"/>
    <d v="2024-07-26T00:00:00"/>
    <x v="4"/>
    <x v="1"/>
    <x v="4"/>
    <n v="27"/>
    <n v="89"/>
    <n v="116"/>
    <n v="54"/>
    <n v="72"/>
    <n v="11"/>
    <n v="1122"/>
    <n v="1755"/>
    <n v="0.76724137931034486"/>
    <n v="0.76724137931034486"/>
    <n v="27"/>
    <n v="30294"/>
    <x v="0"/>
    <x v="2"/>
    <n v="156195"/>
  </r>
  <r>
    <s v="ORD102"/>
    <d v="2024-11-24T00:00:00"/>
    <x v="6"/>
    <x v="2"/>
    <x v="0"/>
    <n v="79"/>
    <n v="15"/>
    <n v="94"/>
    <n v="191"/>
    <n v="32"/>
    <n v="6"/>
    <n v="963"/>
    <n v="2172"/>
    <n v="0.15957446808510639"/>
    <n v="0.15957446808510639"/>
    <n v="79"/>
    <n v="76077"/>
    <x v="1"/>
    <x v="3"/>
    <n v="32580"/>
  </r>
  <r>
    <s v="ORD103"/>
    <d v="2024-06-24T00:00:00"/>
    <x v="4"/>
    <x v="2"/>
    <x v="0"/>
    <n v="13"/>
    <n v="71"/>
    <n v="84"/>
    <n v="187"/>
    <n v="48"/>
    <n v="2"/>
    <n v="1686"/>
    <n v="2263"/>
    <n v="0.84523809523809523"/>
    <n v="0.84523809523809523"/>
    <n v="13"/>
    <n v="21918"/>
    <x v="0"/>
    <x v="7"/>
    <n v="160673"/>
  </r>
  <r>
    <s v="ORD104"/>
    <d v="2024-10-04T00:00:00"/>
    <x v="5"/>
    <x v="2"/>
    <x v="4"/>
    <n v="84"/>
    <n v="66"/>
    <n v="150"/>
    <n v="154"/>
    <n v="72"/>
    <n v="12"/>
    <n v="1970"/>
    <n v="3221"/>
    <n v="0.44"/>
    <n v="0.44"/>
    <n v="84"/>
    <n v="165480"/>
    <x v="2"/>
    <x v="5"/>
    <n v="212586"/>
  </r>
  <r>
    <s v="ORD105"/>
    <d v="2024-08-29T00:00:00"/>
    <x v="0"/>
    <x v="2"/>
    <x v="2"/>
    <n v="67"/>
    <n v="8"/>
    <n v="75"/>
    <n v="48"/>
    <n v="64"/>
    <n v="8"/>
    <n v="517"/>
    <n v="1957"/>
    <n v="0.10666666666666667"/>
    <n v="0.10666666666666667"/>
    <n v="67"/>
    <n v="34639"/>
    <x v="1"/>
    <x v="1"/>
    <n v="15656"/>
  </r>
  <r>
    <s v="ORD106"/>
    <d v="2024-11-08T00:00:00"/>
    <x v="0"/>
    <x v="1"/>
    <x v="3"/>
    <n v="28"/>
    <n v="111"/>
    <n v="139"/>
    <n v="185"/>
    <n v="45"/>
    <n v="8"/>
    <n v="272"/>
    <n v="907"/>
    <n v="0.79856115107913672"/>
    <n v="0.79856115107913672"/>
    <n v="28"/>
    <n v="7616"/>
    <x v="0"/>
    <x v="3"/>
    <n v="100677"/>
  </r>
  <r>
    <s v="ORD107"/>
    <d v="2024-12-18T00:00:00"/>
    <x v="2"/>
    <x v="0"/>
    <x v="4"/>
    <n v="47"/>
    <n v="51"/>
    <n v="98"/>
    <n v="108"/>
    <n v="41"/>
    <n v="3"/>
    <n v="1905"/>
    <n v="2527"/>
    <n v="0.52040816326530615"/>
    <n v="0.52040816326530615"/>
    <n v="47"/>
    <n v="89535"/>
    <x v="2"/>
    <x v="0"/>
    <n v="128877"/>
  </r>
  <r>
    <s v="ORD108"/>
    <d v="2024-12-17T00:00:00"/>
    <x v="1"/>
    <x v="1"/>
    <x v="1"/>
    <n v="25"/>
    <n v="97"/>
    <n v="122"/>
    <n v="134"/>
    <n v="55"/>
    <n v="4"/>
    <n v="1891"/>
    <n v="3233"/>
    <n v="0.79508196721311475"/>
    <n v="0.79508196721311475"/>
    <n v="25"/>
    <n v="47275"/>
    <x v="0"/>
    <x v="0"/>
    <n v="313601"/>
  </r>
  <r>
    <s v="ORD109"/>
    <d v="2024-12-22T00:00:00"/>
    <x v="1"/>
    <x v="1"/>
    <x v="4"/>
    <n v="37"/>
    <n v="39"/>
    <n v="76"/>
    <n v="53"/>
    <n v="70"/>
    <n v="3"/>
    <n v="625"/>
    <n v="1373"/>
    <n v="0.51315789473684215"/>
    <n v="0.51315789473684215"/>
    <n v="37"/>
    <n v="23125"/>
    <x v="2"/>
    <x v="0"/>
    <n v="53547"/>
  </r>
  <r>
    <s v="ORD110"/>
    <d v="2024-07-16T00:00:00"/>
    <x v="0"/>
    <x v="1"/>
    <x v="0"/>
    <n v="35"/>
    <n v="27"/>
    <n v="62"/>
    <n v="118"/>
    <n v="77"/>
    <n v="13"/>
    <n v="1896"/>
    <n v="2237"/>
    <n v="0.43548387096774194"/>
    <n v="0.43548387096774194"/>
    <n v="35"/>
    <n v="66360"/>
    <x v="2"/>
    <x v="2"/>
    <n v="60399"/>
  </r>
  <r>
    <s v="ORD111"/>
    <d v="2024-08-03T00:00:00"/>
    <x v="3"/>
    <x v="0"/>
    <x v="0"/>
    <n v="23"/>
    <n v="69"/>
    <n v="92"/>
    <n v="185"/>
    <n v="38"/>
    <n v="9"/>
    <n v="240"/>
    <n v="522"/>
    <n v="0.75"/>
    <n v="0.75"/>
    <n v="23"/>
    <n v="5520"/>
    <x v="0"/>
    <x v="1"/>
    <n v="36018"/>
  </r>
  <r>
    <s v="ORD112"/>
    <d v="2024-11-03T00:00:00"/>
    <x v="2"/>
    <x v="1"/>
    <x v="4"/>
    <n v="20"/>
    <n v="88"/>
    <n v="108"/>
    <n v="166"/>
    <n v="68"/>
    <n v="3"/>
    <n v="1207"/>
    <n v="1635"/>
    <n v="0.81481481481481477"/>
    <n v="0.81481481481481477"/>
    <n v="20"/>
    <n v="24140"/>
    <x v="0"/>
    <x v="3"/>
    <n v="143880"/>
  </r>
  <r>
    <s v="ORD113"/>
    <d v="2024-10-19T00:00:00"/>
    <x v="2"/>
    <x v="0"/>
    <x v="3"/>
    <n v="131"/>
    <n v="98"/>
    <n v="229"/>
    <n v="27"/>
    <n v="75"/>
    <n v="12"/>
    <n v="1800"/>
    <n v="2278"/>
    <n v="0.42794759825327511"/>
    <n v="0.42794759825327511"/>
    <n v="131"/>
    <n v="235800"/>
    <x v="2"/>
    <x v="5"/>
    <n v="223244"/>
  </r>
  <r>
    <s v="ORD114"/>
    <d v="2024-04-19T00:00:00"/>
    <x v="6"/>
    <x v="0"/>
    <x v="3"/>
    <n v="87"/>
    <n v="49"/>
    <n v="136"/>
    <n v="19"/>
    <n v="75"/>
    <n v="11"/>
    <n v="1067"/>
    <n v="1408"/>
    <n v="0.36029411764705882"/>
    <n v="0.36029411764705882"/>
    <n v="87"/>
    <n v="92829"/>
    <x v="2"/>
    <x v="9"/>
    <n v="68992"/>
  </r>
  <r>
    <s v="ORD115"/>
    <d v="2024-09-13T00:00:00"/>
    <x v="3"/>
    <x v="0"/>
    <x v="4"/>
    <n v="96"/>
    <n v="60"/>
    <n v="156"/>
    <n v="164"/>
    <n v="44"/>
    <n v="12"/>
    <n v="1279"/>
    <n v="2452"/>
    <n v="0.38461538461538464"/>
    <n v="0.38461538461538464"/>
    <n v="96"/>
    <n v="122784"/>
    <x v="2"/>
    <x v="8"/>
    <n v="147120"/>
  </r>
  <r>
    <s v="ORD116"/>
    <d v="2024-04-20T00:00:00"/>
    <x v="4"/>
    <x v="2"/>
    <x v="2"/>
    <n v="140"/>
    <n v="93"/>
    <n v="233"/>
    <n v="270"/>
    <n v="30"/>
    <n v="11"/>
    <n v="1853"/>
    <n v="3252"/>
    <n v="0.39914163090128757"/>
    <n v="0.39914163090128757"/>
    <n v="140"/>
    <n v="259420"/>
    <x v="2"/>
    <x v="9"/>
    <n v="302436"/>
  </r>
  <r>
    <s v="ORD117"/>
    <d v="2024-05-04T00:00:00"/>
    <x v="4"/>
    <x v="1"/>
    <x v="1"/>
    <n v="28"/>
    <n v="92"/>
    <n v="120"/>
    <n v="131"/>
    <n v="39"/>
    <n v="9"/>
    <n v="1193"/>
    <n v="1349"/>
    <n v="0.76666666666666672"/>
    <n v="0.76666666666666672"/>
    <n v="28"/>
    <n v="33404"/>
    <x v="0"/>
    <x v="11"/>
    <n v="124108"/>
  </r>
  <r>
    <s v="ORD118"/>
    <d v="2024-10-19T00:00:00"/>
    <x v="1"/>
    <x v="2"/>
    <x v="4"/>
    <n v="33"/>
    <n v="19"/>
    <n v="52"/>
    <n v="109"/>
    <n v="50"/>
    <n v="2"/>
    <n v="1695"/>
    <n v="2874"/>
    <n v="0.36538461538461536"/>
    <n v="0.36538461538461536"/>
    <n v="33"/>
    <n v="55935"/>
    <x v="2"/>
    <x v="5"/>
    <n v="54606"/>
  </r>
  <r>
    <s v="ORD119"/>
    <d v="2024-07-20T00:00:00"/>
    <x v="2"/>
    <x v="1"/>
    <x v="0"/>
    <n v="126"/>
    <n v="79"/>
    <n v="205"/>
    <n v="11"/>
    <n v="36"/>
    <n v="3"/>
    <n v="527"/>
    <n v="1846"/>
    <n v="0.38536585365853659"/>
    <n v="0.38536585365853659"/>
    <n v="126"/>
    <n v="66402"/>
    <x v="2"/>
    <x v="2"/>
    <n v="145834"/>
  </r>
  <r>
    <s v="ORD120"/>
    <d v="2024-04-23T00:00:00"/>
    <x v="7"/>
    <x v="1"/>
    <x v="4"/>
    <n v="42"/>
    <n v="46"/>
    <n v="88"/>
    <n v="238"/>
    <n v="43"/>
    <n v="15"/>
    <n v="493"/>
    <n v="1309"/>
    <n v="0.52272727272727271"/>
    <n v="0.52272727272727271"/>
    <n v="42"/>
    <n v="20706"/>
    <x v="2"/>
    <x v="9"/>
    <n v="60214"/>
  </r>
  <r>
    <s v="ORD121"/>
    <d v="2024-08-05T00:00:00"/>
    <x v="2"/>
    <x v="2"/>
    <x v="3"/>
    <n v="66"/>
    <n v="89"/>
    <n v="155"/>
    <n v="117"/>
    <n v="43"/>
    <n v="7"/>
    <n v="1580"/>
    <n v="1969"/>
    <n v="0.5741935483870968"/>
    <n v="0.5741935483870968"/>
    <n v="66"/>
    <n v="104280"/>
    <x v="2"/>
    <x v="1"/>
    <n v="175241"/>
  </r>
  <r>
    <s v="ORD122"/>
    <d v="2024-05-27T00:00:00"/>
    <x v="4"/>
    <x v="2"/>
    <x v="2"/>
    <n v="76"/>
    <n v="70"/>
    <n v="146"/>
    <n v="98"/>
    <n v="48"/>
    <n v="12"/>
    <n v="765"/>
    <n v="1661"/>
    <n v="0.47945205479452052"/>
    <n v="0.47945205479452052"/>
    <n v="76"/>
    <n v="58140"/>
    <x v="2"/>
    <x v="11"/>
    <n v="116270"/>
  </r>
  <r>
    <s v="ORD123"/>
    <d v="2024-04-15T00:00:00"/>
    <x v="5"/>
    <x v="0"/>
    <x v="0"/>
    <s v="Not Available"/>
    <n v="111"/>
    <s v="-"/>
    <n v="69"/>
    <n v="70"/>
    <n v="11"/>
    <n v="232"/>
    <n v="976"/>
    <e v="#VALUE!"/>
    <s v="incomplete"/>
    <s v="Not Available"/>
    <n v="0"/>
    <x v="0"/>
    <x v="9"/>
    <n v="108336"/>
  </r>
  <r>
    <s v="ORD124"/>
    <d v="2024-03-26T00:00:00"/>
    <x v="3"/>
    <x v="2"/>
    <x v="4"/>
    <n v="16"/>
    <n v="38"/>
    <n v="54"/>
    <n v="96"/>
    <n v="78"/>
    <n v="12"/>
    <n v="1564"/>
    <n v="2283"/>
    <n v="0.70370370370370372"/>
    <n v="0.70370370370370372"/>
    <n v="16"/>
    <n v="25024"/>
    <x v="0"/>
    <x v="10"/>
    <n v="86754"/>
  </r>
  <r>
    <s v="ORD125"/>
    <d v="2024-08-22T00:00:00"/>
    <x v="2"/>
    <x v="2"/>
    <x v="3"/>
    <n v="39"/>
    <n v="50"/>
    <n v="89"/>
    <n v="228"/>
    <n v="73"/>
    <n v="13"/>
    <n v="1727"/>
    <n v="2762"/>
    <n v="0.5617977528089888"/>
    <n v="0.5617977528089888"/>
    <n v="39"/>
    <n v="67353"/>
    <x v="2"/>
    <x v="1"/>
    <n v="138100"/>
  </r>
  <r>
    <s v="ORD126"/>
    <d v="2024-01-28T00:00:00"/>
    <x v="0"/>
    <x v="2"/>
    <x v="4"/>
    <n v="114"/>
    <n v="67"/>
    <n v="181"/>
    <n v="43"/>
    <n v="32"/>
    <n v="13"/>
    <n v="843"/>
    <n v="1460"/>
    <n v="0.37016574585635359"/>
    <n v="0.37016574585635359"/>
    <n v="114"/>
    <n v="96102"/>
    <x v="2"/>
    <x v="6"/>
    <n v="97820"/>
  </r>
  <r>
    <s v="ORD127"/>
    <d v="2024-11-25T00:00:00"/>
    <x v="7"/>
    <x v="2"/>
    <x v="1"/>
    <n v="36"/>
    <n v="85"/>
    <n v="121"/>
    <n v="226"/>
    <n v="43"/>
    <n v="11"/>
    <n v="1414"/>
    <n v="2174"/>
    <n v="0.7024793388429752"/>
    <n v="0.7024793388429752"/>
    <n v="36"/>
    <n v="50904"/>
    <x v="0"/>
    <x v="3"/>
    <n v="184790"/>
  </r>
  <r>
    <s v="ORD128"/>
    <d v="2024-05-09T00:00:00"/>
    <x v="6"/>
    <x v="0"/>
    <x v="0"/>
    <s v="Not Available"/>
    <n v="15"/>
    <s v="-"/>
    <n v="142"/>
    <n v="33"/>
    <n v="3"/>
    <n v="1423"/>
    <n v="1562"/>
    <e v="#VALUE!"/>
    <s v="incomplete"/>
    <s v="Not Available"/>
    <n v="0"/>
    <x v="0"/>
    <x v="11"/>
    <n v="23430"/>
  </r>
  <r>
    <s v="ORD129"/>
    <d v="2024-06-24T00:00:00"/>
    <x v="0"/>
    <x v="1"/>
    <x v="3"/>
    <n v="14"/>
    <n v="77"/>
    <n v="91"/>
    <n v="106"/>
    <n v="74"/>
    <n v="6"/>
    <n v="420"/>
    <n v="1659"/>
    <n v="0.84615384615384615"/>
    <n v="0.84615384615384615"/>
    <n v="14"/>
    <n v="5880"/>
    <x v="0"/>
    <x v="7"/>
    <n v="127743"/>
  </r>
  <r>
    <s v="ORD130"/>
    <d v="2024-06-29T00:00:00"/>
    <x v="3"/>
    <x v="1"/>
    <x v="3"/>
    <n v="77"/>
    <n v="23"/>
    <n v="100"/>
    <n v="125"/>
    <n v="55"/>
    <n v="12"/>
    <n v="945"/>
    <n v="1446"/>
    <n v="0.23"/>
    <n v="0.23"/>
    <n v="77"/>
    <n v="72765"/>
    <x v="1"/>
    <x v="7"/>
    <n v="33258"/>
  </r>
  <r>
    <s v="ORD131"/>
    <d v="2024-03-22T00:00:00"/>
    <x v="7"/>
    <x v="0"/>
    <x v="3"/>
    <n v="88"/>
    <n v="67"/>
    <n v="155"/>
    <n v="197"/>
    <n v="62"/>
    <n v="2"/>
    <n v="255"/>
    <n v="1224"/>
    <n v="0.43225806451612903"/>
    <n v="0.43225806451612903"/>
    <n v="88"/>
    <n v="22440"/>
    <x v="2"/>
    <x v="10"/>
    <n v="82008"/>
  </r>
  <r>
    <s v="ORD132"/>
    <d v="2024-06-13T00:00:00"/>
    <x v="5"/>
    <x v="0"/>
    <x v="0"/>
    <n v="23"/>
    <n v="86"/>
    <n v="109"/>
    <n v="167"/>
    <n v="39"/>
    <n v="3"/>
    <n v="1248"/>
    <n v="2332"/>
    <n v="0.78899082568807344"/>
    <n v="0.78899082568807344"/>
    <n v="23"/>
    <n v="28704"/>
    <x v="0"/>
    <x v="7"/>
    <n v="200552"/>
  </r>
  <r>
    <s v="ORD133"/>
    <d v="2024-04-21T00:00:00"/>
    <x v="1"/>
    <x v="2"/>
    <x v="4"/>
    <s v="Not Available"/>
    <n v="54"/>
    <s v="-"/>
    <n v="273"/>
    <n v="32"/>
    <n v="4"/>
    <n v="1728"/>
    <n v="1885"/>
    <e v="#VALUE!"/>
    <s v="incomplete"/>
    <s v="Not Available"/>
    <n v="0"/>
    <x v="0"/>
    <x v="9"/>
    <n v="101790"/>
  </r>
  <r>
    <s v="ORD134"/>
    <d v="2024-02-03T00:00:00"/>
    <x v="2"/>
    <x v="1"/>
    <x v="0"/>
    <n v="73"/>
    <n v="32"/>
    <n v="105"/>
    <n v="34"/>
    <n v="77"/>
    <n v="14"/>
    <n v="1334"/>
    <n v="2830"/>
    <n v="0.30476190476190479"/>
    <n v="0.30476190476190479"/>
    <n v="73"/>
    <n v="97382"/>
    <x v="2"/>
    <x v="4"/>
    <n v="90560"/>
  </r>
  <r>
    <s v="ORD135"/>
    <d v="2024-01-16T00:00:00"/>
    <x v="5"/>
    <x v="2"/>
    <x v="1"/>
    <s v="Not Available"/>
    <n v="77"/>
    <s v="-"/>
    <n v="43"/>
    <n v="79"/>
    <n v="5"/>
    <n v="1605"/>
    <n v="2087"/>
    <e v="#VALUE!"/>
    <s v="incomplete"/>
    <s v="Not Available"/>
    <n v="0"/>
    <x v="0"/>
    <x v="6"/>
    <n v="160699"/>
  </r>
  <r>
    <s v="ORD136"/>
    <d v="2024-10-04T00:00:00"/>
    <x v="5"/>
    <x v="2"/>
    <x v="0"/>
    <n v="137"/>
    <n v="22"/>
    <n v="159"/>
    <n v="23"/>
    <n v="61"/>
    <n v="2"/>
    <n v="1822"/>
    <n v="3022"/>
    <n v="0.13836477987421383"/>
    <n v="0.13836477987421383"/>
    <n v="137"/>
    <n v="249614"/>
    <x v="1"/>
    <x v="5"/>
    <n v="66484"/>
  </r>
  <r>
    <s v="ORD137"/>
    <d v="2024-04-30T00:00:00"/>
    <x v="6"/>
    <x v="0"/>
    <x v="4"/>
    <n v="71"/>
    <n v="59"/>
    <n v="130"/>
    <n v="180"/>
    <n v="55"/>
    <n v="4"/>
    <n v="409"/>
    <n v="878"/>
    <n v="0.45384615384615384"/>
    <n v="0.45384615384615384"/>
    <n v="71"/>
    <n v="29039"/>
    <x v="2"/>
    <x v="9"/>
    <n v="51802"/>
  </r>
  <r>
    <s v="ORD138"/>
    <d v="2024-06-11T00:00:00"/>
    <x v="5"/>
    <x v="2"/>
    <x v="3"/>
    <n v="48"/>
    <n v="38"/>
    <n v="86"/>
    <n v="160"/>
    <n v="34"/>
    <n v="14"/>
    <n v="676"/>
    <n v="2023"/>
    <n v="0.44186046511627908"/>
    <n v="0.44186046511627908"/>
    <n v="48"/>
    <n v="32448"/>
    <x v="2"/>
    <x v="7"/>
    <n v="76874"/>
  </r>
  <r>
    <s v="ORD139"/>
    <d v="2024-03-05T00:00:00"/>
    <x v="2"/>
    <x v="1"/>
    <x v="3"/>
    <n v="84"/>
    <n v="76"/>
    <n v="160"/>
    <n v="224"/>
    <n v="75"/>
    <n v="11"/>
    <n v="529"/>
    <n v="1606"/>
    <n v="0.47499999999999998"/>
    <n v="0.47499999999999998"/>
    <n v="84"/>
    <n v="44436"/>
    <x v="2"/>
    <x v="10"/>
    <n v="122056"/>
  </r>
  <r>
    <s v="ORD140"/>
    <d v="2024-11-03T00:00:00"/>
    <x v="3"/>
    <x v="2"/>
    <x v="0"/>
    <n v="47"/>
    <n v="84"/>
    <n v="131"/>
    <n v="262"/>
    <n v="30"/>
    <n v="13"/>
    <n v="1777"/>
    <n v="3007"/>
    <n v="0.64122137404580148"/>
    <n v="0.64122137404580148"/>
    <n v="47"/>
    <n v="83519"/>
    <x v="0"/>
    <x v="3"/>
    <n v="252588"/>
  </r>
  <r>
    <s v="ORD141"/>
    <d v="2024-02-13T00:00:00"/>
    <x v="6"/>
    <x v="0"/>
    <x v="4"/>
    <n v="136"/>
    <n v="71"/>
    <n v="207"/>
    <n v="130"/>
    <n v="76"/>
    <n v="15"/>
    <n v="1168"/>
    <n v="1733"/>
    <n v="0.34299516908212563"/>
    <n v="0.34299516908212563"/>
    <n v="136"/>
    <n v="158848"/>
    <x v="2"/>
    <x v="4"/>
    <n v="123043"/>
  </r>
  <r>
    <s v="ORD142"/>
    <d v="2024-12-20T00:00:00"/>
    <x v="1"/>
    <x v="2"/>
    <x v="3"/>
    <n v="42"/>
    <n v="47"/>
    <n v="89"/>
    <n v="154"/>
    <n v="75"/>
    <n v="3"/>
    <n v="1875"/>
    <n v="2179"/>
    <n v="0.5280898876404494"/>
    <n v="0.5280898876404494"/>
    <n v="42"/>
    <n v="78750"/>
    <x v="2"/>
    <x v="0"/>
    <n v="102413"/>
  </r>
  <r>
    <s v="ORD143"/>
    <d v="2024-06-11T00:00:00"/>
    <x v="3"/>
    <x v="0"/>
    <x v="0"/>
    <n v="27"/>
    <n v="44"/>
    <n v="71"/>
    <n v="233"/>
    <n v="56"/>
    <n v="4"/>
    <n v="1734"/>
    <n v="2468"/>
    <n v="0.61971830985915488"/>
    <n v="0.61971830985915488"/>
    <n v="27"/>
    <n v="46818"/>
    <x v="0"/>
    <x v="7"/>
    <n v="108592"/>
  </r>
  <r>
    <s v="ORD144"/>
    <d v="2024-03-11T00:00:00"/>
    <x v="4"/>
    <x v="0"/>
    <x v="1"/>
    <n v="74"/>
    <n v="29"/>
    <n v="103"/>
    <n v="151"/>
    <n v="79"/>
    <n v="11"/>
    <n v="1707"/>
    <n v="3043"/>
    <n v="0.28155339805825241"/>
    <n v="0.28155339805825241"/>
    <n v="74"/>
    <n v="126318"/>
    <x v="1"/>
    <x v="10"/>
    <n v="88247"/>
  </r>
  <r>
    <s v="ORD145"/>
    <d v="2024-07-12T00:00:00"/>
    <x v="3"/>
    <x v="1"/>
    <x v="3"/>
    <n v="30"/>
    <n v="108"/>
    <n v="138"/>
    <n v="199"/>
    <n v="52"/>
    <n v="7"/>
    <n v="908"/>
    <n v="1596"/>
    <n v="0.78260869565217395"/>
    <n v="0.78260869565217395"/>
    <n v="30"/>
    <n v="27240"/>
    <x v="0"/>
    <x v="2"/>
    <n v="172368"/>
  </r>
  <r>
    <s v="ORD146"/>
    <d v="2024-05-09T00:00:00"/>
    <x v="4"/>
    <x v="2"/>
    <x v="1"/>
    <n v="39"/>
    <n v="69"/>
    <n v="108"/>
    <n v="6"/>
    <n v="65"/>
    <n v="3"/>
    <n v="859"/>
    <n v="2351"/>
    <n v="0.63888888888888884"/>
    <n v="0.63888888888888884"/>
    <n v="39"/>
    <n v="33501"/>
    <x v="0"/>
    <x v="11"/>
    <n v="162219"/>
  </r>
  <r>
    <s v="ORD147"/>
    <d v="2024-06-19T00:00:00"/>
    <x v="0"/>
    <x v="1"/>
    <x v="1"/>
    <n v="67"/>
    <n v="53"/>
    <n v="120"/>
    <n v="211"/>
    <n v="36"/>
    <n v="9"/>
    <n v="572"/>
    <n v="793"/>
    <n v="0.44166666666666665"/>
    <n v="0.44166666666666665"/>
    <n v="67"/>
    <n v="38324"/>
    <x v="2"/>
    <x v="7"/>
    <n v="42029"/>
  </r>
  <r>
    <s v="ORD148"/>
    <d v="2024-09-28T00:00:00"/>
    <x v="3"/>
    <x v="0"/>
    <x v="1"/>
    <n v="9"/>
    <n v="10"/>
    <n v="19"/>
    <n v="141"/>
    <n v="37"/>
    <n v="7"/>
    <n v="1196"/>
    <n v="1797"/>
    <n v="0.52631578947368418"/>
    <n v="0.52631578947368418"/>
    <n v="9"/>
    <n v="10764"/>
    <x v="2"/>
    <x v="8"/>
    <n v="17970"/>
  </r>
  <r>
    <s v="ORD149"/>
    <d v="2024-09-20T00:00:00"/>
    <x v="0"/>
    <x v="0"/>
    <x v="3"/>
    <n v="26"/>
    <n v="23"/>
    <n v="49"/>
    <n v="146"/>
    <n v="47"/>
    <n v="11"/>
    <n v="1144"/>
    <n v="2149"/>
    <n v="0.46938775510204084"/>
    <n v="0.46938775510204084"/>
    <n v="26"/>
    <n v="29744"/>
    <x v="2"/>
    <x v="8"/>
    <n v="49427"/>
  </r>
  <r>
    <s v="ORD150"/>
    <d v="2024-11-15T00:00:00"/>
    <x v="4"/>
    <x v="0"/>
    <x v="1"/>
    <n v="49"/>
    <n v="36"/>
    <n v="85"/>
    <n v="223"/>
    <n v="65"/>
    <n v="2"/>
    <n v="1261"/>
    <n v="1558"/>
    <n v="0.42352941176470588"/>
    <n v="0.42352941176470588"/>
    <n v="49"/>
    <n v="61789"/>
    <x v="2"/>
    <x v="3"/>
    <n v="56088"/>
  </r>
  <r>
    <s v="ORD151"/>
    <d v="2024-02-21T00:00:00"/>
    <x v="7"/>
    <x v="0"/>
    <x v="3"/>
    <n v="26"/>
    <n v="33"/>
    <n v="59"/>
    <n v="261"/>
    <n v="70"/>
    <n v="13"/>
    <n v="1799"/>
    <n v="2856"/>
    <n v="0.55932203389830504"/>
    <n v="0.55932203389830504"/>
    <n v="26"/>
    <n v="46774"/>
    <x v="2"/>
    <x v="4"/>
    <n v="94248"/>
  </r>
  <r>
    <s v="ORD152"/>
    <d v="2024-03-01T00:00:00"/>
    <x v="0"/>
    <x v="1"/>
    <x v="0"/>
    <n v="42"/>
    <n v="78"/>
    <n v="120"/>
    <n v="4"/>
    <n v="33"/>
    <n v="10"/>
    <n v="1901"/>
    <n v="2348"/>
    <n v="0.65"/>
    <n v="0.65"/>
    <n v="42"/>
    <n v="79842"/>
    <x v="0"/>
    <x v="10"/>
    <n v="183144"/>
  </r>
  <r>
    <s v="ORD153"/>
    <d v="2024-05-17T00:00:00"/>
    <x v="5"/>
    <x v="0"/>
    <x v="3"/>
    <n v="80"/>
    <n v="43"/>
    <n v="123"/>
    <n v="124"/>
    <n v="38"/>
    <n v="13"/>
    <n v="1537"/>
    <n v="2089"/>
    <n v="0.34959349593495936"/>
    <n v="0.34959349593495936"/>
    <n v="80"/>
    <n v="122960"/>
    <x v="2"/>
    <x v="11"/>
    <n v="89827"/>
  </r>
  <r>
    <s v="ORD154"/>
    <d v="2024-04-03T00:00:00"/>
    <x v="1"/>
    <x v="0"/>
    <x v="3"/>
    <n v="34"/>
    <n v="44"/>
    <n v="78"/>
    <n v="12"/>
    <n v="43"/>
    <n v="12"/>
    <n v="1314"/>
    <n v="1619"/>
    <n v="0.5641025641025641"/>
    <n v="0.5641025641025641"/>
    <n v="34"/>
    <n v="44676"/>
    <x v="2"/>
    <x v="9"/>
    <n v="71236"/>
  </r>
  <r>
    <s v="ORD155"/>
    <d v="2024-10-15T00:00:00"/>
    <x v="5"/>
    <x v="1"/>
    <x v="3"/>
    <n v="141"/>
    <n v="6"/>
    <n v="147"/>
    <n v="195"/>
    <n v="47"/>
    <n v="5"/>
    <n v="1277"/>
    <n v="2383"/>
    <n v="4.0816326530612242E-2"/>
    <n v="4.0816326530612242E-2"/>
    <n v="141"/>
    <n v="180057"/>
    <x v="1"/>
    <x v="5"/>
    <n v="14298"/>
  </r>
  <r>
    <s v="ORD156"/>
    <d v="2024-02-27T00:00:00"/>
    <x v="3"/>
    <x v="2"/>
    <x v="1"/>
    <n v="36"/>
    <n v="114"/>
    <n v="150"/>
    <n v="78"/>
    <n v="71"/>
    <n v="15"/>
    <n v="812"/>
    <n v="1466"/>
    <n v="0.76"/>
    <n v="0.76"/>
    <n v="36"/>
    <n v="29232"/>
    <x v="0"/>
    <x v="4"/>
    <n v="167124"/>
  </r>
  <r>
    <s v="ORD157"/>
    <d v="2024-06-14T00:00:00"/>
    <x v="0"/>
    <x v="0"/>
    <x v="0"/>
    <n v="89"/>
    <n v="120"/>
    <n v="209"/>
    <n v="28"/>
    <n v="78"/>
    <n v="7"/>
    <n v="480"/>
    <n v="926"/>
    <n v="0.57416267942583732"/>
    <n v="0.57416267942583732"/>
    <n v="89"/>
    <n v="42720"/>
    <x v="2"/>
    <x v="7"/>
    <n v="111120"/>
  </r>
  <r>
    <s v="ORD158"/>
    <d v="2024-11-22T00:00:00"/>
    <x v="4"/>
    <x v="2"/>
    <x v="2"/>
    <n v="67"/>
    <n v="58"/>
    <n v="125"/>
    <n v="171"/>
    <n v="40"/>
    <n v="14"/>
    <n v="1109"/>
    <n v="1294"/>
    <n v="0.46400000000000002"/>
    <n v="0.46400000000000002"/>
    <n v="67"/>
    <n v="74303"/>
    <x v="2"/>
    <x v="3"/>
    <n v="75052"/>
  </r>
  <r>
    <s v="ORD159"/>
    <d v="2024-05-09T00:00:00"/>
    <x v="6"/>
    <x v="0"/>
    <x v="1"/>
    <n v="123"/>
    <n v="55"/>
    <n v="178"/>
    <n v="299"/>
    <n v="76"/>
    <n v="13"/>
    <n v="576"/>
    <n v="840"/>
    <n v="0.3089887640449438"/>
    <n v="0.3089887640449438"/>
    <n v="123"/>
    <n v="70848"/>
    <x v="2"/>
    <x v="11"/>
    <n v="46200"/>
  </r>
  <r>
    <s v="ORD160"/>
    <d v="2024-10-27T00:00:00"/>
    <x v="3"/>
    <x v="1"/>
    <x v="1"/>
    <n v="18"/>
    <n v="95"/>
    <n v="113"/>
    <n v="197"/>
    <n v="61"/>
    <n v="9"/>
    <n v="228"/>
    <n v="1395"/>
    <n v="0.84070796460176989"/>
    <n v="0.84070796460176989"/>
    <n v="18"/>
    <n v="4104"/>
    <x v="0"/>
    <x v="5"/>
    <n v="132525"/>
  </r>
  <r>
    <s v="ORD161"/>
    <d v="2024-10-17T00:00:00"/>
    <x v="0"/>
    <x v="2"/>
    <x v="4"/>
    <n v="89"/>
    <n v="100"/>
    <n v="189"/>
    <n v="14"/>
    <n v="72"/>
    <n v="13"/>
    <n v="489"/>
    <n v="1029"/>
    <n v="0.52910052910052907"/>
    <n v="0.52910052910052907"/>
    <n v="89"/>
    <n v="43521"/>
    <x v="2"/>
    <x v="5"/>
    <n v="102900"/>
  </r>
  <r>
    <s v="ORD162"/>
    <d v="2024-05-31T00:00:00"/>
    <x v="0"/>
    <x v="2"/>
    <x v="3"/>
    <n v="56"/>
    <n v="30"/>
    <n v="86"/>
    <n v="182"/>
    <n v="77"/>
    <n v="13"/>
    <n v="413"/>
    <n v="1888"/>
    <n v="0.34883720930232559"/>
    <n v="0.34883720930232559"/>
    <n v="56"/>
    <n v="23128"/>
    <x v="2"/>
    <x v="11"/>
    <n v="56640"/>
  </r>
  <r>
    <s v="ORD163"/>
    <d v="2024-11-21T00:00:00"/>
    <x v="5"/>
    <x v="1"/>
    <x v="4"/>
    <n v="114"/>
    <n v="61"/>
    <n v="175"/>
    <n v="127"/>
    <n v="44"/>
    <n v="7"/>
    <n v="878"/>
    <n v="1083"/>
    <n v="0.34857142857142859"/>
    <n v="0.34857142857142859"/>
    <n v="114"/>
    <n v="100092"/>
    <x v="2"/>
    <x v="3"/>
    <n v="66063"/>
  </r>
  <r>
    <s v="ORD164"/>
    <d v="2024-10-01T00:00:00"/>
    <x v="1"/>
    <x v="2"/>
    <x v="4"/>
    <n v="36"/>
    <n v="97"/>
    <n v="133"/>
    <n v="84"/>
    <n v="59"/>
    <n v="2"/>
    <n v="698"/>
    <n v="1944"/>
    <n v="0.72932330827067671"/>
    <n v="0.72932330827067671"/>
    <n v="36"/>
    <n v="25128"/>
    <x v="0"/>
    <x v="5"/>
    <n v="188568"/>
  </r>
  <r>
    <s v="ORD165"/>
    <d v="2024-07-04T00:00:00"/>
    <x v="7"/>
    <x v="1"/>
    <x v="4"/>
    <n v="53"/>
    <n v="57"/>
    <n v="110"/>
    <n v="108"/>
    <n v="50"/>
    <n v="2"/>
    <n v="286"/>
    <n v="779"/>
    <n v="0.51818181818181819"/>
    <n v="0.51818181818181819"/>
    <n v="53"/>
    <n v="15158"/>
    <x v="2"/>
    <x v="2"/>
    <n v="44403"/>
  </r>
  <r>
    <s v="ORD166"/>
    <d v="2024-03-14T00:00:00"/>
    <x v="6"/>
    <x v="1"/>
    <x v="4"/>
    <s v="Not Available"/>
    <n v="13"/>
    <s v="-"/>
    <n v="77"/>
    <n v="78"/>
    <n v="2"/>
    <n v="1870"/>
    <n v="2019"/>
    <e v="#VALUE!"/>
    <s v="incomplete"/>
    <s v="Not Available"/>
    <n v="0"/>
    <x v="0"/>
    <x v="10"/>
    <n v="26247"/>
  </r>
  <r>
    <s v="ORD167"/>
    <d v="2024-01-09T00:00:00"/>
    <x v="3"/>
    <x v="1"/>
    <x v="4"/>
    <n v="21"/>
    <n v="48"/>
    <n v="69"/>
    <n v="263"/>
    <n v="79"/>
    <n v="15"/>
    <n v="1803"/>
    <n v="2558"/>
    <n v="0.69565217391304346"/>
    <n v="0.69565217391304346"/>
    <n v="21"/>
    <n v="37863"/>
    <x v="0"/>
    <x v="6"/>
    <n v="122784"/>
  </r>
  <r>
    <s v="ORD168"/>
    <d v="2024-02-20T00:00:00"/>
    <x v="2"/>
    <x v="1"/>
    <x v="4"/>
    <n v="126"/>
    <n v="114"/>
    <n v="240"/>
    <n v="275"/>
    <n v="58"/>
    <n v="3"/>
    <n v="1545"/>
    <n v="2047"/>
    <n v="0.47499999999999998"/>
    <n v="0.47499999999999998"/>
    <n v="126"/>
    <n v="194670"/>
    <x v="2"/>
    <x v="4"/>
    <n v="233358"/>
  </r>
  <r>
    <s v="ORD169"/>
    <d v="2024-11-16T00:00:00"/>
    <x v="0"/>
    <x v="0"/>
    <x v="1"/>
    <n v="51"/>
    <n v="74"/>
    <n v="125"/>
    <n v="5"/>
    <n v="70"/>
    <n v="7"/>
    <n v="228"/>
    <n v="1383"/>
    <n v="0.59199999999999997"/>
    <n v="0.59199999999999997"/>
    <n v="51"/>
    <n v="11628"/>
    <x v="2"/>
    <x v="3"/>
    <n v="102342"/>
  </r>
  <r>
    <s v="ORD170"/>
    <d v="2024-07-07T00:00:00"/>
    <x v="1"/>
    <x v="0"/>
    <x v="3"/>
    <n v="110"/>
    <n v="25"/>
    <n v="135"/>
    <n v="35"/>
    <n v="72"/>
    <n v="5"/>
    <n v="574"/>
    <n v="1546"/>
    <n v="0.18518518518518517"/>
    <n v="0.18518518518518517"/>
    <n v="110"/>
    <n v="63140"/>
    <x v="1"/>
    <x v="2"/>
    <n v="38650"/>
  </r>
  <r>
    <s v="ORD171"/>
    <d v="2024-10-06T00:00:00"/>
    <x v="3"/>
    <x v="1"/>
    <x v="3"/>
    <n v="146"/>
    <n v="21"/>
    <n v="167"/>
    <n v="119"/>
    <n v="69"/>
    <n v="15"/>
    <n v="706"/>
    <n v="1500"/>
    <n v="0.12574850299401197"/>
    <n v="0.12574850299401197"/>
    <n v="146"/>
    <n v="103076"/>
    <x v="1"/>
    <x v="5"/>
    <n v="31500"/>
  </r>
  <r>
    <s v="ORD172"/>
    <d v="2024-10-05T00:00:00"/>
    <x v="4"/>
    <x v="0"/>
    <x v="2"/>
    <n v="109"/>
    <n v="75"/>
    <n v="184"/>
    <n v="95"/>
    <n v="42"/>
    <n v="9"/>
    <n v="223"/>
    <n v="1142"/>
    <n v="0.40760869565217389"/>
    <n v="0.40760869565217389"/>
    <n v="109"/>
    <n v="24307"/>
    <x v="2"/>
    <x v="5"/>
    <n v="85650"/>
  </r>
  <r>
    <s v="ORD173"/>
    <d v="2024-03-24T00:00:00"/>
    <x v="4"/>
    <x v="2"/>
    <x v="4"/>
    <n v="43"/>
    <n v="11"/>
    <n v="54"/>
    <n v="147"/>
    <n v="70"/>
    <n v="8"/>
    <n v="1884"/>
    <n v="3178"/>
    <n v="0.20370370370370369"/>
    <n v="0.20370370370370369"/>
    <n v="43"/>
    <n v="81012"/>
    <x v="1"/>
    <x v="10"/>
    <n v="34958"/>
  </r>
  <r>
    <s v="ORD174"/>
    <d v="2024-05-06T00:00:00"/>
    <x v="6"/>
    <x v="2"/>
    <x v="0"/>
    <s v="Not Available"/>
    <n v="78"/>
    <s v="-"/>
    <n v="271"/>
    <n v="51"/>
    <n v="7"/>
    <n v="363"/>
    <n v="826"/>
    <e v="#VALUE!"/>
    <s v="incomplete"/>
    <s v="Not Available"/>
    <n v="0"/>
    <x v="0"/>
    <x v="11"/>
    <n v="64428"/>
  </r>
  <r>
    <s v="ORD175"/>
    <d v="2024-01-19T00:00:00"/>
    <x v="4"/>
    <x v="2"/>
    <x v="1"/>
    <n v="97"/>
    <n v="87"/>
    <n v="184"/>
    <n v="16"/>
    <n v="70"/>
    <n v="13"/>
    <n v="242"/>
    <n v="1008"/>
    <n v="0.47282608695652173"/>
    <n v="0.47282608695652173"/>
    <n v="97"/>
    <n v="23474"/>
    <x v="2"/>
    <x v="6"/>
    <n v="87696"/>
  </r>
  <r>
    <s v="ORD176"/>
    <d v="2024-06-04T00:00:00"/>
    <x v="3"/>
    <x v="2"/>
    <x v="0"/>
    <n v="90"/>
    <n v="49"/>
    <n v="139"/>
    <n v="267"/>
    <n v="44"/>
    <n v="13"/>
    <n v="847"/>
    <n v="2116"/>
    <n v="0.35251798561151076"/>
    <n v="0.35251798561151076"/>
    <n v="90"/>
    <n v="76230"/>
    <x v="2"/>
    <x v="7"/>
    <n v="103684"/>
  </r>
  <r>
    <s v="ORD177"/>
    <d v="2024-10-02T00:00:00"/>
    <x v="0"/>
    <x v="1"/>
    <x v="1"/>
    <n v="12"/>
    <n v="115"/>
    <n v="127"/>
    <n v="109"/>
    <n v="31"/>
    <n v="11"/>
    <n v="1814"/>
    <n v="2053"/>
    <n v="0.90551181102362199"/>
    <n v="0.90551181102362199"/>
    <n v="12"/>
    <n v="21768"/>
    <x v="0"/>
    <x v="5"/>
    <n v="236095"/>
  </r>
  <r>
    <s v="ORD178"/>
    <d v="2024-12-03T00:00:00"/>
    <x v="7"/>
    <x v="0"/>
    <x v="4"/>
    <n v="99"/>
    <n v="40"/>
    <n v="139"/>
    <n v="232"/>
    <n v="72"/>
    <n v="8"/>
    <n v="689"/>
    <n v="905"/>
    <n v="0.28776978417266186"/>
    <n v="0.28776978417266186"/>
    <n v="99"/>
    <n v="68211"/>
    <x v="1"/>
    <x v="0"/>
    <n v="36200"/>
  </r>
  <r>
    <s v="ORD179"/>
    <d v="2024-03-05T00:00:00"/>
    <x v="1"/>
    <x v="0"/>
    <x v="3"/>
    <n v="103"/>
    <n v="32"/>
    <n v="135"/>
    <n v="175"/>
    <n v="59"/>
    <n v="9"/>
    <n v="1097"/>
    <n v="1482"/>
    <n v="0.23703703703703705"/>
    <n v="0.23703703703703705"/>
    <n v="103"/>
    <n v="112991"/>
    <x v="1"/>
    <x v="10"/>
    <n v="47424"/>
  </r>
  <r>
    <s v="ORD180"/>
    <d v="2024-09-24T00:00:00"/>
    <x v="0"/>
    <x v="1"/>
    <x v="1"/>
    <n v="80"/>
    <n v="24"/>
    <n v="104"/>
    <n v="91"/>
    <n v="48"/>
    <n v="8"/>
    <n v="1328"/>
    <n v="2079"/>
    <n v="0.23076923076923078"/>
    <n v="0.23076923076923078"/>
    <n v="80"/>
    <n v="106240"/>
    <x v="1"/>
    <x v="8"/>
    <n v="49896"/>
  </r>
  <r>
    <s v="ORD181"/>
    <d v="2024-03-16T00:00:00"/>
    <x v="4"/>
    <x v="1"/>
    <x v="1"/>
    <n v="48"/>
    <n v="101"/>
    <n v="149"/>
    <n v="258"/>
    <n v="66"/>
    <n v="3"/>
    <n v="478"/>
    <n v="1825"/>
    <n v="0.67785234899328861"/>
    <n v="0.67785234899328861"/>
    <n v="48"/>
    <n v="22944"/>
    <x v="0"/>
    <x v="10"/>
    <n v="184325"/>
  </r>
  <r>
    <s v="ORD182"/>
    <d v="2024-06-04T00:00:00"/>
    <x v="6"/>
    <x v="1"/>
    <x v="4"/>
    <n v="63"/>
    <n v="64"/>
    <n v="127"/>
    <n v="100"/>
    <n v="77"/>
    <n v="3"/>
    <n v="1303"/>
    <n v="1836"/>
    <n v="0.50393700787401574"/>
    <n v="0.50393700787401574"/>
    <n v="63"/>
    <n v="82089"/>
    <x v="2"/>
    <x v="7"/>
    <n v="117504"/>
  </r>
  <r>
    <s v="ORD183"/>
    <d v="2024-01-13T00:00:00"/>
    <x v="2"/>
    <x v="0"/>
    <x v="3"/>
    <n v="79"/>
    <n v="4"/>
    <n v="83"/>
    <n v="268"/>
    <n v="39"/>
    <n v="14"/>
    <n v="655"/>
    <n v="1519"/>
    <n v="4.8192771084337352E-2"/>
    <n v="4.8192771084337352E-2"/>
    <n v="79"/>
    <n v="51745"/>
    <x v="1"/>
    <x v="6"/>
    <n v="6076"/>
  </r>
  <r>
    <s v="ORD184"/>
    <d v="2024-09-15T00:00:00"/>
    <x v="4"/>
    <x v="1"/>
    <x v="0"/>
    <n v="82"/>
    <n v="39"/>
    <n v="121"/>
    <n v="286"/>
    <n v="78"/>
    <n v="12"/>
    <n v="989"/>
    <n v="2061"/>
    <n v="0.32231404958677684"/>
    <n v="0.32231404958677684"/>
    <n v="82"/>
    <n v="81098"/>
    <x v="2"/>
    <x v="8"/>
    <n v="80379"/>
  </r>
  <r>
    <s v="ORD185"/>
    <d v="2024-08-09T00:00:00"/>
    <x v="3"/>
    <x v="0"/>
    <x v="0"/>
    <s v="Not Available"/>
    <n v="47"/>
    <s v="-"/>
    <n v="89"/>
    <n v="41"/>
    <n v="12"/>
    <n v="1695"/>
    <n v="3017"/>
    <e v="#VALUE!"/>
    <s v="incomplete"/>
    <s v="Not Available"/>
    <n v="0"/>
    <x v="0"/>
    <x v="1"/>
    <n v="141799"/>
  </r>
  <r>
    <s v="ORD186"/>
    <d v="2024-06-30T00:00:00"/>
    <x v="0"/>
    <x v="0"/>
    <x v="4"/>
    <n v="36"/>
    <n v="23"/>
    <n v="59"/>
    <n v="181"/>
    <n v="45"/>
    <n v="13"/>
    <n v="318"/>
    <n v="1611"/>
    <n v="0.38983050847457629"/>
    <n v="0.38983050847457629"/>
    <n v="36"/>
    <n v="11448"/>
    <x v="2"/>
    <x v="7"/>
    <n v="37053"/>
  </r>
  <r>
    <s v="ORD187"/>
    <d v="2024-09-12T00:00:00"/>
    <x v="6"/>
    <x v="0"/>
    <x v="3"/>
    <n v="139"/>
    <n v="1"/>
    <n v="140"/>
    <n v="237"/>
    <n v="67"/>
    <n v="11"/>
    <n v="1042"/>
    <n v="1269"/>
    <n v="7.1428571428571426E-3"/>
    <n v="7.1428571428571426E-3"/>
    <n v="139"/>
    <n v="144838"/>
    <x v="1"/>
    <x v="8"/>
    <n v="1269"/>
  </r>
  <r>
    <s v="ORD188"/>
    <d v="2024-02-26T00:00:00"/>
    <x v="4"/>
    <x v="0"/>
    <x v="1"/>
    <n v="131"/>
    <n v="60"/>
    <n v="191"/>
    <n v="153"/>
    <n v="66"/>
    <n v="5"/>
    <n v="663"/>
    <n v="1303"/>
    <n v="0.31413612565445026"/>
    <n v="0.31413612565445026"/>
    <n v="131"/>
    <n v="86853"/>
    <x v="2"/>
    <x v="4"/>
    <n v="78180"/>
  </r>
  <r>
    <s v="ORD189"/>
    <d v="2024-02-18T00:00:00"/>
    <x v="6"/>
    <x v="2"/>
    <x v="3"/>
    <n v="21"/>
    <n v="105"/>
    <n v="126"/>
    <n v="92"/>
    <n v="61"/>
    <n v="2"/>
    <n v="1035"/>
    <n v="2362"/>
    <n v="0.83333333333333337"/>
    <n v="0.83333333333333337"/>
    <n v="21"/>
    <n v="21735"/>
    <x v="0"/>
    <x v="4"/>
    <n v="248010"/>
  </r>
  <r>
    <s v="ORD190"/>
    <d v="2024-12-30T00:00:00"/>
    <x v="3"/>
    <x v="2"/>
    <x v="4"/>
    <n v="92"/>
    <n v="44"/>
    <n v="136"/>
    <n v="27"/>
    <n v="33"/>
    <n v="5"/>
    <n v="1889"/>
    <n v="2354"/>
    <n v="0.3235294117647059"/>
    <n v="0.3235294117647059"/>
    <n v="92"/>
    <n v="173788"/>
    <x v="2"/>
    <x v="0"/>
    <n v="103576"/>
  </r>
  <r>
    <s v="ORD191"/>
    <d v="2024-11-14T00:00:00"/>
    <x v="6"/>
    <x v="0"/>
    <x v="1"/>
    <n v="68"/>
    <n v="95"/>
    <n v="163"/>
    <n v="106"/>
    <n v="35"/>
    <n v="4"/>
    <n v="1076"/>
    <n v="2064"/>
    <n v="0.58282208588957052"/>
    <n v="0.58282208588957052"/>
    <n v="68"/>
    <n v="73168"/>
    <x v="2"/>
    <x v="3"/>
    <n v="196080"/>
  </r>
  <r>
    <s v="ORD192"/>
    <d v="2024-06-19T00:00:00"/>
    <x v="1"/>
    <x v="2"/>
    <x v="4"/>
    <n v="35"/>
    <n v="27"/>
    <n v="62"/>
    <n v="129"/>
    <n v="77"/>
    <n v="6"/>
    <n v="606"/>
    <n v="1151"/>
    <n v="0.43548387096774194"/>
    <n v="0.43548387096774194"/>
    <n v="35"/>
    <n v="21210"/>
    <x v="2"/>
    <x v="7"/>
    <n v="31077"/>
  </r>
  <r>
    <s v="ORD193"/>
    <d v="2024-12-19T00:00:00"/>
    <x v="1"/>
    <x v="2"/>
    <x v="4"/>
    <n v="47"/>
    <n v="95"/>
    <n v="142"/>
    <n v="61"/>
    <n v="59"/>
    <n v="7"/>
    <n v="994"/>
    <n v="2382"/>
    <n v="0.66901408450704225"/>
    <n v="0.66901408450704225"/>
    <n v="47"/>
    <n v="46718"/>
    <x v="0"/>
    <x v="0"/>
    <n v="226290"/>
  </r>
  <r>
    <s v="ORD194"/>
    <d v="2024-05-07T00:00:00"/>
    <x v="1"/>
    <x v="1"/>
    <x v="3"/>
    <n v="36"/>
    <n v="14"/>
    <n v="50"/>
    <n v="48"/>
    <n v="37"/>
    <n v="11"/>
    <n v="1333"/>
    <n v="2353"/>
    <n v="0.28000000000000003"/>
    <n v="0.28000000000000003"/>
    <n v="36"/>
    <n v="47988"/>
    <x v="1"/>
    <x v="11"/>
    <n v="32942"/>
  </r>
  <r>
    <s v="ORD195"/>
    <d v="2024-09-15T00:00:00"/>
    <x v="0"/>
    <x v="2"/>
    <x v="4"/>
    <n v="65"/>
    <n v="26"/>
    <n v="91"/>
    <n v="13"/>
    <n v="36"/>
    <n v="5"/>
    <n v="827"/>
    <n v="1594"/>
    <n v="0.2857142857142857"/>
    <n v="0.2857142857142857"/>
    <n v="65"/>
    <n v="53755"/>
    <x v="1"/>
    <x v="8"/>
    <n v="41444"/>
  </r>
  <r>
    <s v="ORD196"/>
    <d v="2024-08-27T00:00:00"/>
    <x v="2"/>
    <x v="0"/>
    <x v="4"/>
    <n v="86"/>
    <n v="15"/>
    <n v="101"/>
    <n v="272"/>
    <n v="56"/>
    <n v="13"/>
    <n v="624"/>
    <n v="1526"/>
    <n v="0.14851485148514851"/>
    <n v="0.14851485148514851"/>
    <n v="86"/>
    <n v="53664"/>
    <x v="1"/>
    <x v="1"/>
    <n v="22890"/>
  </r>
  <r>
    <s v="ORD197"/>
    <d v="2024-09-01T00:00:00"/>
    <x v="0"/>
    <x v="0"/>
    <x v="0"/>
    <n v="126"/>
    <n v="89"/>
    <n v="215"/>
    <n v="50"/>
    <n v="60"/>
    <n v="14"/>
    <n v="1341"/>
    <n v="2761"/>
    <n v="0.413953488372093"/>
    <n v="0.413953488372093"/>
    <n v="126"/>
    <n v="168966"/>
    <x v="2"/>
    <x v="8"/>
    <n v="245729"/>
  </r>
  <r>
    <s v="ORD198"/>
    <d v="2024-07-16T00:00:00"/>
    <x v="4"/>
    <x v="0"/>
    <x v="2"/>
    <n v="50"/>
    <n v="20"/>
    <n v="70"/>
    <n v="266"/>
    <n v="73"/>
    <n v="7"/>
    <n v="1670"/>
    <n v="2516"/>
    <n v="0.2857142857142857"/>
    <n v="0.2857142857142857"/>
    <n v="50"/>
    <n v="83500"/>
    <x v="1"/>
    <x v="2"/>
    <n v="50320"/>
  </r>
  <r>
    <s v="ORD199"/>
    <d v="2024-08-01T00:00:00"/>
    <x v="6"/>
    <x v="2"/>
    <x v="1"/>
    <n v="149"/>
    <n v="83"/>
    <n v="232"/>
    <n v="239"/>
    <n v="54"/>
    <n v="11"/>
    <n v="1869"/>
    <n v="3147"/>
    <n v="0.35775862068965519"/>
    <n v="0.35775862068965519"/>
    <n v="149"/>
    <n v="278481"/>
    <x v="2"/>
    <x v="1"/>
    <n v="261201"/>
  </r>
  <r>
    <s v="ORD200"/>
    <d v="2024-04-08T00:00:00"/>
    <x v="4"/>
    <x v="1"/>
    <x v="1"/>
    <n v="139"/>
    <n v="95"/>
    <n v="234"/>
    <n v="214"/>
    <n v="33"/>
    <n v="11"/>
    <n v="787"/>
    <n v="1632"/>
    <n v="0.40598290598290598"/>
    <n v="0.40598290598290598"/>
    <n v="139"/>
    <n v="109393"/>
    <x v="2"/>
    <x v="9"/>
    <n v="155040"/>
  </r>
  <r>
    <s v="ORD201"/>
    <d v="2024-07-21T00:00:00"/>
    <x v="2"/>
    <x v="0"/>
    <x v="1"/>
    <n v="110"/>
    <n v="88"/>
    <n v="198"/>
    <n v="265"/>
    <n v="42"/>
    <n v="13"/>
    <n v="337"/>
    <n v="1565"/>
    <n v="0.44444444444444442"/>
    <n v="0.44444444444444442"/>
    <n v="110"/>
    <n v="37070"/>
    <x v="2"/>
    <x v="2"/>
    <n v="137720"/>
  </r>
  <r>
    <s v="ORD202"/>
    <d v="2024-03-30T00:00:00"/>
    <x v="0"/>
    <x v="2"/>
    <x v="4"/>
    <n v="97"/>
    <n v="67"/>
    <n v="164"/>
    <n v="279"/>
    <n v="40"/>
    <n v="3"/>
    <n v="975"/>
    <n v="1320"/>
    <n v="0.40853658536585363"/>
    <n v="0.40853658536585363"/>
    <n v="97"/>
    <n v="94575"/>
    <x v="2"/>
    <x v="10"/>
    <n v="88440"/>
  </r>
  <r>
    <s v="ORD203"/>
    <d v="2024-06-18T00:00:00"/>
    <x v="2"/>
    <x v="2"/>
    <x v="3"/>
    <n v="74"/>
    <n v="16"/>
    <n v="90"/>
    <n v="296"/>
    <n v="39"/>
    <n v="9"/>
    <n v="1921"/>
    <n v="2541"/>
    <n v="0.17777777777777778"/>
    <n v="0.17777777777777778"/>
    <n v="74"/>
    <n v="142154"/>
    <x v="1"/>
    <x v="7"/>
    <n v="40656"/>
  </r>
  <r>
    <s v="ORD204"/>
    <d v="2024-06-05T00:00:00"/>
    <x v="0"/>
    <x v="0"/>
    <x v="0"/>
    <n v="55"/>
    <n v="13"/>
    <n v="68"/>
    <n v="260"/>
    <n v="34"/>
    <n v="14"/>
    <n v="1664"/>
    <n v="3093"/>
    <n v="0.19117647058823528"/>
    <n v="0.19117647058823528"/>
    <n v="55"/>
    <n v="91520"/>
    <x v="1"/>
    <x v="7"/>
    <n v="40209"/>
  </r>
  <r>
    <s v="ORD205"/>
    <d v="2024-10-05T00:00:00"/>
    <x v="5"/>
    <x v="1"/>
    <x v="3"/>
    <n v="147"/>
    <n v="119"/>
    <n v="266"/>
    <n v="157"/>
    <n v="71"/>
    <n v="4"/>
    <n v="1608"/>
    <n v="3042"/>
    <n v="0.44736842105263158"/>
    <n v="0.44736842105263158"/>
    <n v="147"/>
    <n v="236376"/>
    <x v="2"/>
    <x v="5"/>
    <n v="361998"/>
  </r>
  <r>
    <s v="ORD206"/>
    <d v="2024-10-07T00:00:00"/>
    <x v="5"/>
    <x v="2"/>
    <x v="4"/>
    <n v="136"/>
    <n v="9"/>
    <n v="145"/>
    <n v="242"/>
    <n v="69"/>
    <n v="10"/>
    <n v="1927"/>
    <n v="2236"/>
    <n v="6.2068965517241378E-2"/>
    <n v="6.2068965517241378E-2"/>
    <n v="136"/>
    <n v="262072"/>
    <x v="1"/>
    <x v="5"/>
    <n v="20124"/>
  </r>
  <r>
    <s v="ORD207"/>
    <d v="2024-04-26T00:00:00"/>
    <x v="0"/>
    <x v="1"/>
    <x v="4"/>
    <n v="47"/>
    <n v="49"/>
    <n v="96"/>
    <n v="184"/>
    <n v="53"/>
    <n v="2"/>
    <n v="1860"/>
    <n v="2779"/>
    <n v="0.51041666666666663"/>
    <n v="0.51041666666666663"/>
    <n v="47"/>
    <n v="87420"/>
    <x v="2"/>
    <x v="9"/>
    <n v="136171"/>
  </r>
  <r>
    <s v="ORD208"/>
    <d v="2024-10-23T00:00:00"/>
    <x v="0"/>
    <x v="2"/>
    <x v="1"/>
    <n v="74"/>
    <n v="92"/>
    <n v="166"/>
    <n v="132"/>
    <n v="56"/>
    <n v="6"/>
    <n v="1008"/>
    <n v="1858"/>
    <n v="0.55421686746987953"/>
    <n v="0.55421686746987953"/>
    <n v="74"/>
    <n v="74592"/>
    <x v="2"/>
    <x v="5"/>
    <n v="170936"/>
  </r>
  <r>
    <s v="ORD209"/>
    <d v="2024-07-19T00:00:00"/>
    <x v="1"/>
    <x v="1"/>
    <x v="3"/>
    <n v="117"/>
    <n v="45"/>
    <n v="162"/>
    <n v="202"/>
    <n v="52"/>
    <n v="9"/>
    <n v="1240"/>
    <n v="1818"/>
    <n v="0.27777777777777779"/>
    <n v="0.27777777777777779"/>
    <n v="117"/>
    <n v="145080"/>
    <x v="1"/>
    <x v="2"/>
    <n v="81810"/>
  </r>
  <r>
    <s v="ORD210"/>
    <d v="2024-05-09T00:00:00"/>
    <x v="6"/>
    <x v="2"/>
    <x v="4"/>
    <n v="30"/>
    <n v="94"/>
    <n v="124"/>
    <n v="110"/>
    <n v="37"/>
    <n v="8"/>
    <n v="1610"/>
    <n v="1796"/>
    <n v="0.75806451612903225"/>
    <n v="0.75806451612903225"/>
    <n v="30"/>
    <n v="48300"/>
    <x v="0"/>
    <x v="11"/>
    <n v="168824"/>
  </r>
  <r>
    <s v="ORD211"/>
    <d v="2024-05-10T00:00:00"/>
    <x v="1"/>
    <x v="1"/>
    <x v="1"/>
    <n v="110"/>
    <n v="59"/>
    <n v="169"/>
    <n v="118"/>
    <n v="34"/>
    <n v="4"/>
    <n v="1015"/>
    <n v="2511"/>
    <n v="0.34911242603550297"/>
    <n v="0.34911242603550297"/>
    <n v="110"/>
    <n v="111650"/>
    <x v="2"/>
    <x v="11"/>
    <n v="148149"/>
  </r>
  <r>
    <s v="ORD212"/>
    <d v="2024-01-21T00:00:00"/>
    <x v="6"/>
    <x v="1"/>
    <x v="3"/>
    <n v="62"/>
    <n v="36"/>
    <n v="98"/>
    <n v="77"/>
    <n v="54"/>
    <n v="15"/>
    <n v="539"/>
    <n v="1664"/>
    <n v="0.36734693877551022"/>
    <n v="0.36734693877551022"/>
    <n v="62"/>
    <n v="33418"/>
    <x v="2"/>
    <x v="6"/>
    <n v="59904"/>
  </r>
  <r>
    <s v="ORD213"/>
    <d v="2024-01-15T00:00:00"/>
    <x v="3"/>
    <x v="1"/>
    <x v="3"/>
    <n v="61"/>
    <n v="39"/>
    <n v="100"/>
    <n v="31"/>
    <n v="78"/>
    <n v="7"/>
    <n v="1028"/>
    <n v="1448"/>
    <n v="0.39"/>
    <n v="0.39"/>
    <n v="61"/>
    <n v="62708"/>
    <x v="2"/>
    <x v="6"/>
    <n v="56472"/>
  </r>
  <r>
    <s v="ORD214"/>
    <d v="2024-04-17T00:00:00"/>
    <x v="4"/>
    <x v="0"/>
    <x v="0"/>
    <n v="107"/>
    <n v="40"/>
    <n v="147"/>
    <n v="253"/>
    <n v="53"/>
    <n v="14"/>
    <n v="1960"/>
    <n v="2305"/>
    <n v="0.27210884353741499"/>
    <n v="0.27210884353741499"/>
    <n v="107"/>
    <n v="209720"/>
    <x v="1"/>
    <x v="9"/>
    <n v="92200"/>
  </r>
  <r>
    <s v="ORD215"/>
    <d v="2024-01-21T00:00:00"/>
    <x v="0"/>
    <x v="1"/>
    <x v="3"/>
    <s v="Not Available"/>
    <n v="33"/>
    <s v="-"/>
    <n v="50"/>
    <n v="34"/>
    <n v="5"/>
    <n v="351"/>
    <n v="981"/>
    <e v="#VALUE!"/>
    <s v="incomplete"/>
    <s v="Not Available"/>
    <n v="0"/>
    <x v="0"/>
    <x v="6"/>
    <n v="32373"/>
  </r>
  <r>
    <s v="ORD216"/>
    <d v="2024-10-22T00:00:00"/>
    <x v="3"/>
    <x v="0"/>
    <x v="0"/>
    <n v="110"/>
    <n v="66"/>
    <n v="176"/>
    <n v="70"/>
    <n v="71"/>
    <n v="3"/>
    <n v="763"/>
    <n v="2178"/>
    <n v="0.375"/>
    <n v="0.375"/>
    <n v="110"/>
    <n v="83930"/>
    <x v="2"/>
    <x v="5"/>
    <n v="143748"/>
  </r>
  <r>
    <s v="ORD217"/>
    <d v="2024-07-17T00:00:00"/>
    <x v="0"/>
    <x v="1"/>
    <x v="2"/>
    <n v="48"/>
    <n v="27"/>
    <n v="75"/>
    <n v="180"/>
    <n v="73"/>
    <n v="5"/>
    <n v="326"/>
    <n v="1264"/>
    <n v="0.36"/>
    <n v="0.36"/>
    <n v="48"/>
    <n v="15648"/>
    <x v="2"/>
    <x v="2"/>
    <n v="34128"/>
  </r>
  <r>
    <s v="ORD218"/>
    <d v="2024-12-20T00:00:00"/>
    <x v="3"/>
    <x v="2"/>
    <x v="0"/>
    <n v="12"/>
    <n v="88"/>
    <n v="100"/>
    <n v="276"/>
    <n v="63"/>
    <n v="15"/>
    <n v="1371"/>
    <n v="2321"/>
    <n v="0.88"/>
    <n v="0.88"/>
    <n v="12"/>
    <n v="16452"/>
    <x v="0"/>
    <x v="0"/>
    <n v="204248"/>
  </r>
  <r>
    <s v="ORD219"/>
    <d v="2024-02-19T00:00:00"/>
    <x v="0"/>
    <x v="0"/>
    <x v="0"/>
    <n v="125"/>
    <n v="81"/>
    <n v="206"/>
    <n v="176"/>
    <n v="53"/>
    <n v="2"/>
    <n v="1613"/>
    <n v="2358"/>
    <n v="0.39320388349514562"/>
    <n v="0.39320388349514562"/>
    <n v="125"/>
    <n v="201625"/>
    <x v="2"/>
    <x v="4"/>
    <n v="190998"/>
  </r>
  <r>
    <s v="ORD220"/>
    <d v="2024-10-28T00:00:00"/>
    <x v="4"/>
    <x v="1"/>
    <x v="3"/>
    <n v="34"/>
    <n v="43"/>
    <n v="77"/>
    <n v="121"/>
    <n v="43"/>
    <n v="15"/>
    <n v="707"/>
    <n v="1284"/>
    <n v="0.55844155844155841"/>
    <n v="0.55844155844155841"/>
    <n v="34"/>
    <n v="24038"/>
    <x v="2"/>
    <x v="5"/>
    <n v="55212"/>
  </r>
  <r>
    <s v="ORD221"/>
    <d v="2024-03-15T00:00:00"/>
    <x v="5"/>
    <x v="1"/>
    <x v="1"/>
    <n v="149"/>
    <n v="107"/>
    <n v="256"/>
    <n v="65"/>
    <n v="68"/>
    <n v="10"/>
    <n v="331"/>
    <n v="733"/>
    <n v="0.41796875"/>
    <n v="0.41796875"/>
    <n v="149"/>
    <n v="49319"/>
    <x v="2"/>
    <x v="10"/>
    <n v="78431"/>
  </r>
  <r>
    <s v="ORD222"/>
    <d v="2024-08-03T00:00:00"/>
    <x v="4"/>
    <x v="1"/>
    <x v="4"/>
    <n v="135"/>
    <n v="90"/>
    <n v="225"/>
    <n v="140"/>
    <n v="70"/>
    <n v="14"/>
    <n v="1400"/>
    <n v="2237"/>
    <n v="0.4"/>
    <n v="0.4"/>
    <n v="135"/>
    <n v="189000"/>
    <x v="2"/>
    <x v="1"/>
    <n v="201330"/>
  </r>
  <r>
    <s v="ORD223"/>
    <d v="2024-12-08T00:00:00"/>
    <x v="4"/>
    <x v="0"/>
    <x v="1"/>
    <n v="110"/>
    <n v="109"/>
    <n v="219"/>
    <n v="277"/>
    <n v="42"/>
    <n v="14"/>
    <n v="1400"/>
    <n v="1644"/>
    <n v="0.49771689497716892"/>
    <n v="0.49771689497716892"/>
    <n v="110"/>
    <n v="154000"/>
    <x v="2"/>
    <x v="0"/>
    <n v="179196"/>
  </r>
  <r>
    <s v="ORD224"/>
    <d v="2024-04-25T00:00:00"/>
    <x v="5"/>
    <x v="1"/>
    <x v="3"/>
    <n v="123"/>
    <n v="109"/>
    <n v="232"/>
    <n v="201"/>
    <n v="67"/>
    <n v="15"/>
    <n v="600"/>
    <n v="829"/>
    <n v="0.46982758620689657"/>
    <n v="0.46982758620689657"/>
    <n v="123"/>
    <n v="73800"/>
    <x v="2"/>
    <x v="9"/>
    <n v="90361"/>
  </r>
  <r>
    <s v="ORD225"/>
    <d v="2024-10-26T00:00:00"/>
    <x v="6"/>
    <x v="1"/>
    <x v="0"/>
    <n v="55"/>
    <n v="33"/>
    <n v="88"/>
    <n v="193"/>
    <n v="44"/>
    <n v="6"/>
    <n v="1535"/>
    <n v="2928"/>
    <n v="0.375"/>
    <n v="0.375"/>
    <n v="55"/>
    <n v="84425"/>
    <x v="2"/>
    <x v="5"/>
    <n v="96624"/>
  </r>
  <r>
    <s v="ORD226"/>
    <d v="2024-11-15T00:00:00"/>
    <x v="0"/>
    <x v="2"/>
    <x v="3"/>
    <n v="31"/>
    <n v="13"/>
    <n v="44"/>
    <n v="176"/>
    <n v="69"/>
    <n v="13"/>
    <n v="950"/>
    <n v="1761"/>
    <n v="0.29545454545454547"/>
    <n v="0.29545454545454547"/>
    <n v="31"/>
    <n v="29450"/>
    <x v="1"/>
    <x v="3"/>
    <n v="22893"/>
  </r>
  <r>
    <s v="ORD227"/>
    <d v="2024-08-11T00:00:00"/>
    <x v="6"/>
    <x v="1"/>
    <x v="0"/>
    <n v="80"/>
    <n v="3"/>
    <n v="83"/>
    <n v="131"/>
    <n v="46"/>
    <n v="13"/>
    <n v="603"/>
    <n v="914"/>
    <n v="3.614457831325301E-2"/>
    <n v="3.614457831325301E-2"/>
    <n v="80"/>
    <n v="48240"/>
    <x v="1"/>
    <x v="1"/>
    <n v="2742"/>
  </r>
  <r>
    <s v="ORD228"/>
    <d v="2024-01-14T00:00:00"/>
    <x v="5"/>
    <x v="0"/>
    <x v="4"/>
    <n v="146"/>
    <n v="118"/>
    <n v="264"/>
    <n v="155"/>
    <n v="78"/>
    <n v="8"/>
    <n v="699"/>
    <n v="1388"/>
    <n v="0.44696969696969696"/>
    <n v="0.44696969696969696"/>
    <n v="146"/>
    <n v="102054"/>
    <x v="2"/>
    <x v="6"/>
    <n v="163784"/>
  </r>
  <r>
    <s v="ORD229"/>
    <d v="2024-09-15T00:00:00"/>
    <x v="6"/>
    <x v="1"/>
    <x v="0"/>
    <n v="5"/>
    <n v="31"/>
    <n v="36"/>
    <n v="64"/>
    <n v="79"/>
    <n v="15"/>
    <n v="804"/>
    <n v="1043"/>
    <n v="0.86111111111111116"/>
    <n v="0.86111111111111116"/>
    <n v="5"/>
    <n v="4020"/>
    <x v="0"/>
    <x v="8"/>
    <n v="32333"/>
  </r>
  <r>
    <s v="ORD230"/>
    <d v="2024-01-13T00:00:00"/>
    <x v="6"/>
    <x v="2"/>
    <x v="0"/>
    <n v="5"/>
    <n v="116"/>
    <n v="121"/>
    <n v="197"/>
    <n v="67"/>
    <n v="11"/>
    <n v="592"/>
    <n v="1853"/>
    <n v="0.95867768595041325"/>
    <n v="0.95867768595041325"/>
    <n v="5"/>
    <n v="2960"/>
    <x v="0"/>
    <x v="6"/>
    <n v="214948"/>
  </r>
  <r>
    <s v="ORD231"/>
    <d v="2024-07-04T00:00:00"/>
    <x v="2"/>
    <x v="2"/>
    <x v="4"/>
    <n v="148"/>
    <n v="35"/>
    <n v="183"/>
    <n v="30"/>
    <n v="72"/>
    <n v="9"/>
    <n v="1999"/>
    <n v="3447"/>
    <n v="0.19125683060109289"/>
    <n v="0.19125683060109289"/>
    <n v="148"/>
    <n v="295852"/>
    <x v="1"/>
    <x v="2"/>
    <n v="120645"/>
  </r>
  <r>
    <s v="ORD232"/>
    <d v="2024-06-08T00:00:00"/>
    <x v="5"/>
    <x v="0"/>
    <x v="1"/>
    <n v="20"/>
    <n v="2"/>
    <n v="22"/>
    <n v="6"/>
    <n v="36"/>
    <n v="3"/>
    <n v="1415"/>
    <n v="2134"/>
    <n v="9.0909090909090912E-2"/>
    <n v="9.0909090909090912E-2"/>
    <n v="20"/>
    <n v="28300"/>
    <x v="1"/>
    <x v="7"/>
    <n v="4268"/>
  </r>
  <r>
    <s v="ORD233"/>
    <d v="2024-07-17T00:00:00"/>
    <x v="6"/>
    <x v="2"/>
    <x v="3"/>
    <n v="106"/>
    <n v="73"/>
    <n v="179"/>
    <n v="151"/>
    <n v="67"/>
    <n v="10"/>
    <n v="1959"/>
    <n v="2689"/>
    <n v="0.40782122905027934"/>
    <n v="0.40782122905027934"/>
    <n v="106"/>
    <n v="207654"/>
    <x v="2"/>
    <x v="2"/>
    <n v="196297"/>
  </r>
  <r>
    <s v="ORD234"/>
    <d v="2024-02-01T00:00:00"/>
    <x v="4"/>
    <x v="1"/>
    <x v="1"/>
    <n v="19"/>
    <n v="85"/>
    <n v="104"/>
    <n v="63"/>
    <n v="50"/>
    <n v="4"/>
    <n v="467"/>
    <n v="697"/>
    <n v="0.81730769230769229"/>
    <n v="0.81730769230769229"/>
    <n v="19"/>
    <n v="8873"/>
    <x v="0"/>
    <x v="4"/>
    <n v="59245"/>
  </r>
  <r>
    <s v="ORD235"/>
    <d v="2024-04-24T00:00:00"/>
    <x v="1"/>
    <x v="2"/>
    <x v="4"/>
    <n v="126"/>
    <n v="105"/>
    <n v="231"/>
    <n v="45"/>
    <n v="63"/>
    <n v="4"/>
    <n v="662"/>
    <n v="1723"/>
    <n v="0.45454545454545453"/>
    <n v="0.45454545454545453"/>
    <n v="126"/>
    <n v="83412"/>
    <x v="2"/>
    <x v="9"/>
    <n v="180915"/>
  </r>
  <r>
    <s v="ORD236"/>
    <d v="2024-06-12T00:00:00"/>
    <x v="3"/>
    <x v="1"/>
    <x v="1"/>
    <n v="23"/>
    <n v="98"/>
    <n v="121"/>
    <n v="246"/>
    <n v="70"/>
    <n v="5"/>
    <n v="1383"/>
    <n v="2584"/>
    <n v="0.80991735537190079"/>
    <n v="0.80991735537190079"/>
    <n v="23"/>
    <n v="31809"/>
    <x v="0"/>
    <x v="7"/>
    <n v="253232"/>
  </r>
  <r>
    <s v="ORD237"/>
    <d v="2024-02-26T00:00:00"/>
    <x v="5"/>
    <x v="2"/>
    <x v="2"/>
    <n v="84"/>
    <n v="0"/>
    <n v="84"/>
    <n v="54"/>
    <n v="50"/>
    <n v="7"/>
    <n v="1153"/>
    <n v="2466"/>
    <n v="0"/>
    <n v="0"/>
    <n v="84"/>
    <n v="96852"/>
    <x v="1"/>
    <x v="4"/>
    <n v="0"/>
  </r>
  <r>
    <s v="ORD238"/>
    <d v="2024-06-20T00:00:00"/>
    <x v="4"/>
    <x v="2"/>
    <x v="1"/>
    <n v="38"/>
    <n v="28"/>
    <n v="66"/>
    <n v="24"/>
    <n v="77"/>
    <n v="8"/>
    <n v="1162"/>
    <n v="1521"/>
    <n v="0.42424242424242425"/>
    <n v="0.42424242424242425"/>
    <n v="38"/>
    <n v="44156"/>
    <x v="2"/>
    <x v="7"/>
    <n v="42588"/>
  </r>
  <r>
    <s v="ORD239"/>
    <d v="2024-01-29T00:00:00"/>
    <x v="6"/>
    <x v="1"/>
    <x v="1"/>
    <n v="11"/>
    <n v="8"/>
    <n v="19"/>
    <n v="191"/>
    <n v="33"/>
    <n v="5"/>
    <n v="727"/>
    <n v="1577"/>
    <n v="0.42105263157894735"/>
    <n v="0.42105263157894735"/>
    <n v="11"/>
    <n v="7997"/>
    <x v="2"/>
    <x v="6"/>
    <n v="12616"/>
  </r>
  <r>
    <s v="ORD240"/>
    <d v="2024-10-09T00:00:00"/>
    <x v="4"/>
    <x v="2"/>
    <x v="3"/>
    <n v="33"/>
    <n v="44"/>
    <n v="77"/>
    <n v="226"/>
    <n v="58"/>
    <n v="12"/>
    <n v="1554"/>
    <n v="2338"/>
    <n v="0.5714285714285714"/>
    <n v="0.5714285714285714"/>
    <n v="33"/>
    <n v="51282"/>
    <x v="2"/>
    <x v="5"/>
    <n v="102872"/>
  </r>
  <r>
    <s v="ORD241"/>
    <d v="2024-04-27T00:00:00"/>
    <x v="6"/>
    <x v="2"/>
    <x v="3"/>
    <n v="121"/>
    <n v="21"/>
    <n v="142"/>
    <n v="227"/>
    <n v="70"/>
    <n v="15"/>
    <n v="1638"/>
    <n v="2179"/>
    <n v="0.14788732394366197"/>
    <n v="0.14788732394366197"/>
    <n v="121"/>
    <n v="198198"/>
    <x v="1"/>
    <x v="9"/>
    <n v="45759"/>
  </r>
  <r>
    <s v="ORD242"/>
    <d v="2024-09-18T00:00:00"/>
    <x v="6"/>
    <x v="0"/>
    <x v="3"/>
    <n v="17"/>
    <n v="113"/>
    <n v="130"/>
    <n v="20"/>
    <n v="30"/>
    <n v="12"/>
    <n v="1173"/>
    <n v="1478"/>
    <n v="0.86923076923076925"/>
    <n v="0.86923076923076925"/>
    <n v="17"/>
    <n v="19941"/>
    <x v="0"/>
    <x v="8"/>
    <n v="167014"/>
  </r>
  <r>
    <s v="ORD243"/>
    <d v="2024-05-24T00:00:00"/>
    <x v="5"/>
    <x v="1"/>
    <x v="0"/>
    <n v="6"/>
    <n v="94"/>
    <n v="100"/>
    <n v="2"/>
    <n v="64"/>
    <n v="11"/>
    <n v="1742"/>
    <n v="1989"/>
    <n v="0.94"/>
    <n v="0.94"/>
    <n v="6"/>
    <n v="10452"/>
    <x v="0"/>
    <x v="11"/>
    <n v="186966"/>
  </r>
  <r>
    <s v="ORD244"/>
    <d v="2024-08-13T00:00:00"/>
    <x v="3"/>
    <x v="1"/>
    <x v="3"/>
    <n v="74"/>
    <n v="88"/>
    <n v="162"/>
    <n v="192"/>
    <n v="67"/>
    <n v="13"/>
    <n v="730"/>
    <n v="1013"/>
    <n v="0.54320987654320985"/>
    <n v="0.54320987654320985"/>
    <n v="74"/>
    <n v="54020"/>
    <x v="2"/>
    <x v="1"/>
    <n v="89144"/>
  </r>
  <r>
    <s v="ORD245"/>
    <d v="2024-03-03T00:00:00"/>
    <x v="7"/>
    <x v="0"/>
    <x v="4"/>
    <n v="103"/>
    <n v="60"/>
    <n v="163"/>
    <n v="299"/>
    <n v="78"/>
    <n v="10"/>
    <n v="1465"/>
    <n v="2738"/>
    <n v="0.36809815950920244"/>
    <n v="0.36809815950920244"/>
    <n v="103"/>
    <n v="150895"/>
    <x v="2"/>
    <x v="10"/>
    <n v="164280"/>
  </r>
  <r>
    <s v="ORD246"/>
    <d v="2024-12-28T00:00:00"/>
    <x v="6"/>
    <x v="1"/>
    <x v="3"/>
    <n v="78"/>
    <n v="73"/>
    <n v="151"/>
    <n v="10"/>
    <n v="75"/>
    <n v="12"/>
    <n v="640"/>
    <n v="1430"/>
    <n v="0.48344370860927155"/>
    <n v="0.48344370860927155"/>
    <n v="78"/>
    <n v="49920"/>
    <x v="2"/>
    <x v="0"/>
    <n v="104390"/>
  </r>
  <r>
    <s v="ORD247"/>
    <d v="2024-07-22T00:00:00"/>
    <x v="2"/>
    <x v="0"/>
    <x v="4"/>
    <s v="Not Available"/>
    <n v="14"/>
    <s v="-"/>
    <n v="45"/>
    <n v="69"/>
    <n v="13"/>
    <n v="453"/>
    <n v="859"/>
    <e v="#VALUE!"/>
    <s v="incomplete"/>
    <s v="Not Available"/>
    <n v="0"/>
    <x v="0"/>
    <x v="2"/>
    <n v="12026"/>
  </r>
  <r>
    <s v="ORD248"/>
    <d v="2024-12-11T00:00:00"/>
    <x v="4"/>
    <x v="0"/>
    <x v="0"/>
    <n v="132"/>
    <n v="42"/>
    <n v="174"/>
    <n v="254"/>
    <n v="36"/>
    <n v="5"/>
    <n v="876"/>
    <n v="2332"/>
    <n v="0.2413793103448276"/>
    <n v="0.2413793103448276"/>
    <n v="132"/>
    <n v="115632"/>
    <x v="1"/>
    <x v="0"/>
    <n v="97944"/>
  </r>
  <r>
    <s v="ORD249"/>
    <d v="2024-03-30T00:00:00"/>
    <x v="2"/>
    <x v="0"/>
    <x v="0"/>
    <n v="93"/>
    <n v="57"/>
    <n v="150"/>
    <n v="37"/>
    <n v="61"/>
    <n v="13"/>
    <n v="1908"/>
    <n v="2437"/>
    <n v="0.38"/>
    <n v="0.38"/>
    <n v="93"/>
    <n v="177444"/>
    <x v="2"/>
    <x v="10"/>
    <n v="138909"/>
  </r>
  <r>
    <s v="ORD250"/>
    <d v="2024-12-27T00:00:00"/>
    <x v="6"/>
    <x v="2"/>
    <x v="4"/>
    <n v="38"/>
    <n v="79"/>
    <n v="117"/>
    <n v="120"/>
    <n v="32"/>
    <n v="6"/>
    <n v="1701"/>
    <n v="2797"/>
    <n v="0.67521367521367526"/>
    <n v="0.67521367521367526"/>
    <n v="38"/>
    <n v="64638"/>
    <x v="0"/>
    <x v="0"/>
    <n v="220963"/>
  </r>
  <r>
    <s v="ORD251"/>
    <d v="2024-06-07T00:00:00"/>
    <x v="3"/>
    <x v="0"/>
    <x v="0"/>
    <n v="149"/>
    <n v="37"/>
    <n v="186"/>
    <n v="215"/>
    <n v="74"/>
    <n v="4"/>
    <n v="942"/>
    <n v="1679"/>
    <n v="0.19892473118279569"/>
    <n v="0.19892473118279569"/>
    <n v="149"/>
    <n v="140358"/>
    <x v="1"/>
    <x v="7"/>
    <n v="62123"/>
  </r>
  <r>
    <s v="ORD252"/>
    <d v="2024-01-01T00:00:00"/>
    <x v="7"/>
    <x v="0"/>
    <x v="4"/>
    <n v="20"/>
    <n v="100"/>
    <n v="120"/>
    <n v="58"/>
    <n v="73"/>
    <n v="4"/>
    <n v="1282"/>
    <n v="2536"/>
    <n v="0.83333333333333337"/>
    <n v="0.83333333333333337"/>
    <n v="20"/>
    <n v="25640"/>
    <x v="0"/>
    <x v="6"/>
    <n v="253600"/>
  </r>
  <r>
    <s v="ORD253"/>
    <d v="2024-11-05T00:00:00"/>
    <x v="2"/>
    <x v="1"/>
    <x v="1"/>
    <n v="80"/>
    <n v="84"/>
    <n v="164"/>
    <n v="219"/>
    <n v="38"/>
    <n v="5"/>
    <n v="1310"/>
    <n v="1640"/>
    <n v="0.51219512195121952"/>
    <n v="0.51219512195121952"/>
    <n v="80"/>
    <n v="104800"/>
    <x v="2"/>
    <x v="3"/>
    <n v="137760"/>
  </r>
  <r>
    <s v="ORD254"/>
    <d v="2024-02-14T00:00:00"/>
    <x v="0"/>
    <x v="2"/>
    <x v="0"/>
    <n v="96"/>
    <n v="56"/>
    <n v="152"/>
    <n v="64"/>
    <n v="72"/>
    <n v="12"/>
    <n v="1606"/>
    <n v="3052"/>
    <n v="0.36842105263157893"/>
    <n v="0.36842105263157893"/>
    <n v="96"/>
    <n v="154176"/>
    <x v="2"/>
    <x v="4"/>
    <n v="170912"/>
  </r>
  <r>
    <s v="ORD255"/>
    <d v="2024-03-01T00:00:00"/>
    <x v="2"/>
    <x v="0"/>
    <x v="4"/>
    <n v="131"/>
    <n v="88"/>
    <n v="219"/>
    <n v="126"/>
    <n v="35"/>
    <n v="15"/>
    <n v="416"/>
    <n v="1492"/>
    <n v="0.40182648401826482"/>
    <n v="0.40182648401826482"/>
    <n v="131"/>
    <n v="54496"/>
    <x v="2"/>
    <x v="10"/>
    <n v="131296"/>
  </r>
  <r>
    <s v="ORD256"/>
    <d v="2024-10-24T00:00:00"/>
    <x v="4"/>
    <x v="1"/>
    <x v="3"/>
    <n v="48"/>
    <n v="37"/>
    <n v="85"/>
    <n v="260"/>
    <n v="31"/>
    <n v="15"/>
    <n v="880"/>
    <n v="1337"/>
    <n v="0.43529411764705883"/>
    <n v="0.43529411764705883"/>
    <n v="48"/>
    <n v="42240"/>
    <x v="2"/>
    <x v="5"/>
    <n v="49469"/>
  </r>
  <r>
    <s v="ORD257"/>
    <d v="2024-10-02T00:00:00"/>
    <x v="4"/>
    <x v="1"/>
    <x v="0"/>
    <n v="143"/>
    <n v="37"/>
    <n v="180"/>
    <n v="39"/>
    <n v="51"/>
    <n v="7"/>
    <n v="613"/>
    <n v="1651"/>
    <n v="0.20555555555555555"/>
    <n v="0.20555555555555555"/>
    <n v="143"/>
    <n v="87659"/>
    <x v="1"/>
    <x v="5"/>
    <n v="61087"/>
  </r>
  <r>
    <s v="ORD258"/>
    <d v="2024-01-05T00:00:00"/>
    <x v="3"/>
    <x v="2"/>
    <x v="4"/>
    <n v="58"/>
    <n v="46"/>
    <n v="104"/>
    <n v="142"/>
    <n v="62"/>
    <n v="5"/>
    <n v="1673"/>
    <n v="2127"/>
    <n v="0.44230769230769229"/>
    <n v="0.44230769230769229"/>
    <n v="58"/>
    <n v="97034"/>
    <x v="2"/>
    <x v="6"/>
    <n v="97842"/>
  </r>
  <r>
    <s v="ORD259"/>
    <d v="2024-01-21T00:00:00"/>
    <x v="3"/>
    <x v="0"/>
    <x v="1"/>
    <n v="61"/>
    <n v="34"/>
    <n v="95"/>
    <n v="133"/>
    <n v="49"/>
    <n v="2"/>
    <n v="377"/>
    <n v="1122"/>
    <n v="0.35789473684210527"/>
    <n v="0.35789473684210527"/>
    <n v="61"/>
    <n v="22997"/>
    <x v="2"/>
    <x v="6"/>
    <n v="38148"/>
  </r>
  <r>
    <s v="ORD260"/>
    <d v="2024-06-19T00:00:00"/>
    <x v="2"/>
    <x v="0"/>
    <x v="0"/>
    <n v="146"/>
    <n v="9"/>
    <n v="155"/>
    <n v="178"/>
    <n v="76"/>
    <n v="6"/>
    <n v="595"/>
    <n v="1298"/>
    <n v="5.8064516129032261E-2"/>
    <n v="5.8064516129032261E-2"/>
    <n v="146"/>
    <n v="86870"/>
    <x v="1"/>
    <x v="7"/>
    <n v="11682"/>
  </r>
  <r>
    <s v="ORD261"/>
    <d v="2024-11-22T00:00:00"/>
    <x v="0"/>
    <x v="2"/>
    <x v="1"/>
    <n v="104"/>
    <n v="63"/>
    <n v="167"/>
    <n v="222"/>
    <n v="40"/>
    <n v="13"/>
    <n v="1716"/>
    <n v="2288"/>
    <n v="0.3772455089820359"/>
    <n v="0.3772455089820359"/>
    <n v="104"/>
    <n v="178464"/>
    <x v="2"/>
    <x v="3"/>
    <n v="144144"/>
  </r>
  <r>
    <s v="ORD262"/>
    <d v="2024-09-01T00:00:00"/>
    <x v="4"/>
    <x v="1"/>
    <x v="3"/>
    <n v="98"/>
    <n v="117"/>
    <n v="215"/>
    <n v="56"/>
    <n v="48"/>
    <n v="4"/>
    <n v="1541"/>
    <n v="3023"/>
    <n v="0.54418604651162794"/>
    <n v="0.54418604651162794"/>
    <n v="98"/>
    <n v="151018"/>
    <x v="2"/>
    <x v="8"/>
    <n v="353691"/>
  </r>
  <r>
    <s v="ORD263"/>
    <d v="2024-06-29T00:00:00"/>
    <x v="1"/>
    <x v="1"/>
    <x v="3"/>
    <n v="58"/>
    <n v="11"/>
    <n v="69"/>
    <n v="291"/>
    <n v="38"/>
    <n v="11"/>
    <n v="1597"/>
    <n v="2014"/>
    <n v="0.15942028985507245"/>
    <n v="0.15942028985507245"/>
    <n v="58"/>
    <n v="92626"/>
    <x v="1"/>
    <x v="7"/>
    <n v="22154"/>
  </r>
  <r>
    <s v="ORD264"/>
    <d v="2024-07-29T00:00:00"/>
    <x v="6"/>
    <x v="0"/>
    <x v="0"/>
    <n v="56"/>
    <n v="107"/>
    <n v="163"/>
    <n v="58"/>
    <n v="36"/>
    <n v="13"/>
    <n v="1233"/>
    <n v="2679"/>
    <n v="0.65644171779141103"/>
    <n v="0.65644171779141103"/>
    <n v="56"/>
    <n v="69048"/>
    <x v="0"/>
    <x v="2"/>
    <n v="286653"/>
  </r>
  <r>
    <s v="ORD265"/>
    <d v="2024-01-12T00:00:00"/>
    <x v="5"/>
    <x v="2"/>
    <x v="0"/>
    <n v="108"/>
    <n v="117"/>
    <n v="225"/>
    <n v="104"/>
    <n v="57"/>
    <n v="2"/>
    <n v="1220"/>
    <n v="2236"/>
    <n v="0.52"/>
    <n v="0.52"/>
    <n v="108"/>
    <n v="131760"/>
    <x v="2"/>
    <x v="6"/>
    <n v="261612"/>
  </r>
  <r>
    <s v="ORD266"/>
    <d v="2024-04-07T00:00:00"/>
    <x v="5"/>
    <x v="1"/>
    <x v="0"/>
    <s v="Not Available"/>
    <n v="30"/>
    <s v="-"/>
    <n v="15"/>
    <n v="38"/>
    <n v="14"/>
    <n v="753"/>
    <n v="969"/>
    <e v="#VALUE!"/>
    <s v="incomplete"/>
    <s v="Not Available"/>
    <n v="0"/>
    <x v="0"/>
    <x v="9"/>
    <n v="29070"/>
  </r>
  <r>
    <s v="ORD267"/>
    <d v="2024-07-21T00:00:00"/>
    <x v="3"/>
    <x v="0"/>
    <x v="0"/>
    <n v="106"/>
    <n v="50"/>
    <n v="156"/>
    <n v="111"/>
    <n v="43"/>
    <n v="2"/>
    <n v="1368"/>
    <n v="1744"/>
    <n v="0.32051282051282054"/>
    <n v="0.32051282051282054"/>
    <n v="106"/>
    <n v="145008"/>
    <x v="2"/>
    <x v="2"/>
    <n v="87200"/>
  </r>
  <r>
    <s v="ORD268"/>
    <d v="2024-09-11T00:00:00"/>
    <x v="7"/>
    <x v="1"/>
    <x v="1"/>
    <n v="123"/>
    <n v="82"/>
    <n v="205"/>
    <n v="226"/>
    <n v="71"/>
    <n v="2"/>
    <n v="1410"/>
    <n v="2347"/>
    <n v="0.4"/>
    <n v="0.4"/>
    <n v="123"/>
    <n v="173430"/>
    <x v="2"/>
    <x v="8"/>
    <n v="192454"/>
  </r>
  <r>
    <s v="ORD269"/>
    <d v="2024-04-28T00:00:00"/>
    <x v="1"/>
    <x v="1"/>
    <x v="1"/>
    <n v="98"/>
    <n v="55"/>
    <n v="153"/>
    <n v="236"/>
    <n v="49"/>
    <n v="8"/>
    <n v="1162"/>
    <n v="2008"/>
    <n v="0.35947712418300654"/>
    <n v="0.35947712418300654"/>
    <n v="98"/>
    <n v="113876"/>
    <x v="2"/>
    <x v="9"/>
    <n v="110440"/>
  </r>
  <r>
    <s v="ORD270"/>
    <d v="2024-01-14T00:00:00"/>
    <x v="7"/>
    <x v="1"/>
    <x v="4"/>
    <n v="39"/>
    <n v="11"/>
    <n v="50"/>
    <n v="187"/>
    <n v="39"/>
    <n v="10"/>
    <n v="1961"/>
    <n v="3381"/>
    <n v="0.22"/>
    <n v="0.22"/>
    <n v="39"/>
    <n v="76479"/>
    <x v="1"/>
    <x v="6"/>
    <n v="37191"/>
  </r>
  <r>
    <s v="ORD271"/>
    <d v="2024-03-31T00:00:00"/>
    <x v="0"/>
    <x v="0"/>
    <x v="3"/>
    <n v="44"/>
    <n v="76"/>
    <n v="120"/>
    <n v="271"/>
    <n v="61"/>
    <n v="13"/>
    <n v="1569"/>
    <n v="2347"/>
    <n v="0.6333333333333333"/>
    <n v="0.6333333333333333"/>
    <n v="44"/>
    <n v="69036"/>
    <x v="0"/>
    <x v="10"/>
    <n v="178372"/>
  </r>
  <r>
    <s v="ORD272"/>
    <d v="2024-08-01T00:00:00"/>
    <x v="3"/>
    <x v="2"/>
    <x v="1"/>
    <n v="56"/>
    <n v="62"/>
    <n v="118"/>
    <n v="156"/>
    <n v="79"/>
    <n v="7"/>
    <n v="1786"/>
    <n v="3028"/>
    <n v="0.52542372881355937"/>
    <n v="0.52542372881355937"/>
    <n v="56"/>
    <n v="100016"/>
    <x v="2"/>
    <x v="1"/>
    <n v="187736"/>
  </r>
  <r>
    <s v="ORD273"/>
    <d v="2024-01-17T00:00:00"/>
    <x v="6"/>
    <x v="1"/>
    <x v="4"/>
    <n v="47"/>
    <n v="70"/>
    <n v="117"/>
    <n v="54"/>
    <n v="58"/>
    <n v="8"/>
    <n v="616"/>
    <n v="1283"/>
    <n v="0.59829059829059827"/>
    <n v="0.59829059829059827"/>
    <n v="47"/>
    <n v="28952"/>
    <x v="2"/>
    <x v="6"/>
    <n v="89810"/>
  </r>
  <r>
    <s v="ORD274"/>
    <d v="2024-09-30T00:00:00"/>
    <x v="6"/>
    <x v="2"/>
    <x v="4"/>
    <n v="48"/>
    <n v="96"/>
    <n v="144"/>
    <n v="75"/>
    <n v="57"/>
    <n v="5"/>
    <n v="885"/>
    <n v="1210"/>
    <n v="0.66666666666666663"/>
    <n v="0.66666666666666663"/>
    <n v="48"/>
    <n v="42480"/>
    <x v="0"/>
    <x v="8"/>
    <n v="116160"/>
  </r>
  <r>
    <s v="ORD275"/>
    <d v="2024-07-29T00:00:00"/>
    <x v="1"/>
    <x v="2"/>
    <x v="1"/>
    <n v="23"/>
    <n v="94"/>
    <n v="117"/>
    <n v="5"/>
    <n v="57"/>
    <n v="6"/>
    <n v="1819"/>
    <n v="2549"/>
    <n v="0.80341880341880345"/>
    <n v="0.80341880341880345"/>
    <n v="23"/>
    <n v="41837"/>
    <x v="0"/>
    <x v="2"/>
    <n v="239606"/>
  </r>
  <r>
    <s v="ORD276"/>
    <d v="2024-12-13T00:00:00"/>
    <x v="2"/>
    <x v="2"/>
    <x v="0"/>
    <n v="10"/>
    <n v="29"/>
    <n v="39"/>
    <n v="249"/>
    <n v="55"/>
    <n v="13"/>
    <n v="2000"/>
    <n v="2776"/>
    <n v="0.74358974358974361"/>
    <n v="0.74358974358974361"/>
    <n v="10"/>
    <n v="20000"/>
    <x v="0"/>
    <x v="0"/>
    <n v="80504"/>
  </r>
  <r>
    <s v="ORD277"/>
    <d v="2024-02-18T00:00:00"/>
    <x v="2"/>
    <x v="1"/>
    <x v="0"/>
    <n v="58"/>
    <n v="86"/>
    <n v="144"/>
    <n v="287"/>
    <n v="67"/>
    <n v="6"/>
    <n v="1278"/>
    <n v="2007"/>
    <n v="0.59722222222222221"/>
    <n v="0.59722222222222221"/>
    <n v="58"/>
    <n v="74124"/>
    <x v="2"/>
    <x v="4"/>
    <n v="172602"/>
  </r>
  <r>
    <s v="ORD278"/>
    <d v="2024-06-26T00:00:00"/>
    <x v="7"/>
    <x v="0"/>
    <x v="1"/>
    <n v="73"/>
    <n v="77"/>
    <n v="150"/>
    <n v="229"/>
    <n v="54"/>
    <n v="9"/>
    <n v="228"/>
    <n v="1593"/>
    <n v="0.51333333333333331"/>
    <n v="0.51333333333333331"/>
    <n v="73"/>
    <n v="16644"/>
    <x v="2"/>
    <x v="7"/>
    <n v="122661"/>
  </r>
  <r>
    <s v="ORD279"/>
    <d v="2024-12-09T00:00:00"/>
    <x v="2"/>
    <x v="2"/>
    <x v="0"/>
    <n v="120"/>
    <n v="12"/>
    <n v="132"/>
    <n v="9"/>
    <n v="42"/>
    <n v="15"/>
    <n v="994"/>
    <n v="1861"/>
    <n v="9.0909090909090912E-2"/>
    <n v="9.0909090909090912E-2"/>
    <n v="120"/>
    <n v="119280"/>
    <x v="1"/>
    <x v="0"/>
    <n v="22332"/>
  </r>
  <r>
    <s v="ORD280"/>
    <d v="2024-05-23T00:00:00"/>
    <x v="5"/>
    <x v="2"/>
    <x v="3"/>
    <n v="14"/>
    <n v="91"/>
    <n v="105"/>
    <n v="220"/>
    <n v="77"/>
    <n v="6"/>
    <n v="1730"/>
    <n v="2116"/>
    <n v="0.8666666666666667"/>
    <n v="0.8666666666666667"/>
    <n v="14"/>
    <n v="24220"/>
    <x v="0"/>
    <x v="11"/>
    <n v="192556"/>
  </r>
  <r>
    <s v="ORD281"/>
    <d v="2024-05-02T00:00:00"/>
    <x v="2"/>
    <x v="0"/>
    <x v="3"/>
    <n v="59"/>
    <n v="51"/>
    <n v="110"/>
    <n v="180"/>
    <n v="64"/>
    <n v="8"/>
    <n v="232"/>
    <n v="1307"/>
    <n v="0.46363636363636362"/>
    <n v="0.46363636363636362"/>
    <n v="59"/>
    <n v="13688"/>
    <x v="2"/>
    <x v="11"/>
    <n v="66657"/>
  </r>
  <r>
    <s v="ORD282"/>
    <d v="2024-04-06T00:00:00"/>
    <x v="6"/>
    <x v="0"/>
    <x v="1"/>
    <n v="102"/>
    <n v="34"/>
    <n v="136"/>
    <n v="4"/>
    <n v="35"/>
    <n v="10"/>
    <n v="1115"/>
    <n v="1908"/>
    <n v="0.25"/>
    <n v="0.25"/>
    <n v="102"/>
    <n v="113730"/>
    <x v="1"/>
    <x v="9"/>
    <n v="64872"/>
  </r>
  <r>
    <s v="ORD283"/>
    <d v="2024-04-12T00:00:00"/>
    <x v="1"/>
    <x v="2"/>
    <x v="1"/>
    <n v="16"/>
    <n v="17"/>
    <n v="33"/>
    <n v="74"/>
    <n v="46"/>
    <n v="2"/>
    <n v="1913"/>
    <n v="2613"/>
    <n v="0.51515151515151514"/>
    <n v="0.51515151515151514"/>
    <n v="16"/>
    <n v="30608"/>
    <x v="2"/>
    <x v="9"/>
    <n v="44421"/>
  </r>
  <r>
    <s v="ORD284"/>
    <d v="2024-06-16T00:00:00"/>
    <x v="3"/>
    <x v="2"/>
    <x v="0"/>
    <n v="62"/>
    <n v="80"/>
    <n v="142"/>
    <n v="193"/>
    <n v="72"/>
    <n v="2"/>
    <n v="490"/>
    <n v="1768"/>
    <n v="0.56338028169014087"/>
    <n v="0.56338028169014087"/>
    <n v="62"/>
    <n v="30380"/>
    <x v="2"/>
    <x v="7"/>
    <n v="141440"/>
  </r>
  <r>
    <s v="ORD285"/>
    <d v="2024-09-01T00:00:00"/>
    <x v="0"/>
    <x v="0"/>
    <x v="3"/>
    <n v="96"/>
    <n v="39"/>
    <n v="135"/>
    <n v="132"/>
    <n v="65"/>
    <n v="13"/>
    <n v="378"/>
    <n v="1195"/>
    <n v="0.28888888888888886"/>
    <n v="0.28888888888888886"/>
    <n v="96"/>
    <n v="36288"/>
    <x v="1"/>
    <x v="8"/>
    <n v="46605"/>
  </r>
  <r>
    <s v="ORD286"/>
    <d v="2024-03-29T00:00:00"/>
    <x v="4"/>
    <x v="1"/>
    <x v="4"/>
    <n v="127"/>
    <n v="15"/>
    <n v="142"/>
    <n v="83"/>
    <n v="64"/>
    <n v="13"/>
    <n v="991"/>
    <n v="2331"/>
    <n v="0.10563380281690141"/>
    <n v="0.10563380281690141"/>
    <n v="127"/>
    <n v="125857"/>
    <x v="1"/>
    <x v="10"/>
    <n v="34965"/>
  </r>
  <r>
    <s v="ORD287"/>
    <d v="2024-08-19T00:00:00"/>
    <x v="3"/>
    <x v="2"/>
    <x v="4"/>
    <n v="116"/>
    <n v="81"/>
    <n v="197"/>
    <n v="207"/>
    <n v="36"/>
    <n v="2"/>
    <n v="827"/>
    <n v="1920"/>
    <n v="0.41116751269035534"/>
    <n v="0.41116751269035534"/>
    <n v="116"/>
    <n v="95932"/>
    <x v="2"/>
    <x v="1"/>
    <n v="155520"/>
  </r>
  <r>
    <s v="ORD288"/>
    <d v="2024-05-03T00:00:00"/>
    <x v="3"/>
    <x v="2"/>
    <x v="3"/>
    <n v="75"/>
    <n v="84"/>
    <n v="159"/>
    <n v="125"/>
    <n v="69"/>
    <n v="11"/>
    <n v="957"/>
    <n v="2216"/>
    <n v="0.52830188679245282"/>
    <n v="0.52830188679245282"/>
    <n v="75"/>
    <n v="71775"/>
    <x v="2"/>
    <x v="11"/>
    <n v="186144"/>
  </r>
  <r>
    <s v="ORD289"/>
    <d v="2024-07-10T00:00:00"/>
    <x v="6"/>
    <x v="0"/>
    <x v="3"/>
    <n v="90"/>
    <n v="42"/>
    <n v="132"/>
    <n v="126"/>
    <n v="47"/>
    <n v="14"/>
    <n v="1347"/>
    <n v="2833"/>
    <n v="0.31818181818181818"/>
    <n v="0.31818181818181818"/>
    <n v="90"/>
    <n v="121230"/>
    <x v="2"/>
    <x v="2"/>
    <n v="118986"/>
  </r>
  <r>
    <s v="ORD290"/>
    <d v="2024-08-04T00:00:00"/>
    <x v="6"/>
    <x v="1"/>
    <x v="3"/>
    <n v="32"/>
    <n v="116"/>
    <n v="148"/>
    <n v="62"/>
    <n v="40"/>
    <n v="11"/>
    <n v="1576"/>
    <n v="2774"/>
    <n v="0.78378378378378377"/>
    <n v="0.78378378378378377"/>
    <n v="32"/>
    <n v="50432"/>
    <x v="0"/>
    <x v="1"/>
    <n v="321784"/>
  </r>
  <r>
    <s v="ORD291"/>
    <d v="2024-08-23T00:00:00"/>
    <x v="7"/>
    <x v="1"/>
    <x v="1"/>
    <n v="131"/>
    <n v="21"/>
    <n v="152"/>
    <n v="1"/>
    <n v="58"/>
    <n v="9"/>
    <n v="591"/>
    <n v="1121"/>
    <n v="0.13815789473684212"/>
    <n v="0.13815789473684212"/>
    <n v="131"/>
    <n v="77421"/>
    <x v="1"/>
    <x v="1"/>
    <n v="23541"/>
  </r>
  <r>
    <s v="ORD292"/>
    <d v="2024-07-31T00:00:00"/>
    <x v="2"/>
    <x v="2"/>
    <x v="4"/>
    <n v="82"/>
    <n v="23"/>
    <n v="105"/>
    <n v="285"/>
    <n v="52"/>
    <n v="8"/>
    <n v="604"/>
    <n v="719"/>
    <n v="0.21904761904761905"/>
    <n v="0.21904761904761905"/>
    <n v="82"/>
    <n v="49528"/>
    <x v="1"/>
    <x v="2"/>
    <n v="16537"/>
  </r>
  <r>
    <s v="ORD293"/>
    <d v="2024-08-16T00:00:00"/>
    <x v="6"/>
    <x v="0"/>
    <x v="4"/>
    <n v="106"/>
    <n v="41"/>
    <n v="147"/>
    <n v="37"/>
    <n v="70"/>
    <n v="6"/>
    <n v="1527"/>
    <n v="1671"/>
    <n v="0.27891156462585032"/>
    <n v="0.27891156462585032"/>
    <n v="106"/>
    <n v="161862"/>
    <x v="1"/>
    <x v="1"/>
    <n v="68511"/>
  </r>
  <r>
    <s v="ORD294"/>
    <d v="2024-08-17T00:00:00"/>
    <x v="6"/>
    <x v="1"/>
    <x v="3"/>
    <n v="148"/>
    <n v="69"/>
    <n v="217"/>
    <n v="23"/>
    <n v="70"/>
    <n v="2"/>
    <n v="1853"/>
    <n v="3193"/>
    <n v="0.31797235023041476"/>
    <n v="0.31797235023041476"/>
    <n v="148"/>
    <n v="274244"/>
    <x v="2"/>
    <x v="1"/>
    <n v="220317"/>
  </r>
  <r>
    <s v="ORD295"/>
    <d v="2024-06-08T00:00:00"/>
    <x v="7"/>
    <x v="2"/>
    <x v="0"/>
    <n v="33"/>
    <n v="77"/>
    <n v="110"/>
    <n v="264"/>
    <n v="72"/>
    <n v="15"/>
    <n v="1954"/>
    <n v="2210"/>
    <n v="0.7"/>
    <n v="0.7"/>
    <n v="33"/>
    <n v="64482"/>
    <x v="0"/>
    <x v="7"/>
    <n v="170170"/>
  </r>
  <r>
    <s v="ORD296"/>
    <d v="2024-01-20T00:00:00"/>
    <x v="1"/>
    <x v="1"/>
    <x v="0"/>
    <n v="22"/>
    <n v="58"/>
    <n v="80"/>
    <n v="258"/>
    <n v="30"/>
    <n v="2"/>
    <n v="676"/>
    <n v="1456"/>
    <n v="0.72499999999999998"/>
    <n v="0.72499999999999998"/>
    <n v="22"/>
    <n v="14872"/>
    <x v="0"/>
    <x v="6"/>
    <n v="84448"/>
  </r>
  <r>
    <s v="ORD297"/>
    <d v="2024-07-11T00:00:00"/>
    <x v="7"/>
    <x v="2"/>
    <x v="2"/>
    <n v="87"/>
    <n v="52"/>
    <n v="139"/>
    <n v="15"/>
    <n v="72"/>
    <n v="4"/>
    <n v="1125"/>
    <n v="2478"/>
    <n v="0.37410071942446044"/>
    <n v="0.37410071942446044"/>
    <n v="87"/>
    <n v="97875"/>
    <x v="2"/>
    <x v="2"/>
    <n v="128856"/>
  </r>
  <r>
    <s v="ORD298"/>
    <d v="2024-12-27T00:00:00"/>
    <x v="1"/>
    <x v="2"/>
    <x v="4"/>
    <n v="93"/>
    <n v="76"/>
    <n v="169"/>
    <n v="242"/>
    <n v="56"/>
    <n v="4"/>
    <n v="1981"/>
    <n v="3243"/>
    <n v="0.44970414201183434"/>
    <n v="0.44970414201183434"/>
    <n v="93"/>
    <n v="184233"/>
    <x v="2"/>
    <x v="0"/>
    <n v="246468"/>
  </r>
  <r>
    <s v="ORD299"/>
    <d v="2024-09-17T00:00:00"/>
    <x v="7"/>
    <x v="0"/>
    <x v="1"/>
    <n v="110"/>
    <n v="7"/>
    <n v="117"/>
    <n v="84"/>
    <n v="59"/>
    <n v="14"/>
    <n v="528"/>
    <n v="847"/>
    <n v="5.9829059829059832E-2"/>
    <n v="5.9829059829059832E-2"/>
    <n v="110"/>
    <n v="58080"/>
    <x v="1"/>
    <x v="8"/>
    <n v="5929"/>
  </r>
  <r>
    <s v="ORD300"/>
    <d v="2024-06-30T00:00:00"/>
    <x v="2"/>
    <x v="0"/>
    <x v="3"/>
    <n v="118"/>
    <n v="67"/>
    <n v="185"/>
    <n v="279"/>
    <n v="33"/>
    <n v="11"/>
    <n v="1651"/>
    <n v="2186"/>
    <n v="0.36216216216216218"/>
    <n v="0.36216216216216218"/>
    <n v="118"/>
    <n v="194818"/>
    <x v="2"/>
    <x v="7"/>
    <n v="146462"/>
  </r>
  <r>
    <s v="ORD301"/>
    <d v="2024-12-19T00:00:00"/>
    <x v="6"/>
    <x v="1"/>
    <x v="3"/>
    <n v="94"/>
    <n v="115"/>
    <n v="209"/>
    <n v="91"/>
    <n v="65"/>
    <n v="5"/>
    <n v="1586"/>
    <n v="1954"/>
    <n v="0.55023923444976075"/>
    <n v="0.55023923444976075"/>
    <n v="94"/>
    <n v="149084"/>
    <x v="2"/>
    <x v="0"/>
    <n v="224710"/>
  </r>
  <r>
    <s v="ORD302"/>
    <d v="2024-01-30T00:00:00"/>
    <x v="4"/>
    <x v="1"/>
    <x v="0"/>
    <n v="118"/>
    <n v="54"/>
    <n v="172"/>
    <n v="185"/>
    <n v="56"/>
    <n v="7"/>
    <n v="1207"/>
    <n v="1837"/>
    <n v="0.31395348837209303"/>
    <n v="0.31395348837209303"/>
    <n v="118"/>
    <n v="142426"/>
    <x v="2"/>
    <x v="6"/>
    <n v="99198"/>
  </r>
  <r>
    <s v="ORD303"/>
    <d v="2024-02-19T00:00:00"/>
    <x v="0"/>
    <x v="0"/>
    <x v="0"/>
    <n v="28"/>
    <n v="23"/>
    <n v="51"/>
    <n v="97"/>
    <n v="67"/>
    <n v="15"/>
    <n v="244"/>
    <n v="1365"/>
    <n v="0.45098039215686275"/>
    <n v="0.45098039215686275"/>
    <n v="28"/>
    <n v="6832"/>
    <x v="2"/>
    <x v="4"/>
    <n v="31395"/>
  </r>
  <r>
    <s v="ORD304"/>
    <d v="2024-05-05T00:00:00"/>
    <x v="4"/>
    <x v="0"/>
    <x v="4"/>
    <n v="62"/>
    <n v="114"/>
    <n v="176"/>
    <n v="27"/>
    <n v="79"/>
    <n v="15"/>
    <n v="871"/>
    <n v="1599"/>
    <n v="0.64772727272727271"/>
    <n v="0.64772727272727271"/>
    <n v="62"/>
    <n v="54002"/>
    <x v="0"/>
    <x v="11"/>
    <n v="182286"/>
  </r>
  <r>
    <s v="ORD305"/>
    <d v="2024-07-07T00:00:00"/>
    <x v="7"/>
    <x v="2"/>
    <x v="1"/>
    <n v="68"/>
    <n v="31"/>
    <n v="99"/>
    <n v="206"/>
    <n v="68"/>
    <n v="13"/>
    <n v="1162"/>
    <n v="2627"/>
    <n v="0.31313131313131315"/>
    <n v="0.31313131313131315"/>
    <n v="68"/>
    <n v="79016"/>
    <x v="2"/>
    <x v="2"/>
    <n v="81437"/>
  </r>
  <r>
    <s v="ORD306"/>
    <d v="2024-12-19T00:00:00"/>
    <x v="6"/>
    <x v="0"/>
    <x v="0"/>
    <n v="117"/>
    <n v="94"/>
    <n v="211"/>
    <n v="205"/>
    <n v="42"/>
    <n v="10"/>
    <n v="1668"/>
    <n v="2127"/>
    <n v="0.44549763033175355"/>
    <n v="0.44549763033175355"/>
    <n v="117"/>
    <n v="195156"/>
    <x v="2"/>
    <x v="0"/>
    <n v="199938"/>
  </r>
  <r>
    <s v="ORD307"/>
    <d v="2024-09-25T00:00:00"/>
    <x v="0"/>
    <x v="0"/>
    <x v="4"/>
    <n v="51"/>
    <n v="3"/>
    <n v="54"/>
    <n v="253"/>
    <n v="52"/>
    <n v="3"/>
    <n v="1145"/>
    <n v="2439"/>
    <n v="5.5555555555555552E-2"/>
    <n v="5.5555555555555552E-2"/>
    <n v="51"/>
    <n v="58395"/>
    <x v="1"/>
    <x v="8"/>
    <n v="7317"/>
  </r>
  <r>
    <s v="ORD308"/>
    <d v="2024-03-18T00:00:00"/>
    <x v="2"/>
    <x v="2"/>
    <x v="2"/>
    <n v="142"/>
    <n v="81"/>
    <n v="223"/>
    <n v="210"/>
    <n v="75"/>
    <n v="7"/>
    <n v="637"/>
    <n v="1112"/>
    <n v="0.3632286995515695"/>
    <n v="0.3632286995515695"/>
    <n v="142"/>
    <n v="90454"/>
    <x v="2"/>
    <x v="10"/>
    <n v="90072"/>
  </r>
  <r>
    <s v="ORD309"/>
    <d v="2024-07-21T00:00:00"/>
    <x v="5"/>
    <x v="1"/>
    <x v="4"/>
    <n v="45"/>
    <n v="84"/>
    <n v="129"/>
    <n v="192"/>
    <n v="39"/>
    <n v="10"/>
    <n v="968"/>
    <n v="2276"/>
    <n v="0.65116279069767447"/>
    <n v="0.65116279069767447"/>
    <n v="45"/>
    <n v="43560"/>
    <x v="0"/>
    <x v="2"/>
    <n v="191184"/>
  </r>
  <r>
    <s v="ORD310"/>
    <d v="2024-12-20T00:00:00"/>
    <x v="0"/>
    <x v="0"/>
    <x v="1"/>
    <n v="11"/>
    <n v="56"/>
    <n v="67"/>
    <n v="285"/>
    <n v="71"/>
    <n v="9"/>
    <n v="594"/>
    <n v="767"/>
    <n v="0.83582089552238803"/>
    <n v="0.83582089552238803"/>
    <n v="11"/>
    <n v="6534"/>
    <x v="0"/>
    <x v="0"/>
    <n v="42952"/>
  </r>
  <r>
    <s v="ORD311"/>
    <d v="2024-11-06T00:00:00"/>
    <x v="7"/>
    <x v="2"/>
    <x v="3"/>
    <n v="99"/>
    <n v="83"/>
    <n v="182"/>
    <n v="289"/>
    <n v="36"/>
    <n v="4"/>
    <n v="484"/>
    <n v="1141"/>
    <n v="0.45604395604395603"/>
    <n v="0.45604395604395603"/>
    <n v="99"/>
    <n v="47916"/>
    <x v="2"/>
    <x v="3"/>
    <n v="94703"/>
  </r>
  <r>
    <s v="ORD312"/>
    <d v="2024-06-27T00:00:00"/>
    <x v="4"/>
    <x v="2"/>
    <x v="3"/>
    <n v="122"/>
    <n v="56"/>
    <n v="178"/>
    <n v="52"/>
    <n v="58"/>
    <n v="15"/>
    <n v="270"/>
    <n v="1706"/>
    <n v="0.3146067415730337"/>
    <n v="0.3146067415730337"/>
    <n v="122"/>
    <n v="32940"/>
    <x v="2"/>
    <x v="7"/>
    <n v="95536"/>
  </r>
  <r>
    <s v="ORD313"/>
    <d v="2024-08-20T00:00:00"/>
    <x v="2"/>
    <x v="0"/>
    <x v="3"/>
    <n v="46"/>
    <n v="100"/>
    <n v="146"/>
    <n v="201"/>
    <n v="38"/>
    <n v="13"/>
    <n v="212"/>
    <n v="357"/>
    <n v="0.68493150684931503"/>
    <n v="0.68493150684931503"/>
    <n v="46"/>
    <n v="9752"/>
    <x v="0"/>
    <x v="1"/>
    <n v="35700"/>
  </r>
  <r>
    <s v="ORD314"/>
    <d v="2024-06-23T00:00:00"/>
    <x v="4"/>
    <x v="1"/>
    <x v="4"/>
    <n v="147"/>
    <n v="61"/>
    <n v="208"/>
    <n v="37"/>
    <n v="55"/>
    <n v="9"/>
    <n v="1346"/>
    <n v="2252"/>
    <n v="0.29326923076923078"/>
    <n v="0.29326923076923078"/>
    <n v="147"/>
    <n v="197862"/>
    <x v="1"/>
    <x v="7"/>
    <n v="137372"/>
  </r>
  <r>
    <s v="ORD315"/>
    <d v="2024-12-19T00:00:00"/>
    <x v="7"/>
    <x v="1"/>
    <x v="2"/>
    <n v="65"/>
    <n v="17"/>
    <n v="82"/>
    <n v="201"/>
    <n v="43"/>
    <n v="4"/>
    <n v="1906"/>
    <n v="2098"/>
    <n v="0.2073170731707317"/>
    <n v="0.2073170731707317"/>
    <n v="65"/>
    <n v="123890"/>
    <x v="1"/>
    <x v="0"/>
    <n v="35666"/>
  </r>
  <r>
    <s v="ORD316"/>
    <d v="2024-12-19T00:00:00"/>
    <x v="1"/>
    <x v="0"/>
    <x v="3"/>
    <n v="102"/>
    <n v="82"/>
    <n v="184"/>
    <n v="51"/>
    <n v="34"/>
    <n v="9"/>
    <n v="700"/>
    <n v="1962"/>
    <n v="0.44565217391304346"/>
    <n v="0.44565217391304346"/>
    <n v="102"/>
    <n v="71400"/>
    <x v="2"/>
    <x v="0"/>
    <n v="160884"/>
  </r>
  <r>
    <s v="ORD317"/>
    <d v="2024-01-05T00:00:00"/>
    <x v="1"/>
    <x v="1"/>
    <x v="2"/>
    <s v="Not Available"/>
    <n v="13"/>
    <s v="-"/>
    <n v="198"/>
    <n v="76"/>
    <n v="15"/>
    <n v="1968"/>
    <n v="2630"/>
    <e v="#VALUE!"/>
    <s v="incomplete"/>
    <s v="Not Available"/>
    <n v="0"/>
    <x v="0"/>
    <x v="6"/>
    <n v="34190"/>
  </r>
  <r>
    <s v="ORD318"/>
    <d v="2024-06-02T00:00:00"/>
    <x v="3"/>
    <x v="1"/>
    <x v="3"/>
    <n v="24"/>
    <n v="39"/>
    <n v="63"/>
    <n v="198"/>
    <n v="53"/>
    <n v="9"/>
    <n v="1723"/>
    <n v="2221"/>
    <n v="0.61904761904761907"/>
    <n v="0.61904761904761907"/>
    <n v="24"/>
    <n v="41352"/>
    <x v="0"/>
    <x v="7"/>
    <n v="86619"/>
  </r>
  <r>
    <s v="ORD319"/>
    <d v="2024-02-13T00:00:00"/>
    <x v="7"/>
    <x v="0"/>
    <x v="0"/>
    <n v="65"/>
    <n v="110"/>
    <n v="175"/>
    <n v="28"/>
    <n v="48"/>
    <n v="3"/>
    <n v="1558"/>
    <n v="1689"/>
    <n v="0.62857142857142856"/>
    <n v="0.62857142857142856"/>
    <n v="65"/>
    <n v="101270"/>
    <x v="0"/>
    <x v="4"/>
    <n v="185790"/>
  </r>
  <r>
    <s v="ORD320"/>
    <d v="2024-11-01T00:00:00"/>
    <x v="5"/>
    <x v="2"/>
    <x v="0"/>
    <n v="103"/>
    <n v="48"/>
    <n v="151"/>
    <n v="42"/>
    <n v="32"/>
    <n v="11"/>
    <n v="724"/>
    <n v="992"/>
    <n v="0.31788079470198677"/>
    <n v="0.31788079470198677"/>
    <n v="103"/>
    <n v="74572"/>
    <x v="2"/>
    <x v="3"/>
    <n v="47616"/>
  </r>
  <r>
    <s v="ORD321"/>
    <d v="2024-06-28T00:00:00"/>
    <x v="5"/>
    <x v="1"/>
    <x v="4"/>
    <n v="106"/>
    <n v="117"/>
    <n v="223"/>
    <n v="208"/>
    <n v="34"/>
    <n v="11"/>
    <n v="1749"/>
    <n v="2225"/>
    <n v="0.5246636771300448"/>
    <n v="0.5246636771300448"/>
    <n v="106"/>
    <n v="185394"/>
    <x v="2"/>
    <x v="7"/>
    <n v="260325"/>
  </r>
  <r>
    <s v="ORD322"/>
    <d v="2024-06-27T00:00:00"/>
    <x v="0"/>
    <x v="0"/>
    <x v="1"/>
    <n v="117"/>
    <n v="67"/>
    <n v="184"/>
    <n v="181"/>
    <n v="67"/>
    <n v="11"/>
    <n v="1842"/>
    <n v="3128"/>
    <n v="0.3641304347826087"/>
    <n v="0.3641304347826087"/>
    <n v="117"/>
    <n v="215514"/>
    <x v="2"/>
    <x v="7"/>
    <n v="209576"/>
  </r>
  <r>
    <s v="ORD323"/>
    <d v="2024-08-29T00:00:00"/>
    <x v="2"/>
    <x v="2"/>
    <x v="3"/>
    <n v="136"/>
    <n v="7"/>
    <n v="143"/>
    <n v="169"/>
    <n v="37"/>
    <n v="14"/>
    <n v="1426"/>
    <n v="1720"/>
    <n v="4.8951048951048952E-2"/>
    <n v="4.8951048951048952E-2"/>
    <n v="136"/>
    <n v="193936"/>
    <x v="1"/>
    <x v="1"/>
    <n v="12040"/>
  </r>
  <r>
    <s v="ORD324"/>
    <d v="2024-05-16T00:00:00"/>
    <x v="3"/>
    <x v="1"/>
    <x v="1"/>
    <n v="7"/>
    <n v="64"/>
    <n v="71"/>
    <n v="288"/>
    <n v="77"/>
    <n v="15"/>
    <n v="1028"/>
    <n v="1439"/>
    <n v="0.90140845070422537"/>
    <n v="0.90140845070422537"/>
    <n v="7"/>
    <n v="7196"/>
    <x v="0"/>
    <x v="11"/>
    <n v="92096"/>
  </r>
  <r>
    <s v="ORD325"/>
    <d v="2024-11-05T00:00:00"/>
    <x v="2"/>
    <x v="2"/>
    <x v="4"/>
    <n v="95"/>
    <n v="27"/>
    <n v="122"/>
    <n v="54"/>
    <n v="40"/>
    <n v="13"/>
    <n v="1566"/>
    <n v="2047"/>
    <n v="0.22131147540983606"/>
    <n v="0.22131147540983606"/>
    <n v="95"/>
    <n v="148770"/>
    <x v="1"/>
    <x v="3"/>
    <n v="55269"/>
  </r>
  <r>
    <s v="ORD326"/>
    <d v="2024-03-18T00:00:00"/>
    <x v="5"/>
    <x v="1"/>
    <x v="3"/>
    <n v="119"/>
    <n v="36"/>
    <n v="155"/>
    <n v="221"/>
    <n v="78"/>
    <n v="14"/>
    <n v="402"/>
    <n v="795"/>
    <n v="0.23225806451612904"/>
    <n v="0.23225806451612904"/>
    <n v="119"/>
    <n v="47838"/>
    <x v="1"/>
    <x v="10"/>
    <n v="28620"/>
  </r>
  <r>
    <s v="ORD327"/>
    <d v="2024-08-26T00:00:00"/>
    <x v="2"/>
    <x v="0"/>
    <x v="0"/>
    <n v="107"/>
    <n v="36"/>
    <n v="143"/>
    <n v="11"/>
    <n v="66"/>
    <n v="12"/>
    <n v="1893"/>
    <n v="3007"/>
    <n v="0.25174825174825177"/>
    <n v="0.25174825174825177"/>
    <n v="107"/>
    <n v="202551"/>
    <x v="1"/>
    <x v="1"/>
    <n v="108252"/>
  </r>
  <r>
    <s v="ORD328"/>
    <d v="2024-07-21T00:00:00"/>
    <x v="7"/>
    <x v="2"/>
    <x v="1"/>
    <n v="53"/>
    <n v="42"/>
    <n v="95"/>
    <n v="275"/>
    <n v="40"/>
    <n v="2"/>
    <n v="471"/>
    <n v="1551"/>
    <n v="0.44210526315789472"/>
    <n v="0.44210526315789472"/>
    <n v="53"/>
    <n v="24963"/>
    <x v="2"/>
    <x v="2"/>
    <n v="65142"/>
  </r>
  <r>
    <s v="ORD329"/>
    <d v="2024-05-15T00:00:00"/>
    <x v="6"/>
    <x v="0"/>
    <x v="1"/>
    <n v="149"/>
    <n v="51"/>
    <n v="200"/>
    <n v="100"/>
    <n v="41"/>
    <n v="9"/>
    <n v="920"/>
    <n v="2308"/>
    <n v="0.255"/>
    <n v="0.255"/>
    <n v="149"/>
    <n v="137080"/>
    <x v="1"/>
    <x v="11"/>
    <n v="117708"/>
  </r>
  <r>
    <s v="ORD330"/>
    <d v="2024-06-03T00:00:00"/>
    <x v="2"/>
    <x v="1"/>
    <x v="3"/>
    <n v="112"/>
    <n v="48"/>
    <n v="160"/>
    <n v="183"/>
    <n v="32"/>
    <n v="7"/>
    <n v="570"/>
    <n v="1039"/>
    <n v="0.3"/>
    <n v="0.3"/>
    <n v="112"/>
    <n v="63840"/>
    <x v="2"/>
    <x v="7"/>
    <n v="49872"/>
  </r>
  <r>
    <s v="ORD331"/>
    <d v="2024-06-06T00:00:00"/>
    <x v="7"/>
    <x v="0"/>
    <x v="1"/>
    <s v="Not Available"/>
    <n v="64"/>
    <s v="-"/>
    <n v="102"/>
    <n v="65"/>
    <n v="15"/>
    <n v="237"/>
    <n v="1207"/>
    <e v="#VALUE!"/>
    <s v="incomplete"/>
    <s v="Not Available"/>
    <n v="0"/>
    <x v="0"/>
    <x v="7"/>
    <n v="77248"/>
  </r>
  <r>
    <s v="ORD332"/>
    <d v="2024-05-30T00:00:00"/>
    <x v="0"/>
    <x v="2"/>
    <x v="1"/>
    <s v="Not Available"/>
    <n v="37"/>
    <s v="-"/>
    <n v="110"/>
    <n v="59"/>
    <n v="9"/>
    <n v="1146"/>
    <n v="1339"/>
    <e v="#VALUE!"/>
    <s v="incomplete"/>
    <s v="Not Available"/>
    <n v="0"/>
    <x v="0"/>
    <x v="11"/>
    <n v="49543"/>
  </r>
  <r>
    <s v="ORD333"/>
    <d v="2024-07-08T00:00:00"/>
    <x v="4"/>
    <x v="0"/>
    <x v="1"/>
    <n v="67"/>
    <n v="76"/>
    <n v="143"/>
    <n v="282"/>
    <n v="38"/>
    <n v="13"/>
    <n v="1028"/>
    <n v="2115"/>
    <n v="0.53146853146853146"/>
    <n v="0.53146853146853146"/>
    <n v="67"/>
    <n v="68876"/>
    <x v="2"/>
    <x v="2"/>
    <n v="160740"/>
  </r>
  <r>
    <s v="ORD334"/>
    <d v="2024-08-22T00:00:00"/>
    <x v="0"/>
    <x v="0"/>
    <x v="1"/>
    <n v="99"/>
    <n v="77"/>
    <n v="176"/>
    <n v="148"/>
    <n v="32"/>
    <n v="12"/>
    <n v="296"/>
    <n v="810"/>
    <n v="0.4375"/>
    <n v="0.4375"/>
    <n v="99"/>
    <n v="29304"/>
    <x v="2"/>
    <x v="1"/>
    <n v="62370"/>
  </r>
  <r>
    <s v="ORD335"/>
    <d v="2024-03-04T00:00:00"/>
    <x v="2"/>
    <x v="2"/>
    <x v="4"/>
    <n v="17"/>
    <n v="66"/>
    <n v="83"/>
    <n v="239"/>
    <n v="33"/>
    <n v="7"/>
    <n v="685"/>
    <n v="1918"/>
    <n v="0.79518072289156627"/>
    <n v="0.79518072289156627"/>
    <n v="17"/>
    <n v="11645"/>
    <x v="0"/>
    <x v="10"/>
    <n v="126588"/>
  </r>
  <r>
    <s v="ORD336"/>
    <d v="2024-12-16T00:00:00"/>
    <x v="2"/>
    <x v="2"/>
    <x v="1"/>
    <n v="6"/>
    <n v="3"/>
    <n v="9"/>
    <n v="100"/>
    <n v="76"/>
    <n v="8"/>
    <n v="480"/>
    <n v="810"/>
    <n v="0.33333333333333331"/>
    <n v="0.33333333333333331"/>
    <n v="6"/>
    <n v="2880"/>
    <x v="2"/>
    <x v="0"/>
    <n v="2430"/>
  </r>
  <r>
    <s v="ORD337"/>
    <d v="2024-07-13T00:00:00"/>
    <x v="0"/>
    <x v="2"/>
    <x v="1"/>
    <n v="111"/>
    <n v="31"/>
    <n v="142"/>
    <n v="300"/>
    <n v="69"/>
    <n v="7"/>
    <n v="1652"/>
    <n v="2181"/>
    <n v="0.21830985915492956"/>
    <n v="0.21830985915492956"/>
    <n v="111"/>
    <n v="183372"/>
    <x v="1"/>
    <x v="2"/>
    <n v="67611"/>
  </r>
  <r>
    <s v="ORD338"/>
    <d v="2024-08-06T00:00:00"/>
    <x v="7"/>
    <x v="0"/>
    <x v="1"/>
    <n v="5"/>
    <n v="97"/>
    <n v="102"/>
    <n v="53"/>
    <n v="54"/>
    <n v="4"/>
    <n v="1130"/>
    <n v="2286"/>
    <n v="0.9509803921568627"/>
    <n v="0.9509803921568627"/>
    <n v="5"/>
    <n v="5650"/>
    <x v="0"/>
    <x v="1"/>
    <n v="221742"/>
  </r>
  <r>
    <s v="ORD339"/>
    <d v="2024-11-28T00:00:00"/>
    <x v="2"/>
    <x v="0"/>
    <x v="2"/>
    <n v="118"/>
    <n v="62"/>
    <n v="180"/>
    <n v="86"/>
    <n v="70"/>
    <n v="4"/>
    <n v="1893"/>
    <n v="3354"/>
    <n v="0.34444444444444444"/>
    <n v="0.34444444444444444"/>
    <n v="118"/>
    <n v="223374"/>
    <x v="2"/>
    <x v="3"/>
    <n v="207948"/>
  </r>
  <r>
    <s v="ORD340"/>
    <d v="2024-02-05T00:00:00"/>
    <x v="3"/>
    <x v="1"/>
    <x v="3"/>
    <n v="89"/>
    <n v="48"/>
    <n v="137"/>
    <n v="72"/>
    <n v="47"/>
    <n v="14"/>
    <n v="686"/>
    <n v="923"/>
    <n v="0.35036496350364965"/>
    <n v="0.35036496350364965"/>
    <n v="89"/>
    <n v="61054"/>
    <x v="2"/>
    <x v="4"/>
    <n v="44304"/>
  </r>
  <r>
    <s v="ORD341"/>
    <d v="2024-10-31T00:00:00"/>
    <x v="2"/>
    <x v="0"/>
    <x v="3"/>
    <n v="146"/>
    <n v="48"/>
    <n v="194"/>
    <n v="78"/>
    <n v="48"/>
    <n v="5"/>
    <n v="1859"/>
    <n v="2411"/>
    <n v="0.24742268041237114"/>
    <n v="0.24742268041237114"/>
    <n v="146"/>
    <n v="271414"/>
    <x v="1"/>
    <x v="5"/>
    <n v="115728"/>
  </r>
  <r>
    <s v="ORD342"/>
    <d v="2024-05-02T00:00:00"/>
    <x v="0"/>
    <x v="1"/>
    <x v="4"/>
    <n v="77"/>
    <n v="33"/>
    <n v="110"/>
    <n v="115"/>
    <n v="76"/>
    <n v="10"/>
    <n v="764"/>
    <n v="1388"/>
    <n v="0.3"/>
    <n v="0.3"/>
    <n v="77"/>
    <n v="58828"/>
    <x v="2"/>
    <x v="11"/>
    <n v="45804"/>
  </r>
  <r>
    <s v="ORD343"/>
    <d v="2024-11-04T00:00:00"/>
    <x v="7"/>
    <x v="1"/>
    <x v="1"/>
    <n v="140"/>
    <n v="13"/>
    <n v="153"/>
    <n v="244"/>
    <n v="73"/>
    <n v="8"/>
    <n v="1195"/>
    <n v="2464"/>
    <n v="8.4967320261437912E-2"/>
    <n v="8.4967320261437912E-2"/>
    <n v="140"/>
    <n v="167300"/>
    <x v="1"/>
    <x v="3"/>
    <n v="32032"/>
  </r>
  <r>
    <s v="ORD344"/>
    <d v="2024-12-19T00:00:00"/>
    <x v="5"/>
    <x v="2"/>
    <x v="3"/>
    <n v="135"/>
    <n v="76"/>
    <n v="211"/>
    <n v="86"/>
    <n v="32"/>
    <n v="11"/>
    <n v="677"/>
    <n v="1849"/>
    <n v="0.36018957345971564"/>
    <n v="0.36018957345971564"/>
    <n v="135"/>
    <n v="91395"/>
    <x v="2"/>
    <x v="0"/>
    <n v="140524"/>
  </r>
  <r>
    <s v="ORD345"/>
    <d v="2024-09-13T00:00:00"/>
    <x v="0"/>
    <x v="0"/>
    <x v="0"/>
    <n v="105"/>
    <n v="108"/>
    <n v="213"/>
    <n v="159"/>
    <n v="35"/>
    <n v="7"/>
    <n v="613"/>
    <n v="1471"/>
    <n v="0.50704225352112675"/>
    <n v="0.50704225352112675"/>
    <n v="105"/>
    <n v="64365"/>
    <x v="2"/>
    <x v="8"/>
    <n v="158868"/>
  </r>
  <r>
    <s v="ORD346"/>
    <d v="2024-12-18T00:00:00"/>
    <x v="1"/>
    <x v="1"/>
    <x v="4"/>
    <n v="9"/>
    <n v="62"/>
    <n v="71"/>
    <n v="99"/>
    <n v="37"/>
    <n v="8"/>
    <n v="1284"/>
    <n v="2402"/>
    <n v="0.87323943661971826"/>
    <n v="0.87323943661971826"/>
    <n v="9"/>
    <n v="11556"/>
    <x v="0"/>
    <x v="0"/>
    <n v="148924"/>
  </r>
  <r>
    <s v="ORD347"/>
    <d v="2024-09-19T00:00:00"/>
    <x v="7"/>
    <x v="2"/>
    <x v="1"/>
    <n v="116"/>
    <n v="36"/>
    <n v="152"/>
    <n v="262"/>
    <n v="77"/>
    <n v="15"/>
    <n v="1218"/>
    <n v="2670"/>
    <n v="0.23684210526315788"/>
    <n v="0.23684210526315788"/>
    <n v="116"/>
    <n v="141288"/>
    <x v="1"/>
    <x v="8"/>
    <n v="96120"/>
  </r>
  <r>
    <s v="ORD348"/>
    <d v="2024-08-01T00:00:00"/>
    <x v="0"/>
    <x v="0"/>
    <x v="4"/>
    <n v="109"/>
    <n v="49"/>
    <n v="158"/>
    <n v="229"/>
    <n v="79"/>
    <n v="15"/>
    <n v="1307"/>
    <n v="1810"/>
    <n v="0.310126582278481"/>
    <n v="0.310126582278481"/>
    <n v="109"/>
    <n v="142463"/>
    <x v="2"/>
    <x v="1"/>
    <n v="88690"/>
  </r>
  <r>
    <s v="ORD349"/>
    <d v="2024-07-25T00:00:00"/>
    <x v="6"/>
    <x v="0"/>
    <x v="3"/>
    <n v="136"/>
    <n v="18"/>
    <n v="154"/>
    <n v="21"/>
    <n v="55"/>
    <n v="4"/>
    <n v="1777"/>
    <n v="2868"/>
    <n v="0.11688311688311688"/>
    <n v="0.11688311688311688"/>
    <n v="136"/>
    <n v="241672"/>
    <x v="1"/>
    <x v="2"/>
    <n v="51624"/>
  </r>
  <r>
    <s v="ORD350"/>
    <d v="2024-12-04T00:00:00"/>
    <x v="2"/>
    <x v="0"/>
    <x v="1"/>
    <n v="68"/>
    <n v="116"/>
    <n v="184"/>
    <n v="53"/>
    <n v="58"/>
    <n v="2"/>
    <n v="1682"/>
    <n v="2843"/>
    <n v="0.63043478260869568"/>
    <n v="0.63043478260869568"/>
    <n v="68"/>
    <n v="114376"/>
    <x v="0"/>
    <x v="0"/>
    <n v="329788"/>
  </r>
  <r>
    <s v="ORD351"/>
    <d v="2024-08-02T00:00:00"/>
    <x v="5"/>
    <x v="2"/>
    <x v="0"/>
    <n v="68"/>
    <n v="99"/>
    <n v="167"/>
    <n v="69"/>
    <n v="62"/>
    <n v="9"/>
    <n v="1419"/>
    <n v="2074"/>
    <n v="0.59281437125748504"/>
    <n v="0.59281437125748504"/>
    <n v="68"/>
    <n v="96492"/>
    <x v="2"/>
    <x v="1"/>
    <n v="205326"/>
  </r>
  <r>
    <s v="ORD352"/>
    <d v="2024-03-18T00:00:00"/>
    <x v="1"/>
    <x v="1"/>
    <x v="3"/>
    <n v="82"/>
    <n v="32"/>
    <n v="114"/>
    <n v="253"/>
    <n v="67"/>
    <n v="2"/>
    <n v="1750"/>
    <n v="3162"/>
    <n v="0.2807017543859649"/>
    <n v="0.2807017543859649"/>
    <n v="82"/>
    <n v="143500"/>
    <x v="1"/>
    <x v="10"/>
    <n v="101184"/>
  </r>
  <r>
    <s v="ORD353"/>
    <d v="2024-08-23T00:00:00"/>
    <x v="5"/>
    <x v="2"/>
    <x v="0"/>
    <n v="40"/>
    <n v="15"/>
    <n v="55"/>
    <n v="30"/>
    <n v="52"/>
    <n v="7"/>
    <n v="1667"/>
    <n v="2069"/>
    <n v="0.27272727272727271"/>
    <n v="0.27272727272727271"/>
    <n v="40"/>
    <n v="66680"/>
    <x v="1"/>
    <x v="1"/>
    <n v="31035"/>
  </r>
  <r>
    <s v="ORD354"/>
    <d v="2024-07-23T00:00:00"/>
    <x v="7"/>
    <x v="2"/>
    <x v="4"/>
    <n v="19"/>
    <n v="53"/>
    <n v="72"/>
    <n v="38"/>
    <n v="63"/>
    <n v="8"/>
    <n v="546"/>
    <n v="746"/>
    <n v="0.73611111111111116"/>
    <n v="0.73611111111111116"/>
    <n v="19"/>
    <n v="10374"/>
    <x v="0"/>
    <x v="2"/>
    <n v="39538"/>
  </r>
  <r>
    <s v="ORD355"/>
    <d v="2024-07-08T00:00:00"/>
    <x v="6"/>
    <x v="1"/>
    <x v="1"/>
    <n v="141"/>
    <n v="34"/>
    <n v="175"/>
    <n v="243"/>
    <n v="37"/>
    <n v="2"/>
    <n v="1460"/>
    <n v="1891"/>
    <n v="0.19428571428571428"/>
    <n v="0.19428571428571428"/>
    <n v="141"/>
    <n v="205860"/>
    <x v="1"/>
    <x v="2"/>
    <n v="64294"/>
  </r>
  <r>
    <s v="ORD356"/>
    <d v="2024-08-19T00:00:00"/>
    <x v="2"/>
    <x v="2"/>
    <x v="3"/>
    <s v="Not Available"/>
    <n v="5"/>
    <s v="-"/>
    <n v="216"/>
    <n v="41"/>
    <n v="11"/>
    <n v="719"/>
    <n v="1875"/>
    <e v="#VALUE!"/>
    <s v="incomplete"/>
    <s v="Not Available"/>
    <n v="0"/>
    <x v="0"/>
    <x v="1"/>
    <n v="9375"/>
  </r>
  <r>
    <s v="ORD357"/>
    <d v="2024-07-12T00:00:00"/>
    <x v="4"/>
    <x v="0"/>
    <x v="1"/>
    <n v="121"/>
    <n v="58"/>
    <n v="179"/>
    <n v="169"/>
    <n v="67"/>
    <n v="9"/>
    <n v="1648"/>
    <n v="3109"/>
    <n v="0.32402234636871508"/>
    <n v="0.32402234636871508"/>
    <n v="121"/>
    <n v="199408"/>
    <x v="2"/>
    <x v="2"/>
    <n v="180322"/>
  </r>
  <r>
    <s v="ORD358"/>
    <d v="2024-03-05T00:00:00"/>
    <x v="4"/>
    <x v="1"/>
    <x v="4"/>
    <n v="36"/>
    <n v="90"/>
    <n v="126"/>
    <n v="94"/>
    <n v="40"/>
    <n v="8"/>
    <n v="1858"/>
    <n v="2528"/>
    <n v="0.7142857142857143"/>
    <n v="0.7142857142857143"/>
    <n v="36"/>
    <n v="66888"/>
    <x v="0"/>
    <x v="10"/>
    <n v="227520"/>
  </r>
  <r>
    <s v="ORD359"/>
    <d v="2024-04-30T00:00:00"/>
    <x v="1"/>
    <x v="0"/>
    <x v="0"/>
    <n v="74"/>
    <n v="43"/>
    <n v="117"/>
    <n v="239"/>
    <n v="68"/>
    <n v="12"/>
    <n v="1324"/>
    <n v="1632"/>
    <n v="0.36752136752136755"/>
    <n v="0.36752136752136755"/>
    <n v="74"/>
    <n v="97976"/>
    <x v="2"/>
    <x v="9"/>
    <n v="70176"/>
  </r>
  <r>
    <s v="ORD360"/>
    <d v="2024-04-19T00:00:00"/>
    <x v="5"/>
    <x v="2"/>
    <x v="0"/>
    <n v="56"/>
    <n v="48"/>
    <n v="104"/>
    <n v="215"/>
    <n v="62"/>
    <n v="9"/>
    <n v="1645"/>
    <n v="2818"/>
    <n v="0.46153846153846156"/>
    <n v="0.46153846153846156"/>
    <n v="56"/>
    <n v="92120"/>
    <x v="2"/>
    <x v="9"/>
    <n v="135264"/>
  </r>
  <r>
    <s v="ORD361"/>
    <d v="2024-04-08T00:00:00"/>
    <x v="5"/>
    <x v="1"/>
    <x v="4"/>
    <n v="128"/>
    <n v="88"/>
    <n v="216"/>
    <n v="37"/>
    <n v="79"/>
    <n v="14"/>
    <n v="1931"/>
    <n v="2887"/>
    <n v="0.40740740740740738"/>
    <n v="0.40740740740740738"/>
    <n v="128"/>
    <n v="247168"/>
    <x v="2"/>
    <x v="9"/>
    <n v="254056"/>
  </r>
  <r>
    <s v="ORD362"/>
    <d v="2024-10-19T00:00:00"/>
    <x v="0"/>
    <x v="0"/>
    <x v="1"/>
    <n v="89"/>
    <n v="46"/>
    <n v="135"/>
    <n v="224"/>
    <n v="47"/>
    <n v="5"/>
    <n v="771"/>
    <n v="1057"/>
    <n v="0.34074074074074073"/>
    <n v="0.34074074074074073"/>
    <n v="89"/>
    <n v="68619"/>
    <x v="2"/>
    <x v="5"/>
    <n v="48622"/>
  </r>
  <r>
    <s v="ORD363"/>
    <d v="2024-12-01T00:00:00"/>
    <x v="2"/>
    <x v="1"/>
    <x v="4"/>
    <n v="40"/>
    <n v="10"/>
    <n v="50"/>
    <n v="224"/>
    <n v="54"/>
    <n v="8"/>
    <n v="350"/>
    <n v="1354"/>
    <n v="0.2"/>
    <n v="0.2"/>
    <n v="40"/>
    <n v="14000"/>
    <x v="1"/>
    <x v="0"/>
    <n v="13540"/>
  </r>
  <r>
    <s v="ORD364"/>
    <d v="2024-03-29T00:00:00"/>
    <x v="2"/>
    <x v="1"/>
    <x v="3"/>
    <n v="147"/>
    <n v="111"/>
    <n v="258"/>
    <n v="197"/>
    <n v="65"/>
    <n v="5"/>
    <n v="511"/>
    <n v="1496"/>
    <n v="0.43023255813953487"/>
    <n v="0.43023255813953487"/>
    <n v="147"/>
    <n v="75117"/>
    <x v="2"/>
    <x v="10"/>
    <n v="166056"/>
  </r>
  <r>
    <s v="ORD365"/>
    <d v="2024-02-25T00:00:00"/>
    <x v="5"/>
    <x v="2"/>
    <x v="0"/>
    <n v="41"/>
    <n v="27"/>
    <n v="68"/>
    <n v="40"/>
    <n v="72"/>
    <n v="14"/>
    <n v="863"/>
    <n v="2103"/>
    <n v="0.39705882352941174"/>
    <n v="0.39705882352941174"/>
    <n v="41"/>
    <n v="35383"/>
    <x v="2"/>
    <x v="4"/>
    <n v="56781"/>
  </r>
  <r>
    <s v="ORD366"/>
    <d v="2024-11-15T00:00:00"/>
    <x v="5"/>
    <x v="2"/>
    <x v="3"/>
    <n v="146"/>
    <n v="18"/>
    <n v="164"/>
    <n v="40"/>
    <n v="51"/>
    <n v="6"/>
    <n v="1868"/>
    <n v="2725"/>
    <n v="0.10975609756097561"/>
    <n v="0.10975609756097561"/>
    <n v="146"/>
    <n v="272728"/>
    <x v="1"/>
    <x v="3"/>
    <n v="49050"/>
  </r>
  <r>
    <s v="ORD367"/>
    <d v="2024-09-28T00:00:00"/>
    <x v="1"/>
    <x v="2"/>
    <x v="3"/>
    <n v="89"/>
    <n v="29"/>
    <n v="118"/>
    <n v="269"/>
    <n v="35"/>
    <n v="13"/>
    <n v="1240"/>
    <n v="2164"/>
    <n v="0.24576271186440679"/>
    <n v="0.24576271186440679"/>
    <n v="89"/>
    <n v="110360"/>
    <x v="1"/>
    <x v="8"/>
    <n v="62756"/>
  </r>
  <r>
    <s v="ORD368"/>
    <d v="2024-05-12T00:00:00"/>
    <x v="2"/>
    <x v="1"/>
    <x v="1"/>
    <n v="14"/>
    <n v="78"/>
    <n v="92"/>
    <n v="62"/>
    <n v="73"/>
    <n v="2"/>
    <n v="1000"/>
    <n v="2407"/>
    <n v="0.84782608695652173"/>
    <n v="0.84782608695652173"/>
    <n v="14"/>
    <n v="14000"/>
    <x v="0"/>
    <x v="11"/>
    <n v="187746"/>
  </r>
  <r>
    <s v="ORD369"/>
    <d v="2024-09-17T00:00:00"/>
    <x v="5"/>
    <x v="1"/>
    <x v="1"/>
    <s v="Not Available"/>
    <n v="72"/>
    <s v="-"/>
    <n v="210"/>
    <n v="63"/>
    <n v="12"/>
    <n v="1703"/>
    <n v="2273"/>
    <e v="#VALUE!"/>
    <s v="incomplete"/>
    <s v="Not Available"/>
    <n v="0"/>
    <x v="0"/>
    <x v="8"/>
    <n v="163656"/>
  </r>
  <r>
    <s v="ORD370"/>
    <d v="2024-01-04T00:00:00"/>
    <x v="1"/>
    <x v="0"/>
    <x v="0"/>
    <n v="134"/>
    <n v="87"/>
    <n v="221"/>
    <n v="21"/>
    <n v="75"/>
    <n v="3"/>
    <n v="1108"/>
    <n v="1316"/>
    <n v="0.39366515837104071"/>
    <n v="0.39366515837104071"/>
    <n v="134"/>
    <n v="148472"/>
    <x v="2"/>
    <x v="6"/>
    <n v="114492"/>
  </r>
  <r>
    <s v="ORD371"/>
    <d v="2024-10-23T00:00:00"/>
    <x v="7"/>
    <x v="2"/>
    <x v="0"/>
    <n v="11"/>
    <n v="88"/>
    <n v="99"/>
    <n v="32"/>
    <n v="75"/>
    <n v="6"/>
    <n v="1453"/>
    <n v="2567"/>
    <n v="0.88888888888888884"/>
    <n v="0.88888888888888884"/>
    <n v="11"/>
    <n v="15983"/>
    <x v="0"/>
    <x v="5"/>
    <n v="225896"/>
  </r>
  <r>
    <s v="ORD372"/>
    <d v="2024-08-25T00:00:00"/>
    <x v="5"/>
    <x v="0"/>
    <x v="4"/>
    <n v="104"/>
    <n v="36"/>
    <n v="140"/>
    <n v="250"/>
    <n v="39"/>
    <n v="11"/>
    <n v="709"/>
    <n v="991"/>
    <n v="0.25714285714285712"/>
    <n v="0.25714285714285712"/>
    <n v="104"/>
    <n v="73736"/>
    <x v="1"/>
    <x v="1"/>
    <n v="35676"/>
  </r>
  <r>
    <s v="ORD373"/>
    <d v="2024-10-11T00:00:00"/>
    <x v="7"/>
    <x v="2"/>
    <x v="2"/>
    <n v="126"/>
    <n v="107"/>
    <n v="233"/>
    <n v="275"/>
    <n v="45"/>
    <n v="14"/>
    <n v="1379"/>
    <n v="1966"/>
    <n v="0.45922746781115881"/>
    <n v="0.45922746781115881"/>
    <n v="126"/>
    <n v="173754"/>
    <x v="2"/>
    <x v="5"/>
    <n v="210362"/>
  </r>
  <r>
    <s v="ORD374"/>
    <d v="2024-11-03T00:00:00"/>
    <x v="7"/>
    <x v="2"/>
    <x v="4"/>
    <n v="114"/>
    <n v="71"/>
    <n v="185"/>
    <n v="149"/>
    <n v="40"/>
    <n v="8"/>
    <n v="1611"/>
    <n v="2798"/>
    <n v="0.38378378378378381"/>
    <n v="0.38378378378378381"/>
    <n v="114"/>
    <n v="183654"/>
    <x v="2"/>
    <x v="3"/>
    <n v="198658"/>
  </r>
  <r>
    <s v="ORD375"/>
    <d v="2024-11-03T00:00:00"/>
    <x v="4"/>
    <x v="1"/>
    <x v="4"/>
    <n v="12"/>
    <n v="32"/>
    <n v="44"/>
    <n v="88"/>
    <n v="67"/>
    <n v="2"/>
    <n v="599"/>
    <n v="954"/>
    <n v="0.72727272727272729"/>
    <n v="0.72727272727272729"/>
    <n v="12"/>
    <n v="7188"/>
    <x v="0"/>
    <x v="3"/>
    <n v="30528"/>
  </r>
  <r>
    <s v="ORD376"/>
    <d v="2024-02-20T00:00:00"/>
    <x v="7"/>
    <x v="1"/>
    <x v="1"/>
    <n v="26"/>
    <n v="25"/>
    <n v="51"/>
    <n v="56"/>
    <n v="41"/>
    <n v="13"/>
    <n v="1309"/>
    <n v="1485"/>
    <n v="0.49019607843137253"/>
    <n v="0.49019607843137253"/>
    <n v="26"/>
    <n v="34034"/>
    <x v="2"/>
    <x v="4"/>
    <n v="37125"/>
  </r>
  <r>
    <s v="ORD377"/>
    <d v="2024-01-31T00:00:00"/>
    <x v="4"/>
    <x v="2"/>
    <x v="0"/>
    <n v="60"/>
    <n v="97"/>
    <n v="157"/>
    <n v="194"/>
    <n v="74"/>
    <n v="2"/>
    <n v="529"/>
    <n v="934"/>
    <n v="0.61783439490445857"/>
    <n v="0.61783439490445857"/>
    <n v="60"/>
    <n v="31740"/>
    <x v="0"/>
    <x v="6"/>
    <n v="90598"/>
  </r>
  <r>
    <s v="ORD378"/>
    <d v="2024-01-04T00:00:00"/>
    <x v="2"/>
    <x v="0"/>
    <x v="4"/>
    <n v="29"/>
    <n v="13"/>
    <n v="42"/>
    <n v="204"/>
    <n v="48"/>
    <n v="13"/>
    <n v="581"/>
    <n v="805"/>
    <n v="0.30952380952380953"/>
    <n v="0.30952380952380953"/>
    <n v="29"/>
    <n v="16849"/>
    <x v="2"/>
    <x v="6"/>
    <n v="10465"/>
  </r>
  <r>
    <s v="ORD379"/>
    <d v="2024-05-31T00:00:00"/>
    <x v="1"/>
    <x v="2"/>
    <x v="1"/>
    <n v="78"/>
    <n v="30"/>
    <n v="108"/>
    <n v="292"/>
    <n v="52"/>
    <n v="3"/>
    <n v="416"/>
    <n v="1080"/>
    <n v="0.27777777777777779"/>
    <n v="0.27777777777777779"/>
    <n v="78"/>
    <n v="32448"/>
    <x v="1"/>
    <x v="11"/>
    <n v="32400"/>
  </r>
  <r>
    <s v="ORD380"/>
    <d v="2024-06-16T00:00:00"/>
    <x v="5"/>
    <x v="2"/>
    <x v="1"/>
    <n v="142"/>
    <n v="84"/>
    <n v="226"/>
    <n v="193"/>
    <n v="77"/>
    <n v="7"/>
    <n v="920"/>
    <n v="1426"/>
    <n v="0.37168141592920356"/>
    <n v="0.37168141592920356"/>
    <n v="142"/>
    <n v="130640"/>
    <x v="2"/>
    <x v="7"/>
    <n v="119784"/>
  </r>
  <r>
    <s v="ORD381"/>
    <d v="2024-01-14T00:00:00"/>
    <x v="1"/>
    <x v="2"/>
    <x v="2"/>
    <n v="15"/>
    <n v="81"/>
    <n v="96"/>
    <n v="261"/>
    <n v="44"/>
    <n v="3"/>
    <n v="598"/>
    <n v="1359"/>
    <n v="0.84375"/>
    <n v="0.84375"/>
    <n v="15"/>
    <n v="8970"/>
    <x v="0"/>
    <x v="6"/>
    <n v="110079"/>
  </r>
  <r>
    <s v="ORD382"/>
    <d v="2024-07-30T00:00:00"/>
    <x v="0"/>
    <x v="2"/>
    <x v="0"/>
    <n v="116"/>
    <n v="51"/>
    <n v="167"/>
    <n v="246"/>
    <n v="68"/>
    <n v="7"/>
    <n v="765"/>
    <n v="2192"/>
    <n v="0.30538922155688625"/>
    <n v="0.30538922155688625"/>
    <n v="116"/>
    <n v="88740"/>
    <x v="2"/>
    <x v="2"/>
    <n v="111792"/>
  </r>
  <r>
    <s v="ORD383"/>
    <d v="2024-09-28T00:00:00"/>
    <x v="4"/>
    <x v="2"/>
    <x v="0"/>
    <n v="150"/>
    <n v="84"/>
    <n v="234"/>
    <n v="49"/>
    <n v="40"/>
    <n v="2"/>
    <n v="234"/>
    <n v="994"/>
    <n v="0.35897435897435898"/>
    <n v="0.35897435897435898"/>
    <n v="150"/>
    <n v="35100"/>
    <x v="2"/>
    <x v="8"/>
    <n v="83496"/>
  </r>
  <r>
    <s v="ORD384"/>
    <d v="2024-09-18T00:00:00"/>
    <x v="6"/>
    <x v="0"/>
    <x v="0"/>
    <n v="112"/>
    <n v="119"/>
    <n v="231"/>
    <n v="29"/>
    <n v="64"/>
    <n v="12"/>
    <n v="566"/>
    <n v="1254"/>
    <n v="0.51515151515151514"/>
    <n v="0.51515151515151514"/>
    <n v="112"/>
    <n v="63392"/>
    <x v="2"/>
    <x v="8"/>
    <n v="149226"/>
  </r>
  <r>
    <s v="ORD385"/>
    <d v="2024-01-19T00:00:00"/>
    <x v="0"/>
    <x v="1"/>
    <x v="2"/>
    <n v="110"/>
    <n v="10"/>
    <n v="120"/>
    <n v="185"/>
    <n v="56"/>
    <n v="11"/>
    <n v="1081"/>
    <n v="1541"/>
    <n v="8.3333333333333329E-2"/>
    <n v="8.3333333333333329E-2"/>
    <n v="110"/>
    <n v="118910"/>
    <x v="1"/>
    <x v="6"/>
    <n v="15410"/>
  </r>
  <r>
    <s v="ORD386"/>
    <d v="2024-08-28T00:00:00"/>
    <x v="1"/>
    <x v="1"/>
    <x v="0"/>
    <n v="28"/>
    <n v="31"/>
    <n v="59"/>
    <n v="120"/>
    <n v="65"/>
    <n v="6"/>
    <n v="1501"/>
    <n v="2323"/>
    <n v="0.52542372881355937"/>
    <n v="0.52542372881355937"/>
    <n v="28"/>
    <n v="42028"/>
    <x v="2"/>
    <x v="1"/>
    <n v="72013"/>
  </r>
  <r>
    <s v="ORD387"/>
    <d v="2024-06-26T00:00:00"/>
    <x v="6"/>
    <x v="1"/>
    <x v="3"/>
    <n v="22"/>
    <n v="1"/>
    <n v="23"/>
    <n v="155"/>
    <n v="62"/>
    <n v="2"/>
    <n v="609"/>
    <n v="1240"/>
    <n v="4.3478260869565216E-2"/>
    <n v="4.3478260869565216E-2"/>
    <n v="22"/>
    <n v="13398"/>
    <x v="1"/>
    <x v="7"/>
    <n v="1240"/>
  </r>
  <r>
    <s v="ORD388"/>
    <d v="2024-02-06T00:00:00"/>
    <x v="6"/>
    <x v="2"/>
    <x v="1"/>
    <n v="59"/>
    <n v="114"/>
    <n v="173"/>
    <n v="33"/>
    <n v="37"/>
    <n v="11"/>
    <n v="1554"/>
    <n v="1870"/>
    <n v="0.65895953757225434"/>
    <n v="0.65895953757225434"/>
    <n v="59"/>
    <n v="91686"/>
    <x v="0"/>
    <x v="4"/>
    <n v="213180"/>
  </r>
  <r>
    <s v="ORD389"/>
    <d v="2024-09-07T00:00:00"/>
    <x v="2"/>
    <x v="1"/>
    <x v="2"/>
    <n v="110"/>
    <n v="2"/>
    <n v="112"/>
    <n v="80"/>
    <n v="30"/>
    <n v="4"/>
    <n v="1170"/>
    <n v="2248"/>
    <n v="1.7857142857142856E-2"/>
    <n v="1.7857142857142856E-2"/>
    <n v="110"/>
    <n v="128700"/>
    <x v="1"/>
    <x v="8"/>
    <n v="4496"/>
  </r>
  <r>
    <s v="ORD390"/>
    <d v="2024-08-24T00:00:00"/>
    <x v="6"/>
    <x v="2"/>
    <x v="4"/>
    <n v="35"/>
    <n v="9"/>
    <n v="44"/>
    <n v="31"/>
    <n v="53"/>
    <n v="3"/>
    <n v="375"/>
    <n v="1572"/>
    <n v="0.20454545454545456"/>
    <n v="0.20454545454545456"/>
    <n v="35"/>
    <n v="13125"/>
    <x v="1"/>
    <x v="1"/>
    <n v="14148"/>
  </r>
  <r>
    <s v="ORD391"/>
    <d v="2024-09-13T00:00:00"/>
    <x v="7"/>
    <x v="0"/>
    <x v="2"/>
    <n v="12"/>
    <n v="53"/>
    <n v="65"/>
    <n v="106"/>
    <n v="41"/>
    <n v="5"/>
    <n v="874"/>
    <n v="1308"/>
    <n v="0.81538461538461537"/>
    <n v="0.81538461538461537"/>
    <n v="12"/>
    <n v="10488"/>
    <x v="0"/>
    <x v="8"/>
    <n v="69324"/>
  </r>
  <r>
    <s v="ORD392"/>
    <d v="2024-02-26T00:00:00"/>
    <x v="7"/>
    <x v="1"/>
    <x v="0"/>
    <n v="112"/>
    <n v="47"/>
    <n v="159"/>
    <n v="25"/>
    <n v="73"/>
    <n v="13"/>
    <n v="433"/>
    <n v="802"/>
    <n v="0.29559748427672955"/>
    <n v="0.29559748427672955"/>
    <n v="112"/>
    <n v="48496"/>
    <x v="1"/>
    <x v="4"/>
    <n v="37694"/>
  </r>
  <r>
    <s v="ORD393"/>
    <d v="2024-06-29T00:00:00"/>
    <x v="4"/>
    <x v="2"/>
    <x v="0"/>
    <s v="Not Available"/>
    <n v="95"/>
    <s v="-"/>
    <n v="200"/>
    <n v="76"/>
    <n v="3"/>
    <n v="1469"/>
    <n v="1974"/>
    <e v="#VALUE!"/>
    <s v="incomplete"/>
    <s v="Not Available"/>
    <n v="0"/>
    <x v="0"/>
    <x v="7"/>
    <n v="187530"/>
  </r>
  <r>
    <s v="ORD394"/>
    <d v="2024-10-13T00:00:00"/>
    <x v="5"/>
    <x v="1"/>
    <x v="1"/>
    <n v="92"/>
    <n v="4"/>
    <n v="96"/>
    <n v="286"/>
    <n v="35"/>
    <n v="12"/>
    <n v="769"/>
    <n v="1363"/>
    <n v="4.1666666666666664E-2"/>
    <n v="4.1666666666666664E-2"/>
    <n v="92"/>
    <n v="70748"/>
    <x v="1"/>
    <x v="5"/>
    <n v="5452"/>
  </r>
  <r>
    <s v="ORD395"/>
    <d v="2024-07-12T00:00:00"/>
    <x v="2"/>
    <x v="1"/>
    <x v="2"/>
    <n v="31"/>
    <n v="70"/>
    <n v="101"/>
    <n v="154"/>
    <n v="39"/>
    <n v="7"/>
    <n v="295"/>
    <n v="1156"/>
    <n v="0.69306930693069302"/>
    <n v="0.69306930693069302"/>
    <n v="31"/>
    <n v="9145"/>
    <x v="0"/>
    <x v="2"/>
    <n v="80920"/>
  </r>
  <r>
    <s v="ORD396"/>
    <d v="2024-12-11T00:00:00"/>
    <x v="6"/>
    <x v="0"/>
    <x v="0"/>
    <n v="126"/>
    <n v="84"/>
    <n v="210"/>
    <n v="32"/>
    <n v="41"/>
    <n v="2"/>
    <n v="1016"/>
    <n v="2349"/>
    <n v="0.4"/>
    <n v="0.4"/>
    <n v="126"/>
    <n v="128016"/>
    <x v="2"/>
    <x v="0"/>
    <n v="197316"/>
  </r>
  <r>
    <s v="ORD397"/>
    <d v="2024-10-12T00:00:00"/>
    <x v="6"/>
    <x v="1"/>
    <x v="4"/>
    <n v="77"/>
    <n v="69"/>
    <n v="146"/>
    <n v="148"/>
    <n v="38"/>
    <n v="10"/>
    <n v="860"/>
    <n v="2294"/>
    <n v="0.4726027397260274"/>
    <n v="0.4726027397260274"/>
    <n v="77"/>
    <n v="66220"/>
    <x v="2"/>
    <x v="5"/>
    <n v="158286"/>
  </r>
  <r>
    <s v="ORD398"/>
    <d v="2024-01-26T00:00:00"/>
    <x v="0"/>
    <x v="0"/>
    <x v="1"/>
    <n v="50"/>
    <n v="2"/>
    <n v="52"/>
    <n v="57"/>
    <n v="48"/>
    <n v="12"/>
    <n v="320"/>
    <n v="1128"/>
    <n v="3.8461538461538464E-2"/>
    <n v="3.8461538461538464E-2"/>
    <n v="50"/>
    <n v="16000"/>
    <x v="1"/>
    <x v="6"/>
    <n v="2256"/>
  </r>
  <r>
    <s v="ORD399"/>
    <d v="2024-03-19T00:00:00"/>
    <x v="3"/>
    <x v="2"/>
    <x v="1"/>
    <n v="73"/>
    <n v="75"/>
    <n v="148"/>
    <n v="248"/>
    <n v="30"/>
    <n v="3"/>
    <n v="1121"/>
    <n v="2543"/>
    <n v="0.5067567567567568"/>
    <n v="0.5067567567567568"/>
    <n v="73"/>
    <n v="81833"/>
    <x v="2"/>
    <x v="10"/>
    <n v="190725"/>
  </r>
  <r>
    <s v="ORD400"/>
    <d v="2024-03-18T00:00:00"/>
    <x v="2"/>
    <x v="1"/>
    <x v="0"/>
    <n v="132"/>
    <n v="5"/>
    <n v="137"/>
    <n v="102"/>
    <n v="44"/>
    <n v="2"/>
    <n v="1140"/>
    <n v="2145"/>
    <n v="3.6496350364963501E-2"/>
    <n v="3.6496350364963501E-2"/>
    <n v="132"/>
    <n v="150480"/>
    <x v="1"/>
    <x v="10"/>
    <n v="10725"/>
  </r>
  <r>
    <s v="ORD401"/>
    <d v="2024-11-14T00:00:00"/>
    <x v="4"/>
    <x v="0"/>
    <x v="3"/>
    <s v="Not Available"/>
    <n v="49"/>
    <s v="-"/>
    <n v="32"/>
    <n v="68"/>
    <n v="10"/>
    <n v="1308"/>
    <n v="1842"/>
    <e v="#VALUE!"/>
    <s v="incomplete"/>
    <s v="Not Available"/>
    <n v="0"/>
    <x v="0"/>
    <x v="3"/>
    <n v="90258"/>
  </r>
  <r>
    <s v="ORD402"/>
    <d v="2024-09-18T00:00:00"/>
    <x v="5"/>
    <x v="1"/>
    <x v="0"/>
    <n v="27"/>
    <n v="99"/>
    <n v="126"/>
    <n v="182"/>
    <n v="69"/>
    <n v="3"/>
    <n v="1754"/>
    <n v="2581"/>
    <n v="0.7857142857142857"/>
    <n v="0.7857142857142857"/>
    <n v="27"/>
    <n v="47358"/>
    <x v="0"/>
    <x v="8"/>
    <n v="255519"/>
  </r>
  <r>
    <s v="ORD403"/>
    <d v="2024-12-30T00:00:00"/>
    <x v="5"/>
    <x v="0"/>
    <x v="4"/>
    <n v="13"/>
    <n v="64"/>
    <n v="77"/>
    <n v="201"/>
    <n v="54"/>
    <n v="4"/>
    <n v="1341"/>
    <n v="1553"/>
    <n v="0.83116883116883122"/>
    <n v="0.83116883116883122"/>
    <n v="13"/>
    <n v="17433"/>
    <x v="0"/>
    <x v="0"/>
    <n v="99392"/>
  </r>
  <r>
    <s v="ORD404"/>
    <d v="2024-12-29T00:00:00"/>
    <x v="7"/>
    <x v="0"/>
    <x v="1"/>
    <n v="75"/>
    <n v="62"/>
    <n v="137"/>
    <n v="79"/>
    <n v="49"/>
    <n v="6"/>
    <n v="692"/>
    <n v="1737"/>
    <n v="0.45255474452554745"/>
    <n v="0.45255474452554745"/>
    <n v="75"/>
    <n v="51900"/>
    <x v="2"/>
    <x v="0"/>
    <n v="107694"/>
  </r>
  <r>
    <s v="ORD405"/>
    <d v="2024-09-24T00:00:00"/>
    <x v="0"/>
    <x v="0"/>
    <x v="1"/>
    <n v="33"/>
    <n v="32"/>
    <n v="65"/>
    <n v="268"/>
    <n v="49"/>
    <n v="5"/>
    <n v="698"/>
    <n v="1939"/>
    <n v="0.49230769230769234"/>
    <n v="0.49230769230769234"/>
    <n v="33"/>
    <n v="23034"/>
    <x v="2"/>
    <x v="8"/>
    <n v="62048"/>
  </r>
  <r>
    <s v="ORD406"/>
    <d v="2024-07-16T00:00:00"/>
    <x v="5"/>
    <x v="1"/>
    <x v="1"/>
    <n v="147"/>
    <n v="97"/>
    <n v="244"/>
    <n v="146"/>
    <n v="78"/>
    <n v="7"/>
    <n v="706"/>
    <n v="1549"/>
    <n v="0.39754098360655737"/>
    <n v="0.39754098360655737"/>
    <n v="147"/>
    <n v="103782"/>
    <x v="2"/>
    <x v="2"/>
    <n v="150253"/>
  </r>
  <r>
    <s v="ORD407"/>
    <d v="2024-12-14T00:00:00"/>
    <x v="6"/>
    <x v="0"/>
    <x v="0"/>
    <n v="8"/>
    <n v="1"/>
    <n v="9"/>
    <n v="98"/>
    <n v="71"/>
    <n v="10"/>
    <n v="389"/>
    <n v="521"/>
    <n v="0.1111111111111111"/>
    <n v="0.1111111111111111"/>
    <n v="8"/>
    <n v="3112"/>
    <x v="1"/>
    <x v="0"/>
    <n v="521"/>
  </r>
  <r>
    <s v="ORD408"/>
    <d v="2024-05-14T00:00:00"/>
    <x v="7"/>
    <x v="2"/>
    <x v="1"/>
    <n v="111"/>
    <n v="56"/>
    <n v="167"/>
    <n v="43"/>
    <n v="65"/>
    <n v="14"/>
    <n v="1207"/>
    <n v="1931"/>
    <n v="0.33532934131736525"/>
    <n v="0.33532934131736525"/>
    <n v="111"/>
    <n v="133977"/>
    <x v="2"/>
    <x v="11"/>
    <n v="108136"/>
  </r>
  <r>
    <s v="ORD409"/>
    <d v="2024-10-30T00:00:00"/>
    <x v="0"/>
    <x v="1"/>
    <x v="0"/>
    <n v="118"/>
    <n v="48"/>
    <n v="166"/>
    <n v="282"/>
    <n v="51"/>
    <n v="15"/>
    <n v="649"/>
    <n v="1681"/>
    <n v="0.28915662650602408"/>
    <n v="0.28915662650602408"/>
    <n v="118"/>
    <n v="76582"/>
    <x v="1"/>
    <x v="5"/>
    <n v="80688"/>
  </r>
  <r>
    <s v="ORD410"/>
    <d v="2024-07-02T00:00:00"/>
    <x v="2"/>
    <x v="2"/>
    <x v="1"/>
    <n v="100"/>
    <n v="37"/>
    <n v="137"/>
    <n v="271"/>
    <n v="34"/>
    <n v="4"/>
    <n v="232"/>
    <n v="1606"/>
    <n v="0.27007299270072993"/>
    <n v="0.27007299270072993"/>
    <n v="100"/>
    <n v="23200"/>
    <x v="1"/>
    <x v="2"/>
    <n v="59422"/>
  </r>
  <r>
    <s v="ORD411"/>
    <d v="2024-04-15T00:00:00"/>
    <x v="6"/>
    <x v="0"/>
    <x v="1"/>
    <n v="71"/>
    <n v="56"/>
    <n v="127"/>
    <n v="199"/>
    <n v="62"/>
    <n v="14"/>
    <n v="1664"/>
    <n v="1769"/>
    <n v="0.44094488188976377"/>
    <n v="0.44094488188976377"/>
    <n v="71"/>
    <n v="118144"/>
    <x v="2"/>
    <x v="9"/>
    <n v="99064"/>
  </r>
  <r>
    <s v="ORD412"/>
    <d v="2024-04-14T00:00:00"/>
    <x v="3"/>
    <x v="1"/>
    <x v="0"/>
    <n v="69"/>
    <n v="31"/>
    <n v="100"/>
    <n v="96"/>
    <n v="60"/>
    <n v="12"/>
    <n v="1958"/>
    <n v="3252"/>
    <n v="0.31"/>
    <n v="0.31"/>
    <n v="69"/>
    <n v="135102"/>
    <x v="2"/>
    <x v="9"/>
    <n v="100812"/>
  </r>
  <r>
    <s v="ORD413"/>
    <d v="2024-11-12T00:00:00"/>
    <x v="6"/>
    <x v="2"/>
    <x v="0"/>
    <n v="129"/>
    <n v="81"/>
    <n v="210"/>
    <n v="73"/>
    <n v="40"/>
    <n v="11"/>
    <n v="314"/>
    <n v="439"/>
    <n v="0.38571428571428573"/>
    <n v="0.38571428571428573"/>
    <n v="129"/>
    <n v="40506"/>
    <x v="2"/>
    <x v="3"/>
    <n v="35559"/>
  </r>
  <r>
    <s v="ORD414"/>
    <d v="2024-10-03T00:00:00"/>
    <x v="5"/>
    <x v="2"/>
    <x v="1"/>
    <n v="40"/>
    <n v="36"/>
    <n v="76"/>
    <n v="185"/>
    <n v="50"/>
    <n v="2"/>
    <n v="1468"/>
    <n v="2486"/>
    <n v="0.47368421052631576"/>
    <n v="0.47368421052631576"/>
    <n v="40"/>
    <n v="58720"/>
    <x v="2"/>
    <x v="5"/>
    <n v="89496"/>
  </r>
  <r>
    <s v="ORD415"/>
    <d v="2024-12-04T00:00:00"/>
    <x v="5"/>
    <x v="1"/>
    <x v="1"/>
    <n v="88"/>
    <n v="109"/>
    <n v="197"/>
    <n v="296"/>
    <n v="35"/>
    <n v="9"/>
    <n v="1581"/>
    <n v="2723"/>
    <n v="0.5532994923857868"/>
    <n v="0.5532994923857868"/>
    <n v="88"/>
    <n v="139128"/>
    <x v="2"/>
    <x v="0"/>
    <n v="296807"/>
  </r>
  <r>
    <s v="ORD416"/>
    <d v="2024-05-17T00:00:00"/>
    <x v="6"/>
    <x v="1"/>
    <x v="0"/>
    <n v="49"/>
    <n v="45"/>
    <n v="94"/>
    <n v="91"/>
    <n v="61"/>
    <n v="6"/>
    <n v="655"/>
    <n v="931"/>
    <n v="0.47872340425531917"/>
    <n v="0.47872340425531917"/>
    <n v="49"/>
    <n v="32095"/>
    <x v="2"/>
    <x v="11"/>
    <n v="41895"/>
  </r>
  <r>
    <s v="ORD417"/>
    <d v="2024-11-04T00:00:00"/>
    <x v="6"/>
    <x v="2"/>
    <x v="3"/>
    <n v="44"/>
    <n v="110"/>
    <n v="154"/>
    <n v="105"/>
    <n v="66"/>
    <n v="2"/>
    <n v="425"/>
    <n v="1099"/>
    <n v="0.7142857142857143"/>
    <n v="0.7142857142857143"/>
    <n v="44"/>
    <n v="18700"/>
    <x v="0"/>
    <x v="3"/>
    <n v="120890"/>
  </r>
  <r>
    <s v="ORD418"/>
    <d v="2024-05-20T00:00:00"/>
    <x v="1"/>
    <x v="0"/>
    <x v="1"/>
    <n v="86"/>
    <n v="113"/>
    <n v="199"/>
    <n v="55"/>
    <n v="35"/>
    <n v="12"/>
    <n v="843"/>
    <n v="2249"/>
    <n v="0.56783919597989951"/>
    <n v="0.56783919597989951"/>
    <n v="86"/>
    <n v="72498"/>
    <x v="2"/>
    <x v="11"/>
    <n v="254137"/>
  </r>
  <r>
    <s v="ORD419"/>
    <d v="2024-09-16T00:00:00"/>
    <x v="5"/>
    <x v="0"/>
    <x v="4"/>
    <n v="147"/>
    <n v="105"/>
    <n v="252"/>
    <n v="206"/>
    <n v="66"/>
    <n v="3"/>
    <n v="832"/>
    <n v="1324"/>
    <n v="0.41666666666666669"/>
    <n v="0.41666666666666669"/>
    <n v="147"/>
    <n v="122304"/>
    <x v="2"/>
    <x v="8"/>
    <n v="139020"/>
  </r>
  <r>
    <s v="ORD420"/>
    <d v="2024-06-20T00:00:00"/>
    <x v="0"/>
    <x v="1"/>
    <x v="3"/>
    <n v="63"/>
    <n v="12"/>
    <n v="75"/>
    <n v="296"/>
    <n v="40"/>
    <n v="6"/>
    <n v="1004"/>
    <n v="2138"/>
    <n v="0.16"/>
    <n v="0.16"/>
    <n v="63"/>
    <n v="63252"/>
    <x v="1"/>
    <x v="7"/>
    <n v="25656"/>
  </r>
  <r>
    <s v="ORD421"/>
    <d v="2024-11-27T00:00:00"/>
    <x v="6"/>
    <x v="2"/>
    <x v="0"/>
    <n v="50"/>
    <n v="81"/>
    <n v="131"/>
    <n v="142"/>
    <n v="79"/>
    <n v="9"/>
    <n v="637"/>
    <n v="1058"/>
    <n v="0.61832061068702293"/>
    <n v="0.61832061068702293"/>
    <n v="50"/>
    <n v="31850"/>
    <x v="0"/>
    <x v="3"/>
    <n v="85698"/>
  </r>
  <r>
    <s v="ORD422"/>
    <d v="2024-08-26T00:00:00"/>
    <x v="4"/>
    <x v="2"/>
    <x v="4"/>
    <n v="130"/>
    <n v="57"/>
    <n v="187"/>
    <n v="288"/>
    <n v="52"/>
    <n v="12"/>
    <n v="614"/>
    <n v="1324"/>
    <n v="0.30481283422459893"/>
    <n v="0.30481283422459893"/>
    <n v="130"/>
    <n v="79820"/>
    <x v="2"/>
    <x v="1"/>
    <n v="75468"/>
  </r>
  <r>
    <s v="ORD423"/>
    <d v="2024-03-03T00:00:00"/>
    <x v="2"/>
    <x v="0"/>
    <x v="1"/>
    <n v="141"/>
    <n v="103"/>
    <n v="244"/>
    <n v="92"/>
    <n v="75"/>
    <n v="14"/>
    <n v="1097"/>
    <n v="1343"/>
    <n v="0.42213114754098363"/>
    <n v="0.42213114754098363"/>
    <n v="141"/>
    <n v="154677"/>
    <x v="2"/>
    <x v="10"/>
    <n v="138329"/>
  </r>
  <r>
    <s v="ORD424"/>
    <d v="2024-02-05T00:00:00"/>
    <x v="2"/>
    <x v="1"/>
    <x v="3"/>
    <n v="51"/>
    <n v="61"/>
    <n v="112"/>
    <n v="180"/>
    <n v="77"/>
    <n v="5"/>
    <n v="629"/>
    <n v="1113"/>
    <n v="0.5446428571428571"/>
    <n v="0.5446428571428571"/>
    <n v="51"/>
    <n v="32079"/>
    <x v="2"/>
    <x v="4"/>
    <n v="67893"/>
  </r>
  <r>
    <s v="ORD425"/>
    <d v="2024-06-10T00:00:00"/>
    <x v="3"/>
    <x v="1"/>
    <x v="4"/>
    <n v="33"/>
    <n v="12"/>
    <n v="45"/>
    <n v="128"/>
    <n v="64"/>
    <n v="13"/>
    <n v="1811"/>
    <n v="2202"/>
    <n v="0.26666666666666666"/>
    <n v="0.26666666666666666"/>
    <n v="33"/>
    <n v="59763"/>
    <x v="1"/>
    <x v="7"/>
    <n v="26424"/>
  </r>
  <r>
    <s v="ORD426"/>
    <d v="2024-03-08T00:00:00"/>
    <x v="1"/>
    <x v="2"/>
    <x v="0"/>
    <n v="27"/>
    <n v="114"/>
    <n v="141"/>
    <n v="231"/>
    <n v="32"/>
    <n v="7"/>
    <n v="1423"/>
    <n v="1595"/>
    <n v="0.80851063829787229"/>
    <n v="0.80851063829787229"/>
    <n v="27"/>
    <n v="38421"/>
    <x v="0"/>
    <x v="10"/>
    <n v="181830"/>
  </r>
  <r>
    <s v="ORD427"/>
    <d v="2024-05-16T00:00:00"/>
    <x v="3"/>
    <x v="1"/>
    <x v="2"/>
    <n v="117"/>
    <n v="109"/>
    <n v="226"/>
    <n v="238"/>
    <n v="61"/>
    <n v="4"/>
    <n v="1055"/>
    <n v="1991"/>
    <n v="0.48230088495575218"/>
    <n v="0.48230088495575218"/>
    <n v="117"/>
    <n v="123435"/>
    <x v="2"/>
    <x v="11"/>
    <n v="217019"/>
  </r>
  <r>
    <s v="ORD428"/>
    <d v="2024-02-04T00:00:00"/>
    <x v="3"/>
    <x v="0"/>
    <x v="4"/>
    <n v="60"/>
    <n v="31"/>
    <n v="91"/>
    <n v="20"/>
    <n v="43"/>
    <n v="9"/>
    <n v="629"/>
    <n v="1112"/>
    <n v="0.34065934065934067"/>
    <n v="0.34065934065934067"/>
    <n v="60"/>
    <n v="37740"/>
    <x v="2"/>
    <x v="4"/>
    <n v="34472"/>
  </r>
  <r>
    <s v="ORD429"/>
    <d v="2024-11-22T00:00:00"/>
    <x v="2"/>
    <x v="0"/>
    <x v="4"/>
    <n v="39"/>
    <n v="54"/>
    <n v="93"/>
    <n v="218"/>
    <n v="36"/>
    <n v="5"/>
    <n v="1425"/>
    <n v="2035"/>
    <n v="0.58064516129032262"/>
    <n v="0.58064516129032262"/>
    <n v="39"/>
    <n v="55575"/>
    <x v="2"/>
    <x v="3"/>
    <n v="109890"/>
  </r>
  <r>
    <s v="ORD430"/>
    <d v="2024-09-21T00:00:00"/>
    <x v="4"/>
    <x v="1"/>
    <x v="4"/>
    <n v="66"/>
    <n v="84"/>
    <n v="150"/>
    <n v="55"/>
    <n v="49"/>
    <n v="5"/>
    <n v="1642"/>
    <n v="1825"/>
    <n v="0.56000000000000005"/>
    <n v="0.56000000000000005"/>
    <n v="66"/>
    <n v="108372"/>
    <x v="2"/>
    <x v="8"/>
    <n v="153300"/>
  </r>
  <r>
    <s v="ORD431"/>
    <d v="2024-10-03T00:00:00"/>
    <x v="0"/>
    <x v="0"/>
    <x v="4"/>
    <n v="112"/>
    <n v="104"/>
    <n v="216"/>
    <n v="22"/>
    <n v="32"/>
    <n v="5"/>
    <n v="1463"/>
    <n v="2440"/>
    <n v="0.48148148148148145"/>
    <n v="0.48148148148148145"/>
    <n v="112"/>
    <n v="163856"/>
    <x v="2"/>
    <x v="5"/>
    <n v="253760"/>
  </r>
  <r>
    <s v="ORD432"/>
    <d v="2024-05-20T00:00:00"/>
    <x v="7"/>
    <x v="1"/>
    <x v="4"/>
    <n v="58"/>
    <n v="46"/>
    <n v="104"/>
    <n v="137"/>
    <n v="42"/>
    <n v="13"/>
    <n v="721"/>
    <n v="1536"/>
    <n v="0.44230769230769229"/>
    <n v="0.44230769230769229"/>
    <n v="58"/>
    <n v="41818"/>
    <x v="2"/>
    <x v="11"/>
    <n v="70656"/>
  </r>
  <r>
    <s v="ORD433"/>
    <d v="2024-04-03T00:00:00"/>
    <x v="4"/>
    <x v="1"/>
    <x v="0"/>
    <n v="22"/>
    <n v="47"/>
    <n v="69"/>
    <n v="51"/>
    <n v="73"/>
    <n v="12"/>
    <n v="1779"/>
    <n v="2952"/>
    <n v="0.6811594202898551"/>
    <n v="0.6811594202898551"/>
    <n v="22"/>
    <n v="39138"/>
    <x v="0"/>
    <x v="9"/>
    <n v="138744"/>
  </r>
  <r>
    <s v="ORD434"/>
    <d v="2024-03-09T00:00:00"/>
    <x v="1"/>
    <x v="1"/>
    <x v="4"/>
    <n v="51"/>
    <n v="80"/>
    <n v="131"/>
    <n v="246"/>
    <n v="49"/>
    <n v="3"/>
    <n v="1591"/>
    <n v="2783"/>
    <n v="0.61068702290076338"/>
    <n v="0.61068702290076338"/>
    <n v="51"/>
    <n v="81141"/>
    <x v="0"/>
    <x v="10"/>
    <n v="222640"/>
  </r>
  <r>
    <s v="ORD435"/>
    <d v="2024-08-02T00:00:00"/>
    <x v="7"/>
    <x v="2"/>
    <x v="1"/>
    <n v="38"/>
    <n v="66"/>
    <n v="104"/>
    <n v="62"/>
    <n v="78"/>
    <n v="4"/>
    <n v="313"/>
    <n v="1135"/>
    <n v="0.63461538461538458"/>
    <n v="0.63461538461538458"/>
    <n v="38"/>
    <n v="11894"/>
    <x v="0"/>
    <x v="1"/>
    <n v="74910"/>
  </r>
  <r>
    <s v="ORD436"/>
    <d v="2024-02-22T00:00:00"/>
    <x v="0"/>
    <x v="1"/>
    <x v="4"/>
    <n v="116"/>
    <n v="41"/>
    <n v="157"/>
    <n v="273"/>
    <n v="80"/>
    <n v="5"/>
    <n v="286"/>
    <n v="755"/>
    <n v="0.26114649681528662"/>
    <n v="0.26114649681528662"/>
    <n v="116"/>
    <n v="33176"/>
    <x v="1"/>
    <x v="4"/>
    <n v="30955"/>
  </r>
  <r>
    <s v="ORD437"/>
    <d v="2024-08-29T00:00:00"/>
    <x v="5"/>
    <x v="2"/>
    <x v="4"/>
    <n v="130"/>
    <n v="99"/>
    <n v="229"/>
    <n v="71"/>
    <n v="70"/>
    <n v="2"/>
    <n v="321"/>
    <n v="790"/>
    <n v="0.43231441048034935"/>
    <n v="0.43231441048034935"/>
    <n v="130"/>
    <n v="41730"/>
    <x v="2"/>
    <x v="1"/>
    <n v="78210"/>
  </r>
  <r>
    <s v="ORD438"/>
    <d v="2024-12-26T00:00:00"/>
    <x v="0"/>
    <x v="1"/>
    <x v="0"/>
    <n v="30"/>
    <n v="115"/>
    <n v="145"/>
    <n v="91"/>
    <n v="43"/>
    <n v="7"/>
    <n v="1891"/>
    <n v="2257"/>
    <n v="0.7931034482758621"/>
    <n v="0.7931034482758621"/>
    <n v="30"/>
    <n v="56730"/>
    <x v="0"/>
    <x v="0"/>
    <n v="259555"/>
  </r>
  <r>
    <s v="ORD439"/>
    <d v="2024-11-10T00:00:00"/>
    <x v="4"/>
    <x v="1"/>
    <x v="3"/>
    <n v="111"/>
    <n v="16"/>
    <n v="127"/>
    <n v="207"/>
    <n v="65"/>
    <n v="9"/>
    <n v="478"/>
    <n v="953"/>
    <n v="0.12598425196850394"/>
    <n v="0.12598425196850394"/>
    <n v="111"/>
    <n v="53058"/>
    <x v="1"/>
    <x v="3"/>
    <n v="15248"/>
  </r>
  <r>
    <s v="ORD440"/>
    <d v="2024-01-16T00:00:00"/>
    <x v="0"/>
    <x v="1"/>
    <x v="3"/>
    <n v="141"/>
    <n v="70"/>
    <n v="211"/>
    <n v="231"/>
    <n v="36"/>
    <n v="5"/>
    <n v="1504"/>
    <n v="2815"/>
    <n v="0.33175355450236965"/>
    <n v="0.33175355450236965"/>
    <n v="141"/>
    <n v="212064"/>
    <x v="2"/>
    <x v="6"/>
    <n v="197050"/>
  </r>
  <r>
    <s v="ORD441"/>
    <d v="2024-11-22T00:00:00"/>
    <x v="4"/>
    <x v="0"/>
    <x v="0"/>
    <n v="112"/>
    <n v="15"/>
    <n v="127"/>
    <n v="92"/>
    <n v="50"/>
    <n v="8"/>
    <n v="1151"/>
    <n v="2037"/>
    <n v="0.11811023622047244"/>
    <n v="0.11811023622047244"/>
    <n v="112"/>
    <n v="128912"/>
    <x v="1"/>
    <x v="3"/>
    <n v="30555"/>
  </r>
  <r>
    <s v="ORD442"/>
    <d v="2024-05-27T00:00:00"/>
    <x v="5"/>
    <x v="0"/>
    <x v="3"/>
    <n v="9"/>
    <n v="42"/>
    <n v="51"/>
    <n v="201"/>
    <n v="57"/>
    <n v="6"/>
    <n v="413"/>
    <n v="1136"/>
    <n v="0.82352941176470584"/>
    <n v="0.82352941176470584"/>
    <n v="9"/>
    <n v="3717"/>
    <x v="0"/>
    <x v="11"/>
    <n v="47712"/>
  </r>
  <r>
    <s v="ORD443"/>
    <d v="2024-02-01T00:00:00"/>
    <x v="6"/>
    <x v="2"/>
    <x v="3"/>
    <n v="63"/>
    <n v="86"/>
    <n v="149"/>
    <n v="77"/>
    <n v="36"/>
    <n v="5"/>
    <n v="1137"/>
    <n v="1508"/>
    <n v="0.57718120805369133"/>
    <n v="0.57718120805369133"/>
    <n v="63"/>
    <n v="71631"/>
    <x v="2"/>
    <x v="4"/>
    <n v="129688"/>
  </r>
  <r>
    <s v="ORD444"/>
    <d v="2024-05-09T00:00:00"/>
    <x v="0"/>
    <x v="0"/>
    <x v="0"/>
    <n v="150"/>
    <n v="31"/>
    <n v="181"/>
    <n v="24"/>
    <n v="77"/>
    <n v="6"/>
    <n v="420"/>
    <n v="1536"/>
    <n v="0.17127071823204421"/>
    <n v="0.17127071823204421"/>
    <n v="150"/>
    <n v="63000"/>
    <x v="1"/>
    <x v="11"/>
    <n v="47616"/>
  </r>
  <r>
    <s v="ORD445"/>
    <d v="2024-03-29T00:00:00"/>
    <x v="2"/>
    <x v="2"/>
    <x v="1"/>
    <n v="114"/>
    <n v="53"/>
    <n v="167"/>
    <n v="68"/>
    <n v="66"/>
    <n v="2"/>
    <n v="955"/>
    <n v="1143"/>
    <n v="0.31736526946107785"/>
    <n v="0.31736526946107785"/>
    <n v="114"/>
    <n v="108870"/>
    <x v="2"/>
    <x v="10"/>
    <n v="60579"/>
  </r>
  <r>
    <s v="ORD446"/>
    <d v="2024-10-06T00:00:00"/>
    <x v="0"/>
    <x v="1"/>
    <x v="1"/>
    <n v="30"/>
    <n v="92"/>
    <n v="122"/>
    <n v="47"/>
    <n v="73"/>
    <n v="6"/>
    <n v="494"/>
    <n v="1834"/>
    <n v="0.75409836065573765"/>
    <n v="0.75409836065573765"/>
    <n v="30"/>
    <n v="14820"/>
    <x v="0"/>
    <x v="5"/>
    <n v="168728"/>
  </r>
  <r>
    <s v="ORD447"/>
    <d v="2024-06-01T00:00:00"/>
    <x v="0"/>
    <x v="1"/>
    <x v="3"/>
    <s v="Not Available"/>
    <n v="65"/>
    <s v="-"/>
    <n v="214"/>
    <n v="59"/>
    <n v="13"/>
    <n v="1556"/>
    <n v="2404"/>
    <e v="#VALUE!"/>
    <s v="incomplete"/>
    <s v="Not Available"/>
    <n v="0"/>
    <x v="0"/>
    <x v="7"/>
    <n v="156260"/>
  </r>
  <r>
    <s v="ORD448"/>
    <d v="2024-12-26T00:00:00"/>
    <x v="6"/>
    <x v="0"/>
    <x v="1"/>
    <n v="139"/>
    <n v="80"/>
    <n v="219"/>
    <n v="99"/>
    <n v="51"/>
    <n v="14"/>
    <n v="326"/>
    <n v="767"/>
    <n v="0.36529680365296802"/>
    <n v="0.36529680365296802"/>
    <n v="139"/>
    <n v="45314"/>
    <x v="2"/>
    <x v="0"/>
    <n v="61360"/>
  </r>
  <r>
    <s v="ORD449"/>
    <d v="2024-12-21T00:00:00"/>
    <x v="0"/>
    <x v="0"/>
    <x v="4"/>
    <n v="48"/>
    <n v="77"/>
    <n v="125"/>
    <n v="267"/>
    <n v="68"/>
    <n v="8"/>
    <n v="865"/>
    <n v="1878"/>
    <n v="0.61599999999999999"/>
    <n v="0.61599999999999999"/>
    <n v="48"/>
    <n v="41520"/>
    <x v="0"/>
    <x v="0"/>
    <n v="144606"/>
  </r>
  <r>
    <s v="ORD450"/>
    <d v="2024-04-27T00:00:00"/>
    <x v="5"/>
    <x v="0"/>
    <x v="4"/>
    <n v="125"/>
    <n v="81"/>
    <n v="206"/>
    <n v="55"/>
    <n v="55"/>
    <n v="2"/>
    <n v="695"/>
    <n v="948"/>
    <n v="0.39320388349514562"/>
    <n v="0.39320388349514562"/>
    <n v="125"/>
    <n v="86875"/>
    <x v="2"/>
    <x v="9"/>
    <n v="76788"/>
  </r>
  <r>
    <s v="ORD451"/>
    <d v="2024-08-03T00:00:00"/>
    <x v="1"/>
    <x v="2"/>
    <x v="1"/>
    <n v="114"/>
    <n v="86"/>
    <n v="200"/>
    <n v="205"/>
    <n v="38"/>
    <n v="8"/>
    <n v="716"/>
    <n v="1907"/>
    <n v="0.43"/>
    <n v="0.43"/>
    <n v="114"/>
    <n v="81624"/>
    <x v="2"/>
    <x v="1"/>
    <n v="164002"/>
  </r>
  <r>
    <s v="ORD452"/>
    <d v="2024-05-09T00:00:00"/>
    <x v="0"/>
    <x v="2"/>
    <x v="0"/>
    <n v="140"/>
    <n v="29"/>
    <n v="169"/>
    <n v="125"/>
    <n v="61"/>
    <n v="7"/>
    <n v="1759"/>
    <n v="1987"/>
    <n v="0.17159763313609466"/>
    <n v="0.17159763313609466"/>
    <n v="140"/>
    <n v="246260"/>
    <x v="1"/>
    <x v="11"/>
    <n v="57623"/>
  </r>
  <r>
    <s v="ORD453"/>
    <d v="2024-10-04T00:00:00"/>
    <x v="2"/>
    <x v="0"/>
    <x v="1"/>
    <n v="136"/>
    <n v="66"/>
    <n v="202"/>
    <n v="133"/>
    <n v="58"/>
    <n v="14"/>
    <n v="1883"/>
    <n v="2758"/>
    <n v="0.32673267326732675"/>
    <n v="0.32673267326732675"/>
    <n v="136"/>
    <n v="256088"/>
    <x v="2"/>
    <x v="5"/>
    <n v="182028"/>
  </r>
  <r>
    <s v="ORD454"/>
    <d v="2024-02-19T00:00:00"/>
    <x v="7"/>
    <x v="1"/>
    <x v="1"/>
    <n v="38"/>
    <n v="22"/>
    <n v="60"/>
    <n v="28"/>
    <n v="31"/>
    <n v="12"/>
    <n v="1348"/>
    <n v="2745"/>
    <n v="0.36666666666666664"/>
    <n v="0.36666666666666664"/>
    <n v="38"/>
    <n v="51224"/>
    <x v="2"/>
    <x v="4"/>
    <n v="60390"/>
  </r>
  <r>
    <s v="ORD455"/>
    <d v="2024-06-19T00:00:00"/>
    <x v="3"/>
    <x v="0"/>
    <x v="1"/>
    <n v="8"/>
    <n v="117"/>
    <n v="125"/>
    <n v="252"/>
    <n v="39"/>
    <n v="8"/>
    <n v="1955"/>
    <n v="2406"/>
    <n v="0.93600000000000005"/>
    <n v="0.93600000000000005"/>
    <n v="8"/>
    <n v="15640"/>
    <x v="0"/>
    <x v="7"/>
    <n v="281502"/>
  </r>
  <r>
    <s v="ORD456"/>
    <d v="2024-07-17T00:00:00"/>
    <x v="0"/>
    <x v="2"/>
    <x v="0"/>
    <n v="115"/>
    <n v="92"/>
    <n v="207"/>
    <n v="97"/>
    <n v="53"/>
    <n v="5"/>
    <n v="752"/>
    <n v="1826"/>
    <n v="0.44444444444444442"/>
    <n v="0.44444444444444442"/>
    <n v="115"/>
    <n v="86480"/>
    <x v="2"/>
    <x v="2"/>
    <n v="167992"/>
  </r>
  <r>
    <s v="ORD457"/>
    <d v="2024-08-02T00:00:00"/>
    <x v="5"/>
    <x v="0"/>
    <x v="0"/>
    <n v="5"/>
    <n v="22"/>
    <n v="27"/>
    <n v="129"/>
    <n v="67"/>
    <n v="6"/>
    <n v="360"/>
    <n v="639"/>
    <n v="0.81481481481481477"/>
    <n v="0.81481481481481477"/>
    <n v="5"/>
    <n v="1800"/>
    <x v="0"/>
    <x v="1"/>
    <n v="14058"/>
  </r>
  <r>
    <s v="ORD458"/>
    <d v="2024-08-15T00:00:00"/>
    <x v="5"/>
    <x v="2"/>
    <x v="0"/>
    <n v="113"/>
    <n v="68"/>
    <n v="181"/>
    <n v="22"/>
    <n v="43"/>
    <n v="10"/>
    <n v="1715"/>
    <n v="1817"/>
    <n v="0.37569060773480661"/>
    <n v="0.37569060773480661"/>
    <n v="113"/>
    <n v="193795"/>
    <x v="2"/>
    <x v="1"/>
    <n v="123556"/>
  </r>
  <r>
    <s v="ORD459"/>
    <d v="2024-07-21T00:00:00"/>
    <x v="1"/>
    <x v="1"/>
    <x v="4"/>
    <n v="107"/>
    <n v="88"/>
    <n v="195"/>
    <n v="20"/>
    <n v="44"/>
    <n v="8"/>
    <n v="361"/>
    <n v="855"/>
    <n v="0.45128205128205129"/>
    <n v="0.45128205128205129"/>
    <n v="107"/>
    <n v="38627"/>
    <x v="2"/>
    <x v="2"/>
    <n v="75240"/>
  </r>
  <r>
    <s v="ORD460"/>
    <d v="2024-03-26T00:00:00"/>
    <x v="2"/>
    <x v="2"/>
    <x v="1"/>
    <n v="81"/>
    <n v="9"/>
    <n v="90"/>
    <n v="116"/>
    <n v="79"/>
    <n v="2"/>
    <n v="660"/>
    <n v="1277"/>
    <n v="0.1"/>
    <n v="0.1"/>
    <n v="81"/>
    <n v="53460"/>
    <x v="1"/>
    <x v="10"/>
    <n v="11493"/>
  </r>
  <r>
    <s v="ORD461"/>
    <d v="2024-08-04T00:00:00"/>
    <x v="2"/>
    <x v="0"/>
    <x v="4"/>
    <n v="147"/>
    <n v="24"/>
    <n v="171"/>
    <n v="45"/>
    <n v="70"/>
    <n v="15"/>
    <n v="1918"/>
    <n v="2648"/>
    <n v="0.14035087719298245"/>
    <n v="0.14035087719298245"/>
    <n v="147"/>
    <n v="281946"/>
    <x v="1"/>
    <x v="1"/>
    <n v="63552"/>
  </r>
  <r>
    <s v="ORD462"/>
    <d v="2024-01-21T00:00:00"/>
    <x v="7"/>
    <x v="2"/>
    <x v="4"/>
    <n v="72"/>
    <n v="104"/>
    <n v="176"/>
    <n v="1"/>
    <n v="47"/>
    <n v="13"/>
    <n v="559"/>
    <n v="1119"/>
    <n v="0.59090909090909094"/>
    <n v="0.59090909090909094"/>
    <n v="72"/>
    <n v="40248"/>
    <x v="2"/>
    <x v="6"/>
    <n v="116376"/>
  </r>
  <r>
    <s v="ORD463"/>
    <d v="2024-12-20T00:00:00"/>
    <x v="5"/>
    <x v="2"/>
    <x v="4"/>
    <n v="140"/>
    <n v="61"/>
    <n v="201"/>
    <n v="242"/>
    <n v="50"/>
    <n v="15"/>
    <n v="1879"/>
    <n v="2875"/>
    <n v="0.30348258706467662"/>
    <n v="0.30348258706467662"/>
    <n v="140"/>
    <n v="263060"/>
    <x v="2"/>
    <x v="0"/>
    <n v="175375"/>
  </r>
  <r>
    <s v="ORD464"/>
    <d v="2024-10-19T00:00:00"/>
    <x v="3"/>
    <x v="0"/>
    <x v="3"/>
    <n v="31"/>
    <n v="101"/>
    <n v="132"/>
    <n v="115"/>
    <n v="43"/>
    <n v="15"/>
    <n v="1835"/>
    <n v="3327"/>
    <n v="0.76515151515151514"/>
    <n v="0.76515151515151514"/>
    <n v="31"/>
    <n v="56885"/>
    <x v="0"/>
    <x v="5"/>
    <n v="336027"/>
  </r>
  <r>
    <s v="ORD465"/>
    <d v="2024-05-08T00:00:00"/>
    <x v="2"/>
    <x v="2"/>
    <x v="3"/>
    <n v="44"/>
    <n v="31"/>
    <n v="75"/>
    <n v="205"/>
    <n v="45"/>
    <n v="2"/>
    <n v="334"/>
    <n v="776"/>
    <n v="0.41333333333333333"/>
    <n v="0.41333333333333333"/>
    <n v="44"/>
    <n v="14696"/>
    <x v="2"/>
    <x v="11"/>
    <n v="24056"/>
  </r>
  <r>
    <s v="ORD466"/>
    <d v="2024-02-17T00:00:00"/>
    <x v="6"/>
    <x v="2"/>
    <x v="4"/>
    <n v="130"/>
    <n v="5"/>
    <n v="135"/>
    <n v="117"/>
    <n v="32"/>
    <n v="10"/>
    <n v="1518"/>
    <n v="2889"/>
    <n v="3.7037037037037035E-2"/>
    <n v="3.7037037037037035E-2"/>
    <n v="130"/>
    <n v="197340"/>
    <x v="1"/>
    <x v="4"/>
    <n v="14445"/>
  </r>
  <r>
    <s v="ORD467"/>
    <d v="2024-03-14T00:00:00"/>
    <x v="2"/>
    <x v="2"/>
    <x v="4"/>
    <n v="59"/>
    <n v="53"/>
    <n v="112"/>
    <n v="183"/>
    <n v="61"/>
    <n v="2"/>
    <n v="1783"/>
    <n v="2716"/>
    <n v="0.4732142857142857"/>
    <n v="0.4732142857142857"/>
    <n v="59"/>
    <n v="105197"/>
    <x v="2"/>
    <x v="10"/>
    <n v="143948"/>
  </r>
  <r>
    <s v="ORD468"/>
    <d v="2024-12-07T00:00:00"/>
    <x v="3"/>
    <x v="2"/>
    <x v="4"/>
    <n v="56"/>
    <n v="106"/>
    <n v="162"/>
    <n v="91"/>
    <n v="41"/>
    <n v="7"/>
    <n v="1452"/>
    <n v="2386"/>
    <n v="0.65432098765432101"/>
    <n v="0.65432098765432101"/>
    <n v="56"/>
    <n v="81312"/>
    <x v="0"/>
    <x v="0"/>
    <n v="252916"/>
  </r>
  <r>
    <s v="ORD469"/>
    <d v="2024-12-31T00:00:00"/>
    <x v="2"/>
    <x v="0"/>
    <x v="4"/>
    <n v="132"/>
    <n v="18"/>
    <n v="150"/>
    <n v="156"/>
    <n v="46"/>
    <n v="14"/>
    <n v="1192"/>
    <n v="1832"/>
    <n v="0.12"/>
    <n v="0.12"/>
    <n v="132"/>
    <n v="157344"/>
    <x v="1"/>
    <x v="0"/>
    <n v="32976"/>
  </r>
  <r>
    <s v="ORD470"/>
    <d v="2024-08-05T00:00:00"/>
    <x v="5"/>
    <x v="2"/>
    <x v="0"/>
    <n v="116"/>
    <n v="93"/>
    <n v="209"/>
    <n v="21"/>
    <n v="36"/>
    <n v="6"/>
    <n v="1660"/>
    <n v="2634"/>
    <n v="0.44497607655502391"/>
    <n v="0.44497607655502391"/>
    <n v="116"/>
    <n v="192560"/>
    <x v="2"/>
    <x v="1"/>
    <n v="244962"/>
  </r>
  <r>
    <s v="ORD471"/>
    <d v="2024-01-10T00:00:00"/>
    <x v="4"/>
    <x v="2"/>
    <x v="3"/>
    <n v="130"/>
    <n v="81"/>
    <n v="211"/>
    <n v="139"/>
    <n v="40"/>
    <n v="15"/>
    <n v="1577"/>
    <n v="2429"/>
    <n v="0.38388625592417064"/>
    <n v="0.38388625592417064"/>
    <n v="130"/>
    <n v="205010"/>
    <x v="2"/>
    <x v="6"/>
    <n v="196749"/>
  </r>
  <r>
    <s v="ORD472"/>
    <d v="2024-01-13T00:00:00"/>
    <x v="6"/>
    <x v="2"/>
    <x v="0"/>
    <n v="93"/>
    <n v="21"/>
    <n v="114"/>
    <n v="99"/>
    <n v="31"/>
    <n v="3"/>
    <n v="1957"/>
    <n v="3349"/>
    <n v="0.18421052631578946"/>
    <n v="0.18421052631578946"/>
    <n v="93"/>
    <n v="182001"/>
    <x v="1"/>
    <x v="6"/>
    <n v="70329"/>
  </r>
  <r>
    <s v="ORD473"/>
    <d v="2024-02-09T00:00:00"/>
    <x v="5"/>
    <x v="0"/>
    <x v="4"/>
    <s v="Not Available"/>
    <n v="103"/>
    <s v="-"/>
    <n v="197"/>
    <n v="39"/>
    <n v="12"/>
    <n v="857"/>
    <n v="1147"/>
    <e v="#VALUE!"/>
    <s v="incomplete"/>
    <s v="Not Available"/>
    <n v="0"/>
    <x v="0"/>
    <x v="4"/>
    <n v="118141"/>
  </r>
  <r>
    <s v="ORD474"/>
    <d v="2024-08-09T00:00:00"/>
    <x v="3"/>
    <x v="1"/>
    <x v="1"/>
    <n v="51"/>
    <n v="12"/>
    <n v="63"/>
    <n v="141"/>
    <n v="69"/>
    <n v="2"/>
    <n v="1101"/>
    <n v="1202"/>
    <n v="0.19047619047619047"/>
    <n v="0.19047619047619047"/>
    <n v="51"/>
    <n v="56151"/>
    <x v="1"/>
    <x v="1"/>
    <n v="14424"/>
  </r>
  <r>
    <s v="ORD475"/>
    <d v="2024-07-16T00:00:00"/>
    <x v="5"/>
    <x v="2"/>
    <x v="4"/>
    <n v="7"/>
    <n v="85"/>
    <n v="92"/>
    <n v="232"/>
    <n v="70"/>
    <n v="13"/>
    <n v="845"/>
    <n v="1532"/>
    <n v="0.92391304347826086"/>
    <n v="0.92391304347826086"/>
    <n v="7"/>
    <n v="5915"/>
    <x v="0"/>
    <x v="2"/>
    <n v="130220"/>
  </r>
  <r>
    <s v="ORD476"/>
    <d v="2024-07-29T00:00:00"/>
    <x v="3"/>
    <x v="1"/>
    <x v="1"/>
    <n v="45"/>
    <n v="1"/>
    <n v="46"/>
    <n v="2"/>
    <n v="59"/>
    <n v="8"/>
    <n v="1551"/>
    <n v="1824"/>
    <n v="2.1739130434782608E-2"/>
    <n v="2.1739130434782608E-2"/>
    <n v="45"/>
    <n v="69795"/>
    <x v="1"/>
    <x v="2"/>
    <n v="1824"/>
  </r>
  <r>
    <s v="ORD477"/>
    <d v="2024-06-07T00:00:00"/>
    <x v="7"/>
    <x v="0"/>
    <x v="2"/>
    <n v="30"/>
    <n v="115"/>
    <n v="145"/>
    <n v="234"/>
    <n v="34"/>
    <n v="6"/>
    <n v="254"/>
    <n v="1001"/>
    <n v="0.7931034482758621"/>
    <n v="0.7931034482758621"/>
    <n v="30"/>
    <n v="7620"/>
    <x v="0"/>
    <x v="7"/>
    <n v="115115"/>
  </r>
  <r>
    <s v="ORD478"/>
    <d v="2024-02-16T00:00:00"/>
    <x v="3"/>
    <x v="0"/>
    <x v="4"/>
    <n v="74"/>
    <n v="13"/>
    <n v="87"/>
    <n v="42"/>
    <n v="75"/>
    <n v="3"/>
    <n v="1203"/>
    <n v="2048"/>
    <n v="0.14942528735632185"/>
    <n v="0.14942528735632185"/>
    <n v="74"/>
    <n v="89022"/>
    <x v="1"/>
    <x v="4"/>
    <n v="26624"/>
  </r>
  <r>
    <s v="ORD479"/>
    <d v="2024-06-21T00:00:00"/>
    <x v="2"/>
    <x v="0"/>
    <x v="4"/>
    <n v="88"/>
    <n v="66"/>
    <n v="154"/>
    <n v="300"/>
    <n v="31"/>
    <n v="4"/>
    <n v="401"/>
    <n v="1411"/>
    <n v="0.42857142857142855"/>
    <n v="0.42857142857142855"/>
    <n v="88"/>
    <n v="35288"/>
    <x v="2"/>
    <x v="7"/>
    <n v="93126"/>
  </r>
  <r>
    <s v="ORD480"/>
    <d v="2024-05-23T00:00:00"/>
    <x v="0"/>
    <x v="0"/>
    <x v="3"/>
    <n v="78"/>
    <n v="70"/>
    <n v="148"/>
    <n v="135"/>
    <n v="46"/>
    <n v="11"/>
    <n v="675"/>
    <n v="1881"/>
    <n v="0.47297297297297297"/>
    <n v="0.47297297297297297"/>
    <n v="78"/>
    <n v="52650"/>
    <x v="2"/>
    <x v="11"/>
    <n v="131670"/>
  </r>
  <r>
    <s v="ORD481"/>
    <d v="2024-02-23T00:00:00"/>
    <x v="4"/>
    <x v="0"/>
    <x v="1"/>
    <n v="139"/>
    <n v="91"/>
    <n v="230"/>
    <n v="250"/>
    <n v="74"/>
    <n v="5"/>
    <n v="1242"/>
    <n v="1498"/>
    <n v="0.39565217391304347"/>
    <n v="0.39565217391304347"/>
    <n v="139"/>
    <n v="172638"/>
    <x v="2"/>
    <x v="4"/>
    <n v="136318"/>
  </r>
  <r>
    <s v="ORD482"/>
    <d v="2024-11-24T00:00:00"/>
    <x v="6"/>
    <x v="1"/>
    <x v="0"/>
    <n v="70"/>
    <n v="43"/>
    <n v="113"/>
    <n v="33"/>
    <n v="48"/>
    <n v="7"/>
    <n v="1371"/>
    <n v="2192"/>
    <n v="0.38053097345132741"/>
    <n v="0.38053097345132741"/>
    <n v="70"/>
    <n v="95970"/>
    <x v="2"/>
    <x v="3"/>
    <n v="94256"/>
  </r>
  <r>
    <s v="ORD483"/>
    <d v="2024-12-30T00:00:00"/>
    <x v="3"/>
    <x v="0"/>
    <x v="4"/>
    <n v="138"/>
    <n v="87"/>
    <n v="225"/>
    <n v="286"/>
    <n v="60"/>
    <n v="9"/>
    <n v="1042"/>
    <n v="2473"/>
    <n v="0.38666666666666666"/>
    <n v="0.38666666666666666"/>
    <n v="138"/>
    <n v="143796"/>
    <x v="2"/>
    <x v="0"/>
    <n v="215151"/>
  </r>
  <r>
    <s v="ORD484"/>
    <d v="2024-08-08T00:00:00"/>
    <x v="2"/>
    <x v="1"/>
    <x v="1"/>
    <n v="30"/>
    <n v="115"/>
    <n v="145"/>
    <n v="238"/>
    <n v="48"/>
    <n v="11"/>
    <n v="261"/>
    <n v="1391"/>
    <n v="0.7931034482758621"/>
    <n v="0.7931034482758621"/>
    <n v="30"/>
    <n v="7830"/>
    <x v="0"/>
    <x v="1"/>
    <n v="159965"/>
  </r>
  <r>
    <s v="ORD485"/>
    <d v="2024-11-10T00:00:00"/>
    <x v="6"/>
    <x v="1"/>
    <x v="0"/>
    <n v="91"/>
    <n v="92"/>
    <n v="183"/>
    <n v="137"/>
    <n v="32"/>
    <n v="7"/>
    <n v="1909"/>
    <n v="3079"/>
    <n v="0.50273224043715847"/>
    <n v="0.50273224043715847"/>
    <n v="91"/>
    <n v="173719"/>
    <x v="2"/>
    <x v="3"/>
    <n v="283268"/>
  </r>
  <r>
    <s v="ORD486"/>
    <d v="2024-08-09T00:00:00"/>
    <x v="3"/>
    <x v="0"/>
    <x v="1"/>
    <n v="99"/>
    <n v="34"/>
    <n v="133"/>
    <n v="129"/>
    <n v="77"/>
    <n v="2"/>
    <n v="1818"/>
    <n v="2883"/>
    <n v="0.25563909774436089"/>
    <n v="0.25563909774436089"/>
    <n v="99"/>
    <n v="179982"/>
    <x v="1"/>
    <x v="1"/>
    <n v="98022"/>
  </r>
  <r>
    <s v="ORD487"/>
    <d v="2024-12-12T00:00:00"/>
    <x v="5"/>
    <x v="2"/>
    <x v="0"/>
    <n v="70"/>
    <n v="67"/>
    <n v="137"/>
    <n v="120"/>
    <n v="73"/>
    <n v="15"/>
    <n v="487"/>
    <n v="1045"/>
    <n v="0.48905109489051096"/>
    <n v="0.48905109489051096"/>
    <n v="70"/>
    <n v="34090"/>
    <x v="2"/>
    <x v="0"/>
    <n v="70015"/>
  </r>
  <r>
    <s v="ORD488"/>
    <d v="2024-02-23T00:00:00"/>
    <x v="4"/>
    <x v="0"/>
    <x v="0"/>
    <n v="49"/>
    <n v="4"/>
    <n v="53"/>
    <n v="283"/>
    <n v="64"/>
    <n v="6"/>
    <n v="1143"/>
    <n v="2543"/>
    <n v="7.5471698113207544E-2"/>
    <n v="7.5471698113207544E-2"/>
    <n v="49"/>
    <n v="56007"/>
    <x v="1"/>
    <x v="4"/>
    <n v="10172"/>
  </r>
  <r>
    <s v="ORD489"/>
    <d v="2024-03-16T00:00:00"/>
    <x v="3"/>
    <x v="0"/>
    <x v="1"/>
    <n v="75"/>
    <n v="94"/>
    <n v="169"/>
    <n v="212"/>
    <n v="33"/>
    <n v="11"/>
    <n v="882"/>
    <n v="1664"/>
    <n v="0.55621301775147924"/>
    <n v="0.55621301775147924"/>
    <n v="75"/>
    <n v="66150"/>
    <x v="2"/>
    <x v="10"/>
    <n v="156416"/>
  </r>
  <r>
    <s v="ORD490"/>
    <d v="2024-09-08T00:00:00"/>
    <x v="0"/>
    <x v="1"/>
    <x v="0"/>
    <n v="112"/>
    <n v="42"/>
    <n v="154"/>
    <n v="223"/>
    <n v="66"/>
    <n v="6"/>
    <n v="907"/>
    <n v="2130"/>
    <n v="0.27272727272727271"/>
    <n v="0.27272727272727271"/>
    <n v="112"/>
    <n v="101584"/>
    <x v="1"/>
    <x v="8"/>
    <n v="89460"/>
  </r>
  <r>
    <s v="ORD491"/>
    <d v="2024-06-02T00:00:00"/>
    <x v="6"/>
    <x v="2"/>
    <x v="3"/>
    <n v="145"/>
    <n v="90"/>
    <n v="235"/>
    <n v="154"/>
    <n v="71"/>
    <n v="11"/>
    <n v="664"/>
    <n v="1581"/>
    <n v="0.38297872340425532"/>
    <n v="0.38297872340425532"/>
    <n v="145"/>
    <n v="96280"/>
    <x v="2"/>
    <x v="7"/>
    <n v="142290"/>
  </r>
  <r>
    <s v="ORD492"/>
    <d v="2024-05-11T00:00:00"/>
    <x v="2"/>
    <x v="2"/>
    <x v="3"/>
    <n v="116"/>
    <n v="110"/>
    <n v="226"/>
    <n v="202"/>
    <n v="31"/>
    <n v="11"/>
    <n v="1216"/>
    <n v="2503"/>
    <n v="0.48672566371681414"/>
    <n v="0.48672566371681414"/>
    <n v="116"/>
    <n v="141056"/>
    <x v="2"/>
    <x v="11"/>
    <n v="275330"/>
  </r>
  <r>
    <s v="ORD493"/>
    <d v="2024-01-04T00:00:00"/>
    <x v="7"/>
    <x v="0"/>
    <x v="0"/>
    <n v="137"/>
    <n v="112"/>
    <n v="249"/>
    <n v="4"/>
    <n v="72"/>
    <n v="13"/>
    <n v="1540"/>
    <n v="2889"/>
    <n v="0.44979919678714858"/>
    <n v="0.44979919678714858"/>
    <n v="137"/>
    <n v="210980"/>
    <x v="2"/>
    <x v="6"/>
    <n v="323568"/>
  </r>
  <r>
    <s v="ORD494"/>
    <d v="2024-04-03T00:00:00"/>
    <x v="6"/>
    <x v="1"/>
    <x v="3"/>
    <n v="113"/>
    <n v="103"/>
    <n v="216"/>
    <n v="119"/>
    <n v="78"/>
    <n v="4"/>
    <n v="881"/>
    <n v="2250"/>
    <n v="0.47685185185185186"/>
    <n v="0.47685185185185186"/>
    <n v="113"/>
    <n v="99553"/>
    <x v="2"/>
    <x v="9"/>
    <n v="231750"/>
  </r>
  <r>
    <s v="ORD495"/>
    <d v="2024-01-31T00:00:00"/>
    <x v="5"/>
    <x v="0"/>
    <x v="3"/>
    <n v="16"/>
    <n v="28"/>
    <n v="44"/>
    <n v="263"/>
    <n v="73"/>
    <n v="11"/>
    <n v="897"/>
    <n v="1763"/>
    <n v="0.63636363636363635"/>
    <n v="0.63636363636363635"/>
    <n v="16"/>
    <n v="14352"/>
    <x v="0"/>
    <x v="6"/>
    <n v="49364"/>
  </r>
  <r>
    <s v="ORD496"/>
    <d v="2024-12-15T00:00:00"/>
    <x v="0"/>
    <x v="2"/>
    <x v="3"/>
    <n v="58"/>
    <n v="60"/>
    <n v="118"/>
    <n v="210"/>
    <n v="31"/>
    <n v="5"/>
    <n v="1000"/>
    <n v="2479"/>
    <n v="0.50847457627118642"/>
    <n v="0.50847457627118642"/>
    <n v="58"/>
    <n v="58000"/>
    <x v="2"/>
    <x v="0"/>
    <n v="148740"/>
  </r>
  <r>
    <s v="ORD497"/>
    <d v="2024-08-26T00:00:00"/>
    <x v="3"/>
    <x v="1"/>
    <x v="4"/>
    <n v="16"/>
    <n v="23"/>
    <n v="39"/>
    <n v="154"/>
    <n v="59"/>
    <n v="11"/>
    <n v="923"/>
    <n v="1291"/>
    <n v="0.58974358974358976"/>
    <n v="0.58974358974358976"/>
    <n v="16"/>
    <n v="14768"/>
    <x v="2"/>
    <x v="1"/>
    <n v="29693"/>
  </r>
  <r>
    <s v="ORD498"/>
    <d v="2024-02-20T00:00:00"/>
    <x v="5"/>
    <x v="1"/>
    <x v="4"/>
    <n v="60"/>
    <n v="71"/>
    <n v="131"/>
    <n v="50"/>
    <n v="46"/>
    <n v="15"/>
    <n v="702"/>
    <n v="1906"/>
    <n v="0.5419847328244275"/>
    <n v="0.5419847328244275"/>
    <n v="60"/>
    <n v="42120"/>
    <x v="2"/>
    <x v="4"/>
    <n v="135326"/>
  </r>
  <r>
    <s v="ORD499"/>
    <d v="2024-02-20T00:00:00"/>
    <x v="6"/>
    <x v="2"/>
    <x v="3"/>
    <n v="24"/>
    <n v="83"/>
    <n v="107"/>
    <n v="20"/>
    <n v="67"/>
    <n v="8"/>
    <n v="599"/>
    <n v="1078"/>
    <n v="0.77570093457943923"/>
    <n v="0.77570093457943923"/>
    <n v="24"/>
    <n v="14376"/>
    <x v="0"/>
    <x v="4"/>
    <n v="89474"/>
  </r>
  <r>
    <s v="ORD500"/>
    <d v="2024-08-15T00:00:00"/>
    <x v="1"/>
    <x v="2"/>
    <x v="4"/>
    <n v="103"/>
    <n v="14"/>
    <n v="117"/>
    <n v="24"/>
    <n v="52"/>
    <n v="5"/>
    <n v="1454"/>
    <n v="1851"/>
    <n v="0.11965811965811966"/>
    <n v="0.11965811965811966"/>
    <n v="103"/>
    <n v="149762"/>
    <x v="1"/>
    <x v="1"/>
    <n v="259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1">
  <r>
    <s v="ORD1"/>
    <d v="2024-12-28T00:00:00"/>
    <x v="0"/>
    <x v="0"/>
    <s v="StyleStreet"/>
    <n v="7"/>
    <n v="115"/>
    <n v="122"/>
    <n v="108"/>
    <n v="50"/>
    <n v="13"/>
    <n v="1161"/>
    <n v="2047"/>
    <n v="0.94262295081967218"/>
    <n v="0.94262295081967218"/>
    <n v="7"/>
    <n v="8127"/>
    <s v="High"/>
    <s v="Dec"/>
    <n v="235405"/>
    <n v="64.5"/>
    <n v="1.7829457364341086"/>
  </r>
  <r>
    <s v="ORD2"/>
    <d v="2024-08-08T00:00:00"/>
    <x v="1"/>
    <x v="1"/>
    <s v="StyleStreet"/>
    <n v="117"/>
    <n v="10"/>
    <n v="127"/>
    <n v="49"/>
    <n v="69"/>
    <n v="2"/>
    <n v="1178"/>
    <n v="2614"/>
    <n v="7.874015748031496E-2"/>
    <n v="7.874015748031496E-2"/>
    <n v="117"/>
    <n v="137826"/>
    <s v="Dead Stock"/>
    <s v="Aug"/>
    <n v="26140"/>
    <n v="122"/>
    <n v="8.1967213114754092E-2"/>
  </r>
  <r>
    <s v="ORD3"/>
    <d v="2024-08-17T00:00:00"/>
    <x v="2"/>
    <x v="2"/>
    <s v="Urban Wear Co"/>
    <n v="147"/>
    <n v="77"/>
    <n v="224"/>
    <n v="160"/>
    <n v="36"/>
    <n v="5"/>
    <n v="247"/>
    <n v="1178"/>
    <n v="0.34375"/>
    <n v="0.34375"/>
    <n v="147"/>
    <n v="36309"/>
    <s v="Avg"/>
    <s v="Aug"/>
    <n v="90706"/>
    <n v="185.5"/>
    <n v="0.41509433962264153"/>
  </r>
  <r>
    <s v="ORD4"/>
    <d v="2024-07-26T00:00:00"/>
    <x v="1"/>
    <x v="0"/>
    <s v="Not Available"/>
    <n v="17"/>
    <n v="59"/>
    <n v="76"/>
    <n v="73"/>
    <n v="41"/>
    <n v="3"/>
    <n v="1958"/>
    <n v="3252"/>
    <n v="0.77631578947368418"/>
    <n v="0.77631578947368418"/>
    <n v="17"/>
    <n v="33286"/>
    <s v="High"/>
    <s v="Jul"/>
    <n v="191868"/>
    <n v="46.5"/>
    <n v="1.2688172043010753"/>
  </r>
  <r>
    <s v="ORD5"/>
    <d v="2024-08-25T00:00:00"/>
    <x v="1"/>
    <x v="0"/>
    <s v="Urban Wear Co"/>
    <s v="Not Available"/>
    <n v="65"/>
    <s v="-"/>
    <n v="183"/>
    <n v="58"/>
    <n v="4"/>
    <n v="575"/>
    <n v="1541"/>
    <e v="#VALUE!"/>
    <s v="incomplete"/>
    <s v="Not Available"/>
    <n v="0"/>
    <s v="High"/>
    <s v="Aug"/>
    <n v="100165"/>
    <s v="-"/>
    <s v="-"/>
  </r>
  <r>
    <s v="ORD6"/>
    <d v="2024-11-19T00:00:00"/>
    <x v="3"/>
    <x v="1"/>
    <s v="StyleStreet"/>
    <n v="47"/>
    <n v="85"/>
    <n v="132"/>
    <n v="124"/>
    <n v="41"/>
    <n v="8"/>
    <n v="1268"/>
    <n v="2441"/>
    <n v="0.64393939393939392"/>
    <n v="0.64393939393939392"/>
    <n v="47"/>
    <n v="59596"/>
    <s v="High"/>
    <s v="Nov"/>
    <n v="207485"/>
    <n v="89.5"/>
    <n v="0.94972067039106145"/>
  </r>
  <r>
    <s v="ORD7"/>
    <d v="2024-02-12T00:00:00"/>
    <x v="0"/>
    <x v="2"/>
    <s v="Urban Wear Co"/>
    <n v="102"/>
    <n v="27"/>
    <n v="129"/>
    <n v="199"/>
    <n v="80"/>
    <n v="4"/>
    <n v="1651"/>
    <n v="2194"/>
    <n v="0.20930232558139536"/>
    <n v="0.20930232558139536"/>
    <n v="102"/>
    <n v="168402"/>
    <s v="Dead Stock"/>
    <s v="Feb"/>
    <n v="59238"/>
    <n v="115.5"/>
    <n v="0.23376623376623376"/>
  </r>
  <r>
    <s v="ORD8"/>
    <d v="2024-07-10T00:00:00"/>
    <x v="1"/>
    <x v="1"/>
    <s v="StyleStreet"/>
    <n v="74"/>
    <n v="13"/>
    <n v="87"/>
    <n v="208"/>
    <n v="40"/>
    <n v="13"/>
    <n v="807"/>
    <n v="1801"/>
    <n v="0.14942528735632185"/>
    <n v="0.14942528735632185"/>
    <n v="74"/>
    <n v="59718"/>
    <s v="Dead Stock"/>
    <s v="Jul"/>
    <n v="23413"/>
    <n v="80.5"/>
    <n v="0.16149068322981366"/>
  </r>
  <r>
    <s v="ORD9"/>
    <d v="2024-07-28T00:00:00"/>
    <x v="4"/>
    <x v="0"/>
    <s v="Urban Wear Co"/>
    <n v="135"/>
    <n v="86"/>
    <n v="221"/>
    <n v="94"/>
    <n v="71"/>
    <n v="6"/>
    <n v="1571"/>
    <n v="2690"/>
    <n v="0.38914027149321267"/>
    <n v="0.38914027149321267"/>
    <n v="135"/>
    <n v="212085"/>
    <s v="Avg"/>
    <s v="Jul"/>
    <n v="231340"/>
    <n v="178"/>
    <n v="0.48314606741573035"/>
  </r>
  <r>
    <s v="ORD10"/>
    <d v="2024-10-23T00:00:00"/>
    <x v="4"/>
    <x v="1"/>
    <s v="Urban Wear Co"/>
    <n v="79"/>
    <n v="108"/>
    <n v="187"/>
    <n v="122"/>
    <n v="43"/>
    <n v="5"/>
    <n v="754"/>
    <n v="2150"/>
    <n v="0.57754010695187163"/>
    <n v="0.57754010695187163"/>
    <n v="79"/>
    <n v="59566"/>
    <s v="Avg"/>
    <s v="Oct"/>
    <n v="232200"/>
    <n v="133"/>
    <n v="0.81203007518796988"/>
  </r>
  <r>
    <s v="ORD11"/>
    <d v="2024-07-02T00:00:00"/>
    <x v="4"/>
    <x v="2"/>
    <s v="Fashion Hub Ltd"/>
    <n v="41"/>
    <n v="60"/>
    <n v="101"/>
    <n v="247"/>
    <n v="48"/>
    <n v="2"/>
    <n v="1362"/>
    <n v="1988"/>
    <n v="0.59405940594059403"/>
    <n v="0.59405940594059403"/>
    <n v="41"/>
    <n v="55842"/>
    <s v="Avg"/>
    <s v="Jul"/>
    <n v="119280"/>
    <n v="71"/>
    <n v="0.84507042253521125"/>
  </r>
  <r>
    <s v="ORD12"/>
    <d v="2024-01-07T00:00:00"/>
    <x v="5"/>
    <x v="2"/>
    <s v="StyleStreet"/>
    <n v="123"/>
    <n v="73"/>
    <n v="196"/>
    <n v="229"/>
    <n v="48"/>
    <n v="8"/>
    <n v="723"/>
    <n v="1158"/>
    <n v="0.37244897959183676"/>
    <n v="0.37244897959183676"/>
    <n v="123"/>
    <n v="88929"/>
    <s v="Avg"/>
    <s v="Jan"/>
    <n v="84534"/>
    <n v="159.5"/>
    <n v="0.45768025078369906"/>
  </r>
  <r>
    <s v="ORD13"/>
    <d v="2024-06-15T00:00:00"/>
    <x v="6"/>
    <x v="0"/>
    <s v="Clothify"/>
    <n v="60"/>
    <n v="120"/>
    <n v="180"/>
    <n v="136"/>
    <n v="32"/>
    <n v="7"/>
    <n v="1750"/>
    <n v="2380"/>
    <n v="0.66666666666666663"/>
    <n v="0.66666666666666663"/>
    <n v="60"/>
    <n v="105000"/>
    <s v="High"/>
    <s v="Jun"/>
    <n v="285600"/>
    <n v="120"/>
    <n v="1"/>
  </r>
  <r>
    <s v="ORD14"/>
    <d v="2024-01-23T00:00:00"/>
    <x v="4"/>
    <x v="1"/>
    <s v="Urban Wear Co"/>
    <n v="128"/>
    <n v="19"/>
    <n v="147"/>
    <n v="143"/>
    <n v="64"/>
    <n v="9"/>
    <n v="1727"/>
    <n v="2198"/>
    <n v="0.12925170068027211"/>
    <n v="0.12925170068027211"/>
    <n v="128"/>
    <n v="221056"/>
    <s v="Dead Stock"/>
    <s v="Jan"/>
    <n v="41762"/>
    <n v="137.5"/>
    <n v="0.13818181818181818"/>
  </r>
  <r>
    <s v="ORD15"/>
    <d v="2024-01-02T00:00:00"/>
    <x v="1"/>
    <x v="1"/>
    <s v="Clothify"/>
    <n v="79"/>
    <n v="114"/>
    <n v="193"/>
    <n v="24"/>
    <n v="36"/>
    <n v="6"/>
    <n v="416"/>
    <n v="1455"/>
    <n v="0.59067357512953367"/>
    <n v="0.59067357512953367"/>
    <n v="79"/>
    <n v="32864"/>
    <s v="Avg"/>
    <s v="Jan"/>
    <n v="165870"/>
    <n v="136"/>
    <n v="0.83823529411764708"/>
  </r>
  <r>
    <s v="ORD16"/>
    <d v="2024-09-22T00:00:00"/>
    <x v="2"/>
    <x v="2"/>
    <s v="Fashion Hub Ltd"/>
    <n v="29"/>
    <n v="83"/>
    <n v="112"/>
    <n v="112"/>
    <n v="59"/>
    <n v="5"/>
    <n v="1464"/>
    <n v="1895"/>
    <n v="0.7410714285714286"/>
    <n v="0.7410714285714286"/>
    <n v="29"/>
    <n v="42456"/>
    <s v="High"/>
    <s v="Sep"/>
    <n v="157285"/>
    <n v="70.5"/>
    <n v="1.177304964539007"/>
  </r>
  <r>
    <s v="ORD17"/>
    <d v="2024-04-11T00:00:00"/>
    <x v="0"/>
    <x v="1"/>
    <s v="Clothify"/>
    <n v="120"/>
    <n v="106"/>
    <n v="226"/>
    <n v="278"/>
    <n v="69"/>
    <n v="14"/>
    <n v="1289"/>
    <n v="2411"/>
    <n v="0.46902654867256638"/>
    <n v="0.46902654867256638"/>
    <n v="120"/>
    <n v="154680"/>
    <s v="Avg"/>
    <s v="Apr"/>
    <n v="255566"/>
    <n v="173"/>
    <n v="0.61271676300578037"/>
  </r>
  <r>
    <s v="ORD18"/>
    <d v="2024-10-20T00:00:00"/>
    <x v="1"/>
    <x v="1"/>
    <s v="Fashion Hub Ltd"/>
    <n v="68"/>
    <n v="39"/>
    <n v="107"/>
    <n v="291"/>
    <n v="52"/>
    <n v="10"/>
    <n v="733"/>
    <n v="912"/>
    <n v="0.3644859813084112"/>
    <n v="0.3644859813084112"/>
    <n v="68"/>
    <n v="49844"/>
    <s v="Avg"/>
    <s v="Oct"/>
    <n v="35568"/>
    <n v="87.5"/>
    <n v="0.44571428571428573"/>
  </r>
  <r>
    <s v="ORD19"/>
    <d v="2024-02-12T00:00:00"/>
    <x v="7"/>
    <x v="2"/>
    <s v="Urban Wear Co"/>
    <n v="125"/>
    <n v="0"/>
    <n v="125"/>
    <n v="167"/>
    <n v="35"/>
    <n v="14"/>
    <n v="1203"/>
    <n v="1502"/>
    <n v="0"/>
    <n v="0"/>
    <n v="125"/>
    <n v="150375"/>
    <s v="Dead Stock"/>
    <s v="Feb"/>
    <n v="0"/>
    <n v="125"/>
    <n v="0"/>
  </r>
  <r>
    <s v="ORD20"/>
    <d v="2024-09-30T00:00:00"/>
    <x v="6"/>
    <x v="0"/>
    <s v="Urban Wear Co"/>
    <n v="26"/>
    <n v="62"/>
    <n v="88"/>
    <n v="162"/>
    <n v="36"/>
    <n v="14"/>
    <n v="366"/>
    <n v="1546"/>
    <n v="0.70454545454545459"/>
    <n v="0.70454545454545459"/>
    <n v="26"/>
    <n v="9516"/>
    <s v="High"/>
    <s v="Sep"/>
    <n v="95852"/>
    <n v="57"/>
    <n v="1.0877192982456141"/>
  </r>
  <r>
    <s v="ORD21"/>
    <d v="2024-02-01T00:00:00"/>
    <x v="1"/>
    <x v="2"/>
    <s v="Fashion Hub Ltd"/>
    <n v="64"/>
    <n v="96"/>
    <n v="160"/>
    <n v="119"/>
    <n v="50"/>
    <n v="12"/>
    <n v="1098"/>
    <n v="1479"/>
    <n v="0.6"/>
    <n v="0.6"/>
    <n v="64"/>
    <n v="70272"/>
    <s v="High"/>
    <s v="Feb"/>
    <n v="141984"/>
    <n v="112"/>
    <n v="0.8571428571428571"/>
  </r>
  <r>
    <s v="ORD22"/>
    <d v="2024-07-28T00:00:00"/>
    <x v="7"/>
    <x v="0"/>
    <s v="Clothify"/>
    <n v="70"/>
    <n v="114"/>
    <n v="184"/>
    <n v="94"/>
    <n v="37"/>
    <n v="11"/>
    <n v="481"/>
    <n v="960"/>
    <n v="0.61956521739130432"/>
    <n v="0.61956521739130432"/>
    <n v="70"/>
    <n v="33670"/>
    <s v="High"/>
    <s v="Jul"/>
    <n v="109440"/>
    <n v="127"/>
    <n v="0.89763779527559051"/>
  </r>
  <r>
    <s v="ORD23"/>
    <d v="2024-11-02T00:00:00"/>
    <x v="1"/>
    <x v="2"/>
    <s v="Fashion Hub Ltd"/>
    <n v="115"/>
    <n v="117"/>
    <n v="232"/>
    <n v="1"/>
    <n v="45"/>
    <n v="11"/>
    <n v="596"/>
    <n v="774"/>
    <n v="0.50431034482758619"/>
    <n v="0.50431034482758619"/>
    <n v="115"/>
    <n v="68540"/>
    <s v="Avg"/>
    <s v="Nov"/>
    <n v="90558"/>
    <n v="173.5"/>
    <n v="0.67435158501440917"/>
  </r>
  <r>
    <s v="ORD24"/>
    <d v="2024-11-24T00:00:00"/>
    <x v="1"/>
    <x v="2"/>
    <s v="StyleStreet"/>
    <n v="140"/>
    <n v="115"/>
    <n v="255"/>
    <n v="255"/>
    <n v="44"/>
    <n v="6"/>
    <n v="373"/>
    <n v="858"/>
    <n v="0.45098039215686275"/>
    <n v="0.45098039215686275"/>
    <n v="140"/>
    <n v="52220"/>
    <s v="Avg"/>
    <s v="Nov"/>
    <n v="98670"/>
    <n v="197.5"/>
    <n v="0.58227848101265822"/>
  </r>
  <r>
    <s v="ORD25"/>
    <d v="2024-06-24T00:00:00"/>
    <x v="5"/>
    <x v="1"/>
    <s v="StyleStreet"/>
    <n v="45"/>
    <n v="57"/>
    <n v="102"/>
    <n v="100"/>
    <n v="66"/>
    <n v="15"/>
    <n v="713"/>
    <n v="1903"/>
    <n v="0.55882352941176472"/>
    <n v="0.55882352941176472"/>
    <n v="45"/>
    <n v="32085"/>
    <s v="Avg"/>
    <s v="Jun"/>
    <n v="108471"/>
    <n v="73.5"/>
    <n v="0.77551020408163263"/>
  </r>
  <r>
    <s v="ORD26"/>
    <d v="2024-04-13T00:00:00"/>
    <x v="0"/>
    <x v="0"/>
    <s v="Clothify"/>
    <n v="121"/>
    <n v="13"/>
    <n v="134"/>
    <n v="183"/>
    <n v="42"/>
    <n v="7"/>
    <n v="364"/>
    <n v="1744"/>
    <n v="9.7014925373134331E-2"/>
    <n v="9.7014925373134331E-2"/>
    <n v="121"/>
    <n v="44044"/>
    <s v="Dead Stock"/>
    <s v="Apr"/>
    <n v="22672"/>
    <n v="127.5"/>
    <n v="0.10196078431372549"/>
  </r>
  <r>
    <s v="ORD27"/>
    <d v="2024-04-10T00:00:00"/>
    <x v="4"/>
    <x v="2"/>
    <s v="Clothify"/>
    <n v="35"/>
    <n v="75"/>
    <n v="110"/>
    <n v="16"/>
    <n v="48"/>
    <n v="13"/>
    <n v="570"/>
    <n v="1182"/>
    <n v="0.68181818181818177"/>
    <n v="0.68181818181818177"/>
    <n v="35"/>
    <n v="19950"/>
    <s v="High"/>
    <s v="Apr"/>
    <n v="88650"/>
    <n v="72.5"/>
    <n v="1.0344827586206897"/>
  </r>
  <r>
    <s v="ORD28"/>
    <d v="2024-03-09T00:00:00"/>
    <x v="4"/>
    <x v="0"/>
    <s v="Urban Wear Co"/>
    <n v="87"/>
    <n v="74"/>
    <n v="161"/>
    <n v="128"/>
    <n v="56"/>
    <n v="13"/>
    <n v="666"/>
    <n v="1457"/>
    <n v="0.45962732919254656"/>
    <n v="0.45962732919254656"/>
    <n v="87"/>
    <n v="57942"/>
    <s v="Avg"/>
    <s v="Mar"/>
    <n v="107818"/>
    <n v="124"/>
    <n v="0.59677419354838712"/>
  </r>
  <r>
    <s v="ORD29"/>
    <d v="2024-08-28T00:00:00"/>
    <x v="6"/>
    <x v="0"/>
    <s v="Urban Wear Co"/>
    <n v="91"/>
    <n v="42"/>
    <n v="133"/>
    <n v="181"/>
    <n v="38"/>
    <n v="10"/>
    <n v="541"/>
    <n v="1787"/>
    <n v="0.31578947368421051"/>
    <n v="0.31578947368421051"/>
    <n v="91"/>
    <n v="49231"/>
    <s v="Avg"/>
    <s v="Aug"/>
    <n v="75054"/>
    <n v="112"/>
    <n v="0.375"/>
  </r>
  <r>
    <s v="ORD30"/>
    <d v="2024-10-26T00:00:00"/>
    <x v="6"/>
    <x v="0"/>
    <s v="StyleStreet"/>
    <n v="11"/>
    <n v="41"/>
    <n v="52"/>
    <n v="73"/>
    <n v="72"/>
    <n v="12"/>
    <n v="232"/>
    <n v="421"/>
    <n v="0.78846153846153844"/>
    <n v="0.78846153846153844"/>
    <n v="11"/>
    <n v="2552"/>
    <s v="High"/>
    <s v="Oct"/>
    <n v="17261"/>
    <n v="31.5"/>
    <n v="1.3015873015873016"/>
  </r>
  <r>
    <s v="ORD31"/>
    <d v="2024-11-05T00:00:00"/>
    <x v="5"/>
    <x v="0"/>
    <s v="Urban Wear Co"/>
    <n v="99"/>
    <n v="115"/>
    <n v="214"/>
    <n v="17"/>
    <n v="72"/>
    <n v="14"/>
    <n v="1405"/>
    <n v="1787"/>
    <n v="0.53738317757009346"/>
    <n v="0.53738317757009346"/>
    <n v="99"/>
    <n v="139095"/>
    <s v="Avg"/>
    <s v="Nov"/>
    <n v="205505"/>
    <n v="156.5"/>
    <n v="0.73482428115015974"/>
  </r>
  <r>
    <s v="ORD32"/>
    <d v="2024-06-07T00:00:00"/>
    <x v="2"/>
    <x v="0"/>
    <s v="Urban Wear Co"/>
    <n v="5"/>
    <n v="81"/>
    <n v="86"/>
    <n v="181"/>
    <n v="66"/>
    <n v="9"/>
    <n v="1797"/>
    <n v="2464"/>
    <n v="0.94186046511627908"/>
    <n v="0.94186046511627908"/>
    <n v="5"/>
    <n v="8985"/>
    <s v="High"/>
    <s v="Jun"/>
    <n v="199584"/>
    <n v="45.5"/>
    <n v="1.7802197802197801"/>
  </r>
  <r>
    <s v="ORD33"/>
    <d v="2024-07-01T00:00:00"/>
    <x v="3"/>
    <x v="1"/>
    <s v="Clothify"/>
    <n v="116"/>
    <n v="114"/>
    <n v="230"/>
    <n v="260"/>
    <n v="43"/>
    <n v="2"/>
    <n v="1400"/>
    <n v="2251"/>
    <n v="0.4956521739130435"/>
    <n v="0.4956521739130435"/>
    <n v="116"/>
    <n v="162400"/>
    <s v="Avg"/>
    <s v="Jul"/>
    <n v="256614"/>
    <n v="173"/>
    <n v="0.65895953757225434"/>
  </r>
  <r>
    <s v="ORD34"/>
    <d v="2024-01-22T00:00:00"/>
    <x v="6"/>
    <x v="1"/>
    <s v="Urban Wear Co"/>
    <n v="45"/>
    <n v="80"/>
    <n v="125"/>
    <n v="5"/>
    <n v="36"/>
    <n v="9"/>
    <n v="1116"/>
    <n v="2247"/>
    <n v="0.64"/>
    <n v="0.64"/>
    <n v="45"/>
    <n v="50220"/>
    <s v="High"/>
    <s v="Jan"/>
    <n v="179760"/>
    <n v="85"/>
    <n v="0.94117647058823528"/>
  </r>
  <r>
    <s v="ORD35"/>
    <d v="2024-03-30T00:00:00"/>
    <x v="4"/>
    <x v="1"/>
    <s v="StyleStreet"/>
    <s v="Not Available"/>
    <n v="109"/>
    <s v="-"/>
    <n v="151"/>
    <n v="52"/>
    <n v="15"/>
    <n v="1424"/>
    <n v="2364"/>
    <e v="#VALUE!"/>
    <s v="incomplete"/>
    <s v="Not Available"/>
    <n v="0"/>
    <s v="High"/>
    <s v="Mar"/>
    <n v="257676"/>
    <s v="-"/>
    <s v="-"/>
  </r>
  <r>
    <s v="ORD36"/>
    <d v="2024-03-22T00:00:00"/>
    <x v="0"/>
    <x v="0"/>
    <s v="StyleStreet"/>
    <n v="104"/>
    <n v="50"/>
    <n v="154"/>
    <n v="261"/>
    <n v="66"/>
    <n v="8"/>
    <n v="1272"/>
    <n v="2318"/>
    <n v="0.32467532467532467"/>
    <n v="0.32467532467532467"/>
    <n v="104"/>
    <n v="132288"/>
    <s v="Avg"/>
    <s v="Mar"/>
    <n v="115900"/>
    <n v="129"/>
    <n v="0.38759689922480622"/>
  </r>
  <r>
    <s v="ORD37"/>
    <d v="2024-06-12T00:00:00"/>
    <x v="1"/>
    <x v="2"/>
    <s v="Fashion Hub Ltd"/>
    <n v="138"/>
    <n v="57"/>
    <n v="195"/>
    <n v="254"/>
    <n v="50"/>
    <n v="11"/>
    <n v="1681"/>
    <n v="3013"/>
    <n v="0.29230769230769232"/>
    <n v="0.29230769230769232"/>
    <n v="138"/>
    <n v="231978"/>
    <s v="Dead Stock"/>
    <s v="Jun"/>
    <n v="171741"/>
    <n v="166.5"/>
    <n v="0.34234234234234234"/>
  </r>
  <r>
    <s v="ORD38"/>
    <d v="2024-11-02T00:00:00"/>
    <x v="7"/>
    <x v="2"/>
    <s v="StyleStreet"/>
    <n v="145"/>
    <n v="110"/>
    <n v="255"/>
    <n v="191"/>
    <n v="35"/>
    <n v="14"/>
    <n v="1806"/>
    <n v="3262"/>
    <n v="0.43137254901960786"/>
    <n v="0.43137254901960786"/>
    <n v="145"/>
    <n v="261870"/>
    <s v="Avg"/>
    <s v="Nov"/>
    <n v="358820"/>
    <n v="200"/>
    <n v="0.55000000000000004"/>
  </r>
  <r>
    <s v="ORD39"/>
    <d v="2024-09-17T00:00:00"/>
    <x v="1"/>
    <x v="2"/>
    <s v="Urban Wear Co"/>
    <n v="111"/>
    <n v="52"/>
    <n v="163"/>
    <n v="139"/>
    <n v="60"/>
    <n v="3"/>
    <n v="747"/>
    <n v="1121"/>
    <n v="0.31901840490797545"/>
    <n v="0.31901840490797545"/>
    <n v="111"/>
    <n v="82917"/>
    <s v="Avg"/>
    <s v="Sep"/>
    <n v="58292"/>
    <n v="137"/>
    <n v="0.37956204379562042"/>
  </r>
  <r>
    <s v="ORD40"/>
    <d v="2024-09-20T00:00:00"/>
    <x v="3"/>
    <x v="0"/>
    <s v="Fashion Hub Ltd"/>
    <s v="Not Available"/>
    <n v="26"/>
    <s v="-"/>
    <n v="176"/>
    <n v="40"/>
    <n v="11"/>
    <n v="1397"/>
    <n v="2716"/>
    <e v="#VALUE!"/>
    <s v="incomplete"/>
    <s v="Not Available"/>
    <n v="0"/>
    <s v="High"/>
    <s v="Sep"/>
    <n v="70616"/>
    <s v="-"/>
    <s v="-"/>
  </r>
  <r>
    <s v="ORD41"/>
    <d v="2024-02-29T00:00:00"/>
    <x v="1"/>
    <x v="1"/>
    <s v="Fashion Hub Ltd"/>
    <n v="34"/>
    <n v="85"/>
    <n v="119"/>
    <n v="187"/>
    <n v="78"/>
    <n v="12"/>
    <n v="678"/>
    <n v="1220"/>
    <n v="0.7142857142857143"/>
    <n v="0.7142857142857143"/>
    <n v="34"/>
    <n v="23052"/>
    <s v="High"/>
    <s v="Feb"/>
    <n v="103700"/>
    <n v="76.5"/>
    <n v="1.1111111111111112"/>
  </r>
  <r>
    <s v="ORD42"/>
    <d v="2024-09-06T00:00:00"/>
    <x v="5"/>
    <x v="2"/>
    <s v="Fashion Hub Ltd"/>
    <n v="135"/>
    <n v="35"/>
    <n v="170"/>
    <n v="46"/>
    <n v="32"/>
    <n v="7"/>
    <n v="1421"/>
    <n v="2720"/>
    <n v="0.20588235294117646"/>
    <n v="0.20588235294117646"/>
    <n v="135"/>
    <n v="191835"/>
    <s v="Dead Stock"/>
    <s v="Sep"/>
    <n v="95200"/>
    <n v="152.5"/>
    <n v="0.22950819672131148"/>
  </r>
  <r>
    <s v="ORD43"/>
    <d v="2024-11-02T00:00:00"/>
    <x v="1"/>
    <x v="2"/>
    <s v="Clothify"/>
    <n v="105"/>
    <n v="98"/>
    <n v="203"/>
    <n v="5"/>
    <n v="75"/>
    <n v="5"/>
    <n v="1004"/>
    <n v="1367"/>
    <n v="0.48275862068965519"/>
    <n v="0.48275862068965519"/>
    <n v="105"/>
    <n v="105420"/>
    <s v="Avg"/>
    <s v="Nov"/>
    <n v="133966"/>
    <n v="154"/>
    <n v="0.63636363636363635"/>
  </r>
  <r>
    <s v="ORD44"/>
    <d v="2024-09-20T00:00:00"/>
    <x v="0"/>
    <x v="2"/>
    <s v="StyleStreet"/>
    <n v="123"/>
    <n v="20"/>
    <n v="143"/>
    <n v="58"/>
    <n v="63"/>
    <n v="4"/>
    <n v="742"/>
    <n v="1437"/>
    <n v="0.13986013986013987"/>
    <n v="0.13986013986013987"/>
    <n v="123"/>
    <n v="91266"/>
    <s v="Dead Stock"/>
    <s v="Sep"/>
    <n v="28740"/>
    <n v="133"/>
    <n v="0.15037593984962405"/>
  </r>
  <r>
    <s v="ORD45"/>
    <d v="2024-01-16T00:00:00"/>
    <x v="7"/>
    <x v="2"/>
    <s v="Clothify"/>
    <n v="56"/>
    <n v="95"/>
    <n v="151"/>
    <n v="141"/>
    <n v="75"/>
    <n v="4"/>
    <n v="898"/>
    <n v="1689"/>
    <n v="0.62913907284768211"/>
    <n v="0.62913907284768211"/>
    <n v="56"/>
    <n v="50288"/>
    <s v="High"/>
    <s v="Jan"/>
    <n v="160455"/>
    <n v="103.5"/>
    <n v="0.91787439613526567"/>
  </r>
  <r>
    <s v="ORD46"/>
    <d v="2024-05-14T00:00:00"/>
    <x v="1"/>
    <x v="2"/>
    <s v="Fashion Hub Ltd"/>
    <n v="122"/>
    <n v="1"/>
    <n v="123"/>
    <n v="222"/>
    <n v="43"/>
    <n v="9"/>
    <n v="874"/>
    <n v="2248"/>
    <n v="8.130081300813009E-3"/>
    <n v="8.130081300813009E-3"/>
    <n v="122"/>
    <n v="106628"/>
    <s v="Dead Stock"/>
    <s v="May"/>
    <n v="2248"/>
    <n v="122.5"/>
    <n v="8.1632653061224497E-3"/>
  </r>
  <r>
    <s v="ORD47"/>
    <d v="2024-12-16T00:00:00"/>
    <x v="0"/>
    <x v="2"/>
    <s v="Not Available"/>
    <n v="10"/>
    <n v="94"/>
    <n v="104"/>
    <n v="204"/>
    <n v="32"/>
    <n v="4"/>
    <n v="1556"/>
    <n v="1856"/>
    <n v="0.90384615384615385"/>
    <n v="0.90384615384615385"/>
    <n v="10"/>
    <n v="15560"/>
    <s v="High"/>
    <s v="Dec"/>
    <n v="174464"/>
    <n v="57"/>
    <n v="1.6491228070175439"/>
  </r>
  <r>
    <s v="ORD48"/>
    <d v="2024-11-05T00:00:00"/>
    <x v="4"/>
    <x v="2"/>
    <s v="StyleStreet"/>
    <n v="132"/>
    <n v="112"/>
    <n v="244"/>
    <n v="42"/>
    <n v="57"/>
    <n v="14"/>
    <n v="314"/>
    <n v="1294"/>
    <n v="0.45901639344262296"/>
    <n v="0.45901639344262296"/>
    <n v="132"/>
    <n v="41448"/>
    <s v="Avg"/>
    <s v="Nov"/>
    <n v="144928"/>
    <n v="188"/>
    <n v="0.5957446808510638"/>
  </r>
  <r>
    <s v="ORD49"/>
    <d v="2024-03-26T00:00:00"/>
    <x v="6"/>
    <x v="1"/>
    <s v="Clothify"/>
    <n v="87"/>
    <n v="17"/>
    <n v="104"/>
    <n v="202"/>
    <n v="64"/>
    <n v="11"/>
    <n v="259"/>
    <n v="1597"/>
    <n v="0.16346153846153846"/>
    <n v="0.16346153846153846"/>
    <n v="87"/>
    <n v="22533"/>
    <s v="Dead Stock"/>
    <s v="Mar"/>
    <n v="27149"/>
    <n v="95.5"/>
    <n v="0.17801047120418848"/>
  </r>
  <r>
    <s v="ORD50"/>
    <d v="2024-04-26T00:00:00"/>
    <x v="0"/>
    <x v="0"/>
    <s v="Not Available"/>
    <n v="146"/>
    <n v="14"/>
    <n v="160"/>
    <n v="283"/>
    <n v="47"/>
    <n v="4"/>
    <n v="1062"/>
    <n v="1254"/>
    <n v="8.7499999999999994E-2"/>
    <n v="8.7499999999999994E-2"/>
    <n v="146"/>
    <n v="155052"/>
    <s v="Dead Stock"/>
    <s v="Apr"/>
    <n v="17556"/>
    <n v="153"/>
    <n v="9.1503267973856203E-2"/>
  </r>
  <r>
    <s v="ORD51"/>
    <d v="2024-06-16T00:00:00"/>
    <x v="2"/>
    <x v="0"/>
    <s v="Fashion Hub Ltd"/>
    <n v="144"/>
    <n v="75"/>
    <n v="219"/>
    <n v="178"/>
    <n v="74"/>
    <n v="5"/>
    <n v="1839"/>
    <n v="2710"/>
    <n v="0.34246575342465752"/>
    <n v="0.34246575342465752"/>
    <n v="144"/>
    <n v="264816"/>
    <s v="Avg"/>
    <s v="Jun"/>
    <n v="203250"/>
    <n v="181.5"/>
    <n v="0.41322314049586778"/>
  </r>
  <r>
    <s v="ORD52"/>
    <d v="2024-01-19T00:00:00"/>
    <x v="3"/>
    <x v="1"/>
    <s v="Fashion Hub Ltd"/>
    <n v="59"/>
    <n v="62"/>
    <n v="121"/>
    <n v="169"/>
    <n v="40"/>
    <n v="8"/>
    <n v="628"/>
    <n v="1124"/>
    <n v="0.51239669421487599"/>
    <n v="0.51239669421487599"/>
    <n v="59"/>
    <n v="37052"/>
    <s v="Avg"/>
    <s v="Jan"/>
    <n v="69688"/>
    <n v="90"/>
    <n v="0.68888888888888888"/>
  </r>
  <r>
    <s v="ORD53"/>
    <d v="2024-02-09T00:00:00"/>
    <x v="4"/>
    <x v="0"/>
    <s v="StyleStreet"/>
    <n v="88"/>
    <n v="94"/>
    <n v="182"/>
    <n v="143"/>
    <n v="38"/>
    <n v="7"/>
    <n v="683"/>
    <n v="1821"/>
    <n v="0.51648351648351654"/>
    <n v="0.51648351648351654"/>
    <n v="88"/>
    <n v="60104"/>
    <s v="Avg"/>
    <s v="Feb"/>
    <n v="171174"/>
    <n v="135"/>
    <n v="0.6962962962962963"/>
  </r>
  <r>
    <s v="ORD54"/>
    <d v="2024-03-01T00:00:00"/>
    <x v="2"/>
    <x v="2"/>
    <s v="Fashion Hub Ltd"/>
    <n v="10"/>
    <n v="97"/>
    <n v="107"/>
    <n v="291"/>
    <n v="35"/>
    <n v="13"/>
    <n v="1396"/>
    <n v="1756"/>
    <n v="0.90654205607476634"/>
    <n v="0.90654205607476634"/>
    <n v="10"/>
    <n v="13960"/>
    <s v="High"/>
    <s v="Mar"/>
    <n v="170332"/>
    <n v="58.5"/>
    <n v="1.6581196581196582"/>
  </r>
  <r>
    <s v="ORD55"/>
    <d v="2024-06-07T00:00:00"/>
    <x v="5"/>
    <x v="0"/>
    <s v="Fashion Hub Ltd"/>
    <n v="145"/>
    <n v="119"/>
    <n v="264"/>
    <n v="297"/>
    <n v="56"/>
    <n v="6"/>
    <n v="1281"/>
    <n v="2431"/>
    <n v="0.45075757575757575"/>
    <n v="0.45075757575757575"/>
    <n v="145"/>
    <n v="185745"/>
    <s v="Avg"/>
    <s v="Jun"/>
    <n v="289289"/>
    <n v="204.5"/>
    <n v="0.58190709046454769"/>
  </r>
  <r>
    <s v="ORD56"/>
    <d v="2024-03-16T00:00:00"/>
    <x v="3"/>
    <x v="2"/>
    <s v="Fashion Hub Ltd"/>
    <n v="137"/>
    <n v="92"/>
    <n v="229"/>
    <n v="79"/>
    <n v="60"/>
    <n v="11"/>
    <n v="537"/>
    <n v="1905"/>
    <n v="0.40174672489082969"/>
    <n v="0.40174672489082969"/>
    <n v="137"/>
    <n v="73569"/>
    <s v="Avg"/>
    <s v="Mar"/>
    <n v="175260"/>
    <n v="183"/>
    <n v="0.50273224043715847"/>
  </r>
  <r>
    <s v="ORD57"/>
    <d v="2024-10-10T00:00:00"/>
    <x v="1"/>
    <x v="2"/>
    <s v="Urban Wear Co"/>
    <n v="72"/>
    <n v="90"/>
    <n v="162"/>
    <n v="208"/>
    <n v="77"/>
    <n v="10"/>
    <n v="1226"/>
    <n v="2446"/>
    <n v="0.55555555555555558"/>
    <n v="0.55555555555555558"/>
    <n v="72"/>
    <n v="88272"/>
    <s v="Avg"/>
    <s v="Oct"/>
    <n v="220140"/>
    <n v="117"/>
    <n v="0.76923076923076927"/>
  </r>
  <r>
    <s v="ORD58"/>
    <d v="2024-12-30T00:00:00"/>
    <x v="4"/>
    <x v="1"/>
    <s v="Clothify"/>
    <n v="27"/>
    <n v="78"/>
    <n v="105"/>
    <n v="207"/>
    <n v="52"/>
    <n v="11"/>
    <n v="696"/>
    <n v="2159"/>
    <n v="0.74285714285714288"/>
    <n v="0.74285714285714288"/>
    <n v="27"/>
    <n v="18792"/>
    <s v="High"/>
    <s v="Dec"/>
    <n v="168402"/>
    <n v="66"/>
    <n v="1.1818181818181819"/>
  </r>
  <r>
    <s v="ORD59"/>
    <d v="2024-01-22T00:00:00"/>
    <x v="2"/>
    <x v="1"/>
    <s v="Fashion Hub Ltd"/>
    <n v="84"/>
    <n v="1"/>
    <n v="85"/>
    <n v="47"/>
    <n v="49"/>
    <n v="5"/>
    <n v="503"/>
    <n v="766"/>
    <n v="1.1764705882352941E-2"/>
    <n v="1.1764705882352941E-2"/>
    <n v="84"/>
    <n v="42252"/>
    <s v="Dead Stock"/>
    <s v="Jan"/>
    <n v="766"/>
    <n v="84.5"/>
    <n v="1.1834319526627219E-2"/>
  </r>
  <r>
    <s v="ORD60"/>
    <d v="2024-05-09T00:00:00"/>
    <x v="7"/>
    <x v="0"/>
    <s v="Fashion Hub Ltd"/>
    <n v="6"/>
    <n v="108"/>
    <n v="114"/>
    <n v="257"/>
    <n v="53"/>
    <n v="4"/>
    <n v="1135"/>
    <n v="2555"/>
    <n v="0.94736842105263153"/>
    <n v="0.94736842105263153"/>
    <n v="6"/>
    <n v="6810"/>
    <s v="High"/>
    <s v="May"/>
    <n v="275940"/>
    <n v="60"/>
    <n v="1.8"/>
  </r>
  <r>
    <s v="ORD61"/>
    <d v="2024-01-29T00:00:00"/>
    <x v="4"/>
    <x v="1"/>
    <s v="Clothify"/>
    <n v="43"/>
    <n v="32"/>
    <n v="75"/>
    <n v="21"/>
    <n v="74"/>
    <n v="7"/>
    <n v="527"/>
    <n v="1368"/>
    <n v="0.42666666666666669"/>
    <n v="0.42666666666666669"/>
    <n v="43"/>
    <n v="22661"/>
    <s v="Avg"/>
    <s v="Jan"/>
    <n v="43776"/>
    <n v="59"/>
    <n v="0.5423728813559322"/>
  </r>
  <r>
    <s v="ORD62"/>
    <d v="2024-02-05T00:00:00"/>
    <x v="3"/>
    <x v="2"/>
    <s v="Not Available"/>
    <n v="23"/>
    <n v="64"/>
    <n v="87"/>
    <n v="49"/>
    <n v="48"/>
    <n v="2"/>
    <n v="1712"/>
    <n v="3209"/>
    <n v="0.73563218390804597"/>
    <n v="0.73563218390804597"/>
    <n v="23"/>
    <n v="39376"/>
    <s v="High"/>
    <s v="Feb"/>
    <n v="205376"/>
    <n v="55"/>
    <n v="1.1636363636363636"/>
  </r>
  <r>
    <s v="ORD63"/>
    <d v="2024-07-25T00:00:00"/>
    <x v="3"/>
    <x v="0"/>
    <s v="StyleStreet"/>
    <n v="137"/>
    <n v="64"/>
    <n v="201"/>
    <n v="148"/>
    <n v="66"/>
    <n v="14"/>
    <n v="321"/>
    <n v="650"/>
    <n v="0.31840796019900497"/>
    <n v="0.31840796019900497"/>
    <n v="137"/>
    <n v="43977"/>
    <s v="Avg"/>
    <s v="Jul"/>
    <n v="41600"/>
    <n v="169"/>
    <n v="0.378698224852071"/>
  </r>
  <r>
    <s v="ORD64"/>
    <d v="2024-04-10T00:00:00"/>
    <x v="2"/>
    <x v="2"/>
    <s v="StyleStreet"/>
    <n v="96"/>
    <n v="15"/>
    <n v="111"/>
    <n v="188"/>
    <n v="74"/>
    <n v="12"/>
    <n v="1109"/>
    <n v="2094"/>
    <n v="0.13513513513513514"/>
    <n v="0.13513513513513514"/>
    <n v="96"/>
    <n v="106464"/>
    <s v="Dead Stock"/>
    <s v="Apr"/>
    <n v="31410"/>
    <n v="103.5"/>
    <n v="0.14492753623188406"/>
  </r>
  <r>
    <s v="ORD65"/>
    <d v="2024-02-04T00:00:00"/>
    <x v="2"/>
    <x v="0"/>
    <s v="Urban Wear Co"/>
    <n v="31"/>
    <n v="93"/>
    <n v="124"/>
    <n v="8"/>
    <n v="59"/>
    <n v="12"/>
    <n v="1784"/>
    <n v="2480"/>
    <n v="0.75"/>
    <n v="0.75"/>
    <n v="31"/>
    <n v="55304"/>
    <s v="High"/>
    <s v="Feb"/>
    <n v="230640"/>
    <n v="77.5"/>
    <n v="1.2"/>
  </r>
  <r>
    <s v="ORD66"/>
    <d v="2024-07-05T00:00:00"/>
    <x v="0"/>
    <x v="2"/>
    <s v="StyleStreet"/>
    <n v="112"/>
    <n v="5"/>
    <n v="117"/>
    <n v="76"/>
    <n v="30"/>
    <n v="11"/>
    <n v="1368"/>
    <n v="2067"/>
    <n v="4.2735042735042736E-2"/>
    <n v="4.2735042735042736E-2"/>
    <n v="112"/>
    <n v="153216"/>
    <s v="Dead Stock"/>
    <s v="Jul"/>
    <n v="10335"/>
    <n v="114.5"/>
    <n v="4.3668122270742356E-2"/>
  </r>
  <r>
    <s v="ORD67"/>
    <d v="2024-04-07T00:00:00"/>
    <x v="1"/>
    <x v="2"/>
    <s v="Clothify"/>
    <n v="147"/>
    <n v="100"/>
    <n v="247"/>
    <n v="2"/>
    <n v="35"/>
    <n v="3"/>
    <n v="1963"/>
    <n v="3359"/>
    <n v="0.40485829959514169"/>
    <n v="0.40485829959514169"/>
    <n v="147"/>
    <n v="288561"/>
    <s v="Avg"/>
    <s v="Apr"/>
    <n v="335900"/>
    <n v="197"/>
    <n v="0.50761421319796951"/>
  </r>
  <r>
    <s v="ORD68"/>
    <d v="2024-10-28T00:00:00"/>
    <x v="5"/>
    <x v="1"/>
    <s v="Clothify"/>
    <n v="97"/>
    <n v="60"/>
    <n v="157"/>
    <n v="170"/>
    <n v="32"/>
    <n v="10"/>
    <n v="316"/>
    <n v="876"/>
    <n v="0.38216560509554143"/>
    <n v="0.38216560509554143"/>
    <n v="97"/>
    <n v="30652"/>
    <s v="Avg"/>
    <s v="Oct"/>
    <n v="52560"/>
    <n v="127"/>
    <n v="0.47244094488188976"/>
  </r>
  <r>
    <s v="ORD69"/>
    <d v="2024-06-05T00:00:00"/>
    <x v="2"/>
    <x v="0"/>
    <s v="Urban Wear Co"/>
    <n v="61"/>
    <n v="49"/>
    <n v="110"/>
    <n v="18"/>
    <n v="66"/>
    <n v="10"/>
    <n v="1761"/>
    <n v="2872"/>
    <n v="0.44545454545454544"/>
    <n v="0.44545454545454544"/>
    <n v="61"/>
    <n v="107421"/>
    <s v="Avg"/>
    <s v="Jun"/>
    <n v="140728"/>
    <n v="85.5"/>
    <n v="0.57309941520467833"/>
  </r>
  <r>
    <s v="ORD70"/>
    <d v="2024-03-07T00:00:00"/>
    <x v="4"/>
    <x v="1"/>
    <s v="Urban Wear Co"/>
    <n v="48"/>
    <n v="47"/>
    <n v="95"/>
    <n v="232"/>
    <n v="60"/>
    <n v="14"/>
    <n v="966"/>
    <n v="1255"/>
    <n v="0.49473684210526314"/>
    <n v="0.49473684210526314"/>
    <n v="48"/>
    <n v="46368"/>
    <s v="Avg"/>
    <s v="Mar"/>
    <n v="58985"/>
    <n v="71.5"/>
    <n v="0.65734265734265729"/>
  </r>
  <r>
    <s v="ORD71"/>
    <d v="2024-08-10T00:00:00"/>
    <x v="7"/>
    <x v="1"/>
    <s v="Urban Wear Co"/>
    <n v="71"/>
    <n v="87"/>
    <n v="158"/>
    <n v="71"/>
    <n v="76"/>
    <n v="11"/>
    <n v="1023"/>
    <n v="2007"/>
    <n v="0.55063291139240511"/>
    <n v="0.55063291139240511"/>
    <n v="71"/>
    <n v="72633"/>
    <s v="Avg"/>
    <s v="Aug"/>
    <n v="174609"/>
    <n v="114.5"/>
    <n v="0.75982532751091703"/>
  </r>
  <r>
    <s v="ORD72"/>
    <d v="2024-01-10T00:00:00"/>
    <x v="5"/>
    <x v="1"/>
    <s v="Fashion Hub Ltd"/>
    <n v="34"/>
    <n v="74"/>
    <n v="108"/>
    <n v="265"/>
    <n v="48"/>
    <n v="12"/>
    <n v="660"/>
    <n v="1348"/>
    <n v="0.68518518518518523"/>
    <n v="0.68518518518518523"/>
    <n v="34"/>
    <n v="22440"/>
    <s v="High"/>
    <s v="Jan"/>
    <n v="99752"/>
    <n v="71"/>
    <n v="1.0422535211267605"/>
  </r>
  <r>
    <s v="ORD73"/>
    <d v="2024-01-23T00:00:00"/>
    <x v="7"/>
    <x v="1"/>
    <s v="Urban Wear Co"/>
    <n v="112"/>
    <n v="96"/>
    <n v="208"/>
    <n v="193"/>
    <n v="56"/>
    <n v="8"/>
    <n v="1026"/>
    <n v="2049"/>
    <n v="0.46153846153846156"/>
    <n v="0.46153846153846156"/>
    <n v="112"/>
    <n v="114912"/>
    <s v="Avg"/>
    <s v="Jan"/>
    <n v="196704"/>
    <n v="160"/>
    <n v="0.6"/>
  </r>
  <r>
    <s v="ORD74"/>
    <d v="2024-09-17T00:00:00"/>
    <x v="7"/>
    <x v="0"/>
    <s v="Clothify"/>
    <n v="46"/>
    <n v="62"/>
    <n v="108"/>
    <n v="2"/>
    <n v="69"/>
    <n v="3"/>
    <n v="410"/>
    <n v="987"/>
    <n v="0.57407407407407407"/>
    <n v="0.57407407407407407"/>
    <n v="46"/>
    <n v="18860"/>
    <s v="Avg"/>
    <s v="Sep"/>
    <n v="61194"/>
    <n v="77"/>
    <n v="0.80519480519480524"/>
  </r>
  <r>
    <s v="ORD75"/>
    <d v="2024-04-26T00:00:00"/>
    <x v="4"/>
    <x v="0"/>
    <s v="Clothify"/>
    <n v="36"/>
    <n v="23"/>
    <n v="59"/>
    <n v="40"/>
    <n v="44"/>
    <n v="5"/>
    <n v="1785"/>
    <n v="2840"/>
    <n v="0.38983050847457629"/>
    <n v="0.38983050847457629"/>
    <n v="36"/>
    <n v="64260"/>
    <s v="Avg"/>
    <s v="Apr"/>
    <n v="65320"/>
    <n v="47.5"/>
    <n v="0.48421052631578948"/>
  </r>
  <r>
    <s v="ORD76"/>
    <d v="2024-03-13T00:00:00"/>
    <x v="0"/>
    <x v="1"/>
    <s v="Clothify"/>
    <n v="58"/>
    <n v="84"/>
    <n v="142"/>
    <n v="258"/>
    <n v="66"/>
    <n v="13"/>
    <n v="252"/>
    <n v="1275"/>
    <n v="0.59154929577464788"/>
    <n v="0.59154929577464788"/>
    <n v="58"/>
    <n v="14616"/>
    <s v="Avg"/>
    <s v="Mar"/>
    <n v="107100"/>
    <n v="100"/>
    <n v="0.84"/>
  </r>
  <r>
    <s v="ORD77"/>
    <d v="2024-02-15T00:00:00"/>
    <x v="4"/>
    <x v="2"/>
    <s v="Fashion Hub Ltd"/>
    <n v="25"/>
    <n v="42"/>
    <n v="67"/>
    <n v="184"/>
    <n v="77"/>
    <n v="10"/>
    <n v="882"/>
    <n v="1802"/>
    <n v="0.62686567164179108"/>
    <n v="0.62686567164179108"/>
    <n v="25"/>
    <n v="22050"/>
    <s v="High"/>
    <s v="Feb"/>
    <n v="75684"/>
    <n v="46"/>
    <n v="0.91304347826086951"/>
  </r>
  <r>
    <s v="ORD78"/>
    <d v="2024-10-01T00:00:00"/>
    <x v="5"/>
    <x v="0"/>
    <s v="Clothify"/>
    <n v="63"/>
    <n v="41"/>
    <n v="104"/>
    <n v="90"/>
    <n v="72"/>
    <n v="13"/>
    <n v="450"/>
    <n v="572"/>
    <n v="0.39423076923076922"/>
    <n v="0.39423076923076922"/>
    <n v="63"/>
    <n v="28350"/>
    <s v="Avg"/>
    <s v="Oct"/>
    <n v="23452"/>
    <n v="83.5"/>
    <n v="0.49101796407185627"/>
  </r>
  <r>
    <s v="ORD79"/>
    <d v="2024-08-16T00:00:00"/>
    <x v="4"/>
    <x v="0"/>
    <s v="Fashion Hub Ltd"/>
    <n v="130"/>
    <n v="68"/>
    <n v="198"/>
    <n v="185"/>
    <n v="40"/>
    <n v="10"/>
    <n v="866"/>
    <n v="2276"/>
    <n v="0.34343434343434343"/>
    <n v="0.34343434343434343"/>
    <n v="130"/>
    <n v="112580"/>
    <s v="Avg"/>
    <s v="Aug"/>
    <n v="154768"/>
    <n v="164"/>
    <n v="0.41463414634146339"/>
  </r>
  <r>
    <s v="ORD80"/>
    <d v="2024-03-16T00:00:00"/>
    <x v="1"/>
    <x v="2"/>
    <s v="Fashion Hub Ltd"/>
    <n v="12"/>
    <n v="66"/>
    <n v="78"/>
    <n v="33"/>
    <n v="38"/>
    <n v="3"/>
    <n v="767"/>
    <n v="1627"/>
    <n v="0.84615384615384615"/>
    <n v="0.84615384615384615"/>
    <n v="12"/>
    <n v="9204"/>
    <s v="High"/>
    <s v="Mar"/>
    <n v="107382"/>
    <n v="45"/>
    <n v="1.4666666666666666"/>
  </r>
  <r>
    <s v="ORD81"/>
    <d v="2024-12-30T00:00:00"/>
    <x v="5"/>
    <x v="1"/>
    <s v="Fashion Hub Ltd"/>
    <n v="38"/>
    <n v="7"/>
    <n v="45"/>
    <n v="49"/>
    <n v="58"/>
    <n v="11"/>
    <n v="991"/>
    <n v="2483"/>
    <n v="0.15555555555555556"/>
    <n v="0.15555555555555556"/>
    <n v="38"/>
    <n v="37658"/>
    <s v="Dead Stock"/>
    <s v="Dec"/>
    <n v="17381"/>
    <n v="41.5"/>
    <n v="0.16867469879518071"/>
  </r>
  <r>
    <s v="ORD82"/>
    <d v="2024-08-06T00:00:00"/>
    <x v="4"/>
    <x v="2"/>
    <s v="StyleStreet"/>
    <n v="49"/>
    <n v="4"/>
    <n v="53"/>
    <n v="18"/>
    <n v="41"/>
    <n v="9"/>
    <n v="298"/>
    <n v="432"/>
    <n v="7.5471698113207544E-2"/>
    <n v="7.5471698113207544E-2"/>
    <n v="49"/>
    <n v="14602"/>
    <s v="Dead Stock"/>
    <s v="Aug"/>
    <n v="1728"/>
    <n v="51"/>
    <n v="7.8431372549019607E-2"/>
  </r>
  <r>
    <s v="ORD83"/>
    <d v="2024-11-06T00:00:00"/>
    <x v="2"/>
    <x v="1"/>
    <s v="Clothify"/>
    <n v="107"/>
    <n v="24"/>
    <n v="131"/>
    <n v="89"/>
    <n v="46"/>
    <n v="10"/>
    <n v="855"/>
    <n v="2335"/>
    <n v="0.18320610687022901"/>
    <n v="0.18320610687022901"/>
    <n v="107"/>
    <n v="91485"/>
    <s v="Dead Stock"/>
    <s v="Nov"/>
    <n v="56040"/>
    <n v="119"/>
    <n v="0.20168067226890757"/>
  </r>
  <r>
    <s v="ORD84"/>
    <d v="2024-02-06T00:00:00"/>
    <x v="3"/>
    <x v="1"/>
    <s v="Urban Wear Co"/>
    <n v="9"/>
    <n v="96"/>
    <n v="105"/>
    <n v="49"/>
    <n v="61"/>
    <n v="6"/>
    <n v="911"/>
    <n v="1909"/>
    <n v="0.91428571428571426"/>
    <n v="0.91428571428571426"/>
    <n v="9"/>
    <n v="8199"/>
    <s v="High"/>
    <s v="Feb"/>
    <n v="183264"/>
    <n v="57"/>
    <n v="1.6842105263157894"/>
  </r>
  <r>
    <s v="ORD85"/>
    <d v="2024-11-08T00:00:00"/>
    <x v="2"/>
    <x v="2"/>
    <s v="Urban Wear Co"/>
    <n v="74"/>
    <n v="120"/>
    <n v="194"/>
    <n v="24"/>
    <n v="54"/>
    <n v="5"/>
    <n v="1200"/>
    <n v="2502"/>
    <n v="0.61855670103092786"/>
    <n v="0.61855670103092786"/>
    <n v="74"/>
    <n v="88800"/>
    <s v="High"/>
    <s v="Nov"/>
    <n v="300240"/>
    <n v="134"/>
    <n v="0.89552238805970152"/>
  </r>
  <r>
    <s v="ORD86"/>
    <d v="2024-07-20T00:00:00"/>
    <x v="0"/>
    <x v="2"/>
    <s v="Urban Wear Co"/>
    <n v="119"/>
    <n v="61"/>
    <n v="180"/>
    <n v="271"/>
    <n v="33"/>
    <n v="10"/>
    <n v="772"/>
    <n v="1790"/>
    <n v="0.33888888888888891"/>
    <n v="0.33888888888888891"/>
    <n v="119"/>
    <n v="91868"/>
    <s v="Avg"/>
    <s v="Jul"/>
    <n v="109190"/>
    <n v="149.5"/>
    <n v="0.40802675585284282"/>
  </r>
  <r>
    <s v="ORD87"/>
    <d v="2024-06-11T00:00:00"/>
    <x v="7"/>
    <x v="2"/>
    <s v="Urban Wear Co"/>
    <n v="113"/>
    <n v="65"/>
    <n v="178"/>
    <n v="62"/>
    <n v="73"/>
    <n v="3"/>
    <n v="226"/>
    <n v="847"/>
    <n v="0.3651685393258427"/>
    <n v="0.3651685393258427"/>
    <n v="113"/>
    <n v="25538"/>
    <s v="Avg"/>
    <s v="Jun"/>
    <n v="55055"/>
    <n v="145.5"/>
    <n v="0.44673539518900346"/>
  </r>
  <r>
    <s v="ORD88"/>
    <d v="2024-05-31T00:00:00"/>
    <x v="1"/>
    <x v="0"/>
    <s v="StyleStreet"/>
    <n v="51"/>
    <n v="81"/>
    <n v="132"/>
    <n v="93"/>
    <n v="38"/>
    <n v="6"/>
    <n v="1075"/>
    <n v="2413"/>
    <n v="0.61363636363636365"/>
    <n v="0.61363636363636365"/>
    <n v="51"/>
    <n v="54825"/>
    <s v="High"/>
    <s v="May"/>
    <n v="195453"/>
    <n v="91.5"/>
    <n v="0.88524590163934425"/>
  </r>
  <r>
    <s v="ORD89"/>
    <d v="2024-11-17T00:00:00"/>
    <x v="6"/>
    <x v="0"/>
    <s v="Fashion Hub Ltd"/>
    <s v="Not Available"/>
    <n v="17"/>
    <s v="-"/>
    <n v="235"/>
    <n v="73"/>
    <n v="5"/>
    <n v="1992"/>
    <n v="2468"/>
    <e v="#VALUE!"/>
    <s v="incomplete"/>
    <s v="Not Available"/>
    <n v="0"/>
    <s v="High"/>
    <s v="Nov"/>
    <n v="41956"/>
    <s v="-"/>
    <s v="-"/>
  </r>
  <r>
    <s v="ORD90"/>
    <d v="2024-01-16T00:00:00"/>
    <x v="1"/>
    <x v="2"/>
    <s v="StyleStreet"/>
    <n v="125"/>
    <n v="88"/>
    <n v="213"/>
    <n v="26"/>
    <n v="64"/>
    <n v="6"/>
    <n v="1621"/>
    <n v="2932"/>
    <n v="0.41314553990610331"/>
    <n v="0.41314553990610331"/>
    <n v="125"/>
    <n v="202625"/>
    <s v="Avg"/>
    <s v="Jan"/>
    <n v="258016"/>
    <n v="169"/>
    <n v="0.52071005917159763"/>
  </r>
  <r>
    <s v="ORD91"/>
    <d v="2024-07-30T00:00:00"/>
    <x v="4"/>
    <x v="2"/>
    <s v="Urban Wear Co"/>
    <n v="70"/>
    <n v="74"/>
    <n v="144"/>
    <n v="205"/>
    <n v="80"/>
    <n v="5"/>
    <n v="1358"/>
    <n v="1792"/>
    <n v="0.51388888888888884"/>
    <n v="0.51388888888888884"/>
    <n v="70"/>
    <n v="95060"/>
    <s v="Avg"/>
    <s v="Jul"/>
    <n v="132608"/>
    <n v="107"/>
    <n v="0.69158878504672894"/>
  </r>
  <r>
    <s v="ORD92"/>
    <d v="2024-01-04T00:00:00"/>
    <x v="0"/>
    <x v="0"/>
    <s v="Clothify"/>
    <n v="141"/>
    <n v="30"/>
    <n v="171"/>
    <n v="37"/>
    <n v="67"/>
    <n v="9"/>
    <n v="1746"/>
    <n v="2123"/>
    <n v="0.17543859649122806"/>
    <n v="0.17543859649122806"/>
    <n v="141"/>
    <n v="246186"/>
    <s v="Dead Stock"/>
    <s v="Jan"/>
    <n v="63690"/>
    <n v="156"/>
    <n v="0.19230769230769232"/>
  </r>
  <r>
    <s v="ORD93"/>
    <d v="2024-07-06T00:00:00"/>
    <x v="5"/>
    <x v="0"/>
    <s v="Fashion Hub Ltd"/>
    <n v="49"/>
    <n v="31"/>
    <n v="80"/>
    <n v="7"/>
    <n v="35"/>
    <n v="12"/>
    <n v="1228"/>
    <n v="2132"/>
    <n v="0.38750000000000001"/>
    <n v="0.38750000000000001"/>
    <n v="49"/>
    <n v="60172"/>
    <s v="Avg"/>
    <s v="Jul"/>
    <n v="66092"/>
    <n v="64.5"/>
    <n v="0.48062015503875971"/>
  </r>
  <r>
    <s v="ORD94"/>
    <d v="2024-07-15T00:00:00"/>
    <x v="6"/>
    <x v="2"/>
    <s v="Urban Wear Co"/>
    <n v="28"/>
    <n v="74"/>
    <n v="102"/>
    <n v="2"/>
    <n v="45"/>
    <n v="11"/>
    <n v="600"/>
    <n v="1986"/>
    <n v="0.72549019607843135"/>
    <n v="0.72549019607843135"/>
    <n v="28"/>
    <n v="16800"/>
    <s v="High"/>
    <s v="Jul"/>
    <n v="146964"/>
    <n v="65"/>
    <n v="1.1384615384615384"/>
  </r>
  <r>
    <s v="ORD95"/>
    <d v="2024-01-18T00:00:00"/>
    <x v="0"/>
    <x v="2"/>
    <s v="Clothify"/>
    <n v="72"/>
    <n v="4"/>
    <n v="76"/>
    <n v="286"/>
    <n v="73"/>
    <n v="12"/>
    <n v="257"/>
    <n v="1490"/>
    <n v="5.2631578947368418E-2"/>
    <n v="5.2631578947368418E-2"/>
    <n v="72"/>
    <n v="18504"/>
    <s v="Dead Stock"/>
    <s v="Jan"/>
    <n v="5960"/>
    <n v="74"/>
    <n v="5.4054054054054057E-2"/>
  </r>
  <r>
    <s v="ORD96"/>
    <d v="2024-10-22T00:00:00"/>
    <x v="5"/>
    <x v="1"/>
    <s v="StyleStreet"/>
    <n v="113"/>
    <n v="58"/>
    <n v="171"/>
    <n v="199"/>
    <n v="49"/>
    <n v="7"/>
    <n v="1251"/>
    <n v="1701"/>
    <n v="0.33918128654970758"/>
    <n v="0.33918128654970758"/>
    <n v="113"/>
    <n v="141363"/>
    <s v="Avg"/>
    <s v="Oct"/>
    <n v="98658"/>
    <n v="142"/>
    <n v="0.40845070422535212"/>
  </r>
  <r>
    <s v="ORD97"/>
    <d v="2024-12-04T00:00:00"/>
    <x v="7"/>
    <x v="0"/>
    <s v="Fashion Hub Ltd"/>
    <n v="82"/>
    <n v="50"/>
    <n v="132"/>
    <n v="255"/>
    <n v="39"/>
    <n v="7"/>
    <n v="1046"/>
    <n v="2109"/>
    <n v="0.37878787878787878"/>
    <n v="0.37878787878787878"/>
    <n v="82"/>
    <n v="85772"/>
    <s v="Avg"/>
    <s v="Dec"/>
    <n v="105450"/>
    <n v="107"/>
    <n v="0.46728971962616822"/>
  </r>
  <r>
    <s v="ORD98"/>
    <d v="2024-05-30T00:00:00"/>
    <x v="3"/>
    <x v="0"/>
    <s v="Urban Wear Co"/>
    <n v="139"/>
    <n v="4"/>
    <n v="143"/>
    <n v="204"/>
    <n v="44"/>
    <n v="14"/>
    <n v="1343"/>
    <n v="1898"/>
    <n v="2.7972027972027972E-2"/>
    <n v="2.7972027972027972E-2"/>
    <n v="139"/>
    <n v="186677"/>
    <s v="Dead Stock"/>
    <s v="May"/>
    <n v="7592"/>
    <n v="141"/>
    <n v="2.8368794326241134E-2"/>
  </r>
  <r>
    <s v="ORD99"/>
    <d v="2024-03-23T00:00:00"/>
    <x v="5"/>
    <x v="0"/>
    <s v="Clothify"/>
    <n v="48"/>
    <n v="74"/>
    <n v="122"/>
    <n v="155"/>
    <n v="37"/>
    <n v="10"/>
    <n v="908"/>
    <n v="2375"/>
    <n v="0.60655737704918034"/>
    <n v="0.60655737704918034"/>
    <n v="48"/>
    <n v="43584"/>
    <s v="High"/>
    <s v="Mar"/>
    <n v="175750"/>
    <n v="85"/>
    <n v="0.87058823529411766"/>
  </r>
  <r>
    <s v="ORD100"/>
    <d v="2024-09-20T00:00:00"/>
    <x v="6"/>
    <x v="2"/>
    <s v="Fashion Hub Ltd"/>
    <n v="28"/>
    <n v="4"/>
    <n v="32"/>
    <n v="278"/>
    <n v="62"/>
    <n v="11"/>
    <n v="1495"/>
    <n v="1908"/>
    <n v="0.125"/>
    <n v="0.125"/>
    <n v="28"/>
    <n v="41860"/>
    <s v="Dead Stock"/>
    <s v="Sep"/>
    <n v="7632"/>
    <n v="30"/>
    <n v="0.13333333333333333"/>
  </r>
  <r>
    <s v="ORD101"/>
    <d v="2024-07-26T00:00:00"/>
    <x v="4"/>
    <x v="1"/>
    <s v="Clothify"/>
    <n v="27"/>
    <n v="89"/>
    <n v="116"/>
    <n v="54"/>
    <n v="72"/>
    <n v="11"/>
    <n v="1122"/>
    <n v="1755"/>
    <n v="0.76724137931034486"/>
    <n v="0.76724137931034486"/>
    <n v="27"/>
    <n v="30294"/>
    <s v="High"/>
    <s v="Jul"/>
    <n v="156195"/>
    <n v="71.5"/>
    <n v="1.2447552447552448"/>
  </r>
  <r>
    <s v="ORD102"/>
    <d v="2024-11-24T00:00:00"/>
    <x v="6"/>
    <x v="2"/>
    <s v="StyleStreet"/>
    <n v="79"/>
    <n v="15"/>
    <n v="94"/>
    <n v="191"/>
    <n v="32"/>
    <n v="6"/>
    <n v="963"/>
    <n v="2172"/>
    <n v="0.15957446808510639"/>
    <n v="0.15957446808510639"/>
    <n v="79"/>
    <n v="76077"/>
    <s v="Dead Stock"/>
    <s v="Nov"/>
    <n v="32580"/>
    <n v="86.5"/>
    <n v="0.17341040462427745"/>
  </r>
  <r>
    <s v="ORD103"/>
    <d v="2024-06-24T00:00:00"/>
    <x v="4"/>
    <x v="2"/>
    <s v="StyleStreet"/>
    <n v="13"/>
    <n v="71"/>
    <n v="84"/>
    <n v="187"/>
    <n v="48"/>
    <n v="2"/>
    <n v="1686"/>
    <n v="2263"/>
    <n v="0.84523809523809523"/>
    <n v="0.84523809523809523"/>
    <n v="13"/>
    <n v="21918"/>
    <s v="High"/>
    <s v="Jun"/>
    <n v="160673"/>
    <n v="48.5"/>
    <n v="1.4639175257731958"/>
  </r>
  <r>
    <s v="ORD104"/>
    <d v="2024-10-04T00:00:00"/>
    <x v="5"/>
    <x v="2"/>
    <s v="Clothify"/>
    <n v="84"/>
    <n v="66"/>
    <n v="150"/>
    <n v="154"/>
    <n v="72"/>
    <n v="12"/>
    <n v="1970"/>
    <n v="3221"/>
    <n v="0.44"/>
    <n v="0.44"/>
    <n v="84"/>
    <n v="165480"/>
    <s v="Avg"/>
    <s v="Oct"/>
    <n v="212586"/>
    <n v="117"/>
    <n v="0.5641025641025641"/>
  </r>
  <r>
    <s v="ORD105"/>
    <d v="2024-08-29T00:00:00"/>
    <x v="0"/>
    <x v="2"/>
    <s v="Not Available"/>
    <n v="67"/>
    <n v="8"/>
    <n v="75"/>
    <n v="48"/>
    <n v="64"/>
    <n v="8"/>
    <n v="517"/>
    <n v="1957"/>
    <n v="0.10666666666666667"/>
    <n v="0.10666666666666667"/>
    <n v="67"/>
    <n v="34639"/>
    <s v="Dead Stock"/>
    <s v="Aug"/>
    <n v="15656"/>
    <n v="71"/>
    <n v="0.11267605633802817"/>
  </r>
  <r>
    <s v="ORD106"/>
    <d v="2024-11-08T00:00:00"/>
    <x v="0"/>
    <x v="1"/>
    <s v="Fashion Hub Ltd"/>
    <n v="28"/>
    <n v="111"/>
    <n v="139"/>
    <n v="185"/>
    <n v="45"/>
    <n v="8"/>
    <n v="272"/>
    <n v="907"/>
    <n v="0.79856115107913672"/>
    <n v="0.79856115107913672"/>
    <n v="28"/>
    <n v="7616"/>
    <s v="High"/>
    <s v="Nov"/>
    <n v="100677"/>
    <n v="83.5"/>
    <n v="1.3293413173652695"/>
  </r>
  <r>
    <s v="ORD107"/>
    <d v="2024-12-18T00:00:00"/>
    <x v="2"/>
    <x v="0"/>
    <s v="Clothify"/>
    <n v="47"/>
    <n v="51"/>
    <n v="98"/>
    <n v="108"/>
    <n v="41"/>
    <n v="3"/>
    <n v="1905"/>
    <n v="2527"/>
    <n v="0.52040816326530615"/>
    <n v="0.52040816326530615"/>
    <n v="47"/>
    <n v="89535"/>
    <s v="Avg"/>
    <s v="Dec"/>
    <n v="128877"/>
    <n v="72.5"/>
    <n v="0.70344827586206893"/>
  </r>
  <r>
    <s v="ORD108"/>
    <d v="2024-12-17T00:00:00"/>
    <x v="1"/>
    <x v="1"/>
    <s v="Urban Wear Co"/>
    <n v="25"/>
    <n v="97"/>
    <n v="122"/>
    <n v="134"/>
    <n v="55"/>
    <n v="4"/>
    <n v="1891"/>
    <n v="3233"/>
    <n v="0.79508196721311475"/>
    <n v="0.79508196721311475"/>
    <n v="25"/>
    <n v="47275"/>
    <s v="High"/>
    <s v="Dec"/>
    <n v="313601"/>
    <n v="73.5"/>
    <n v="1.3197278911564625"/>
  </r>
  <r>
    <s v="ORD109"/>
    <d v="2024-12-22T00:00:00"/>
    <x v="1"/>
    <x v="1"/>
    <s v="Clothify"/>
    <n v="37"/>
    <n v="39"/>
    <n v="76"/>
    <n v="53"/>
    <n v="70"/>
    <n v="3"/>
    <n v="625"/>
    <n v="1373"/>
    <n v="0.51315789473684215"/>
    <n v="0.51315789473684215"/>
    <n v="37"/>
    <n v="23125"/>
    <s v="Avg"/>
    <s v="Dec"/>
    <n v="53547"/>
    <n v="56.5"/>
    <n v="0.69026548672566368"/>
  </r>
  <r>
    <s v="ORD110"/>
    <d v="2024-07-16T00:00:00"/>
    <x v="0"/>
    <x v="1"/>
    <s v="StyleStreet"/>
    <n v="35"/>
    <n v="27"/>
    <n v="62"/>
    <n v="118"/>
    <n v="77"/>
    <n v="13"/>
    <n v="1896"/>
    <n v="2237"/>
    <n v="0.43548387096774194"/>
    <n v="0.43548387096774194"/>
    <n v="35"/>
    <n v="66360"/>
    <s v="Avg"/>
    <s v="Jul"/>
    <n v="60399"/>
    <n v="48.5"/>
    <n v="0.55670103092783507"/>
  </r>
  <r>
    <s v="ORD111"/>
    <d v="2024-08-03T00:00:00"/>
    <x v="3"/>
    <x v="0"/>
    <s v="StyleStreet"/>
    <n v="23"/>
    <n v="69"/>
    <n v="92"/>
    <n v="185"/>
    <n v="38"/>
    <n v="9"/>
    <n v="240"/>
    <n v="522"/>
    <n v="0.75"/>
    <n v="0.75"/>
    <n v="23"/>
    <n v="5520"/>
    <s v="High"/>
    <s v="Aug"/>
    <n v="36018"/>
    <n v="57.5"/>
    <n v="1.2"/>
  </r>
  <r>
    <s v="ORD112"/>
    <d v="2024-11-03T00:00:00"/>
    <x v="2"/>
    <x v="1"/>
    <s v="Clothify"/>
    <n v="20"/>
    <n v="88"/>
    <n v="108"/>
    <n v="166"/>
    <n v="68"/>
    <n v="3"/>
    <n v="1207"/>
    <n v="1635"/>
    <n v="0.81481481481481477"/>
    <n v="0.81481481481481477"/>
    <n v="20"/>
    <n v="24140"/>
    <s v="High"/>
    <s v="Nov"/>
    <n v="143880"/>
    <n v="64"/>
    <n v="1.375"/>
  </r>
  <r>
    <s v="ORD113"/>
    <d v="2024-10-19T00:00:00"/>
    <x v="2"/>
    <x v="0"/>
    <s v="Fashion Hub Ltd"/>
    <n v="131"/>
    <n v="98"/>
    <n v="229"/>
    <n v="27"/>
    <n v="75"/>
    <n v="12"/>
    <n v="1800"/>
    <n v="2278"/>
    <n v="0.42794759825327511"/>
    <n v="0.42794759825327511"/>
    <n v="131"/>
    <n v="235800"/>
    <s v="Avg"/>
    <s v="Oct"/>
    <n v="223244"/>
    <n v="180"/>
    <n v="0.5444444444444444"/>
  </r>
  <r>
    <s v="ORD114"/>
    <d v="2024-04-19T00:00:00"/>
    <x v="6"/>
    <x v="0"/>
    <s v="Fashion Hub Ltd"/>
    <n v="87"/>
    <n v="49"/>
    <n v="136"/>
    <n v="19"/>
    <n v="75"/>
    <n v="11"/>
    <n v="1067"/>
    <n v="1408"/>
    <n v="0.36029411764705882"/>
    <n v="0.36029411764705882"/>
    <n v="87"/>
    <n v="92829"/>
    <s v="Avg"/>
    <s v="Apr"/>
    <n v="68992"/>
    <n v="111.5"/>
    <n v="0.43946188340807174"/>
  </r>
  <r>
    <s v="ORD115"/>
    <d v="2024-09-13T00:00:00"/>
    <x v="3"/>
    <x v="0"/>
    <s v="Clothify"/>
    <n v="96"/>
    <n v="60"/>
    <n v="156"/>
    <n v="164"/>
    <n v="44"/>
    <n v="12"/>
    <n v="1279"/>
    <n v="2452"/>
    <n v="0.38461538461538464"/>
    <n v="0.38461538461538464"/>
    <n v="96"/>
    <n v="122784"/>
    <s v="Avg"/>
    <s v="Sep"/>
    <n v="147120"/>
    <n v="126"/>
    <n v="0.47619047619047616"/>
  </r>
  <r>
    <s v="ORD116"/>
    <d v="2024-04-20T00:00:00"/>
    <x v="4"/>
    <x v="2"/>
    <s v="Not Available"/>
    <n v="140"/>
    <n v="93"/>
    <n v="233"/>
    <n v="270"/>
    <n v="30"/>
    <n v="11"/>
    <n v="1853"/>
    <n v="3252"/>
    <n v="0.39914163090128757"/>
    <n v="0.39914163090128757"/>
    <n v="140"/>
    <n v="259420"/>
    <s v="Avg"/>
    <s v="Apr"/>
    <n v="302436"/>
    <n v="186.5"/>
    <n v="0.49865951742627346"/>
  </r>
  <r>
    <s v="ORD117"/>
    <d v="2024-05-04T00:00:00"/>
    <x v="4"/>
    <x v="1"/>
    <s v="Urban Wear Co"/>
    <n v="28"/>
    <n v="92"/>
    <n v="120"/>
    <n v="131"/>
    <n v="39"/>
    <n v="9"/>
    <n v="1193"/>
    <n v="1349"/>
    <n v="0.76666666666666672"/>
    <n v="0.76666666666666672"/>
    <n v="28"/>
    <n v="33404"/>
    <s v="High"/>
    <s v="May"/>
    <n v="124108"/>
    <n v="74"/>
    <n v="1.2432432432432432"/>
  </r>
  <r>
    <s v="ORD118"/>
    <d v="2024-10-19T00:00:00"/>
    <x v="1"/>
    <x v="2"/>
    <s v="Clothify"/>
    <n v="33"/>
    <n v="19"/>
    <n v="52"/>
    <n v="109"/>
    <n v="50"/>
    <n v="2"/>
    <n v="1695"/>
    <n v="2874"/>
    <n v="0.36538461538461536"/>
    <n v="0.36538461538461536"/>
    <n v="33"/>
    <n v="55935"/>
    <s v="Avg"/>
    <s v="Oct"/>
    <n v="54606"/>
    <n v="42.5"/>
    <n v="0.44705882352941179"/>
  </r>
  <r>
    <s v="ORD119"/>
    <d v="2024-07-20T00:00:00"/>
    <x v="2"/>
    <x v="1"/>
    <s v="StyleStreet"/>
    <n v="126"/>
    <n v="79"/>
    <n v="205"/>
    <n v="11"/>
    <n v="36"/>
    <n v="3"/>
    <n v="527"/>
    <n v="1846"/>
    <n v="0.38536585365853659"/>
    <n v="0.38536585365853659"/>
    <n v="126"/>
    <n v="66402"/>
    <s v="Avg"/>
    <s v="Jul"/>
    <n v="145834"/>
    <n v="165.5"/>
    <n v="0.4773413897280967"/>
  </r>
  <r>
    <s v="ORD120"/>
    <d v="2024-04-23T00:00:00"/>
    <x v="7"/>
    <x v="1"/>
    <s v="Clothify"/>
    <n v="42"/>
    <n v="46"/>
    <n v="88"/>
    <n v="238"/>
    <n v="43"/>
    <n v="15"/>
    <n v="493"/>
    <n v="1309"/>
    <n v="0.52272727272727271"/>
    <n v="0.52272727272727271"/>
    <n v="42"/>
    <n v="20706"/>
    <s v="Avg"/>
    <s v="Apr"/>
    <n v="60214"/>
    <n v="65"/>
    <n v="0.70769230769230773"/>
  </r>
  <r>
    <s v="ORD121"/>
    <d v="2024-08-05T00:00:00"/>
    <x v="2"/>
    <x v="2"/>
    <s v="Fashion Hub Ltd"/>
    <n v="66"/>
    <n v="89"/>
    <n v="155"/>
    <n v="117"/>
    <n v="43"/>
    <n v="7"/>
    <n v="1580"/>
    <n v="1969"/>
    <n v="0.5741935483870968"/>
    <n v="0.5741935483870968"/>
    <n v="66"/>
    <n v="104280"/>
    <s v="Avg"/>
    <s v="Aug"/>
    <n v="175241"/>
    <n v="110.5"/>
    <n v="0.80542986425339369"/>
  </r>
  <r>
    <s v="ORD122"/>
    <d v="2024-05-27T00:00:00"/>
    <x v="4"/>
    <x v="2"/>
    <s v="Not Available"/>
    <n v="76"/>
    <n v="70"/>
    <n v="146"/>
    <n v="98"/>
    <n v="48"/>
    <n v="12"/>
    <n v="765"/>
    <n v="1661"/>
    <n v="0.47945205479452052"/>
    <n v="0.47945205479452052"/>
    <n v="76"/>
    <n v="58140"/>
    <s v="Avg"/>
    <s v="May"/>
    <n v="116270"/>
    <n v="111"/>
    <n v="0.63063063063063063"/>
  </r>
  <r>
    <s v="ORD123"/>
    <d v="2024-04-15T00:00:00"/>
    <x v="5"/>
    <x v="0"/>
    <s v="StyleStreet"/>
    <s v="Not Available"/>
    <n v="111"/>
    <s v="-"/>
    <n v="69"/>
    <n v="70"/>
    <n v="11"/>
    <n v="232"/>
    <n v="976"/>
    <e v="#VALUE!"/>
    <s v="incomplete"/>
    <s v="Not Available"/>
    <n v="0"/>
    <s v="High"/>
    <s v="Apr"/>
    <n v="108336"/>
    <s v="-"/>
    <s v="-"/>
  </r>
  <r>
    <s v="ORD124"/>
    <d v="2024-03-26T00:00:00"/>
    <x v="3"/>
    <x v="2"/>
    <s v="Clothify"/>
    <n v="16"/>
    <n v="38"/>
    <n v="54"/>
    <n v="96"/>
    <n v="78"/>
    <n v="12"/>
    <n v="1564"/>
    <n v="2283"/>
    <n v="0.70370370370370372"/>
    <n v="0.70370370370370372"/>
    <n v="16"/>
    <n v="25024"/>
    <s v="High"/>
    <s v="Mar"/>
    <n v="86754"/>
    <n v="35"/>
    <n v="1.0857142857142856"/>
  </r>
  <r>
    <s v="ORD125"/>
    <d v="2024-08-22T00:00:00"/>
    <x v="2"/>
    <x v="2"/>
    <s v="Fashion Hub Ltd"/>
    <n v="39"/>
    <n v="50"/>
    <n v="89"/>
    <n v="228"/>
    <n v="73"/>
    <n v="13"/>
    <n v="1727"/>
    <n v="2762"/>
    <n v="0.5617977528089888"/>
    <n v="0.5617977528089888"/>
    <n v="39"/>
    <n v="67353"/>
    <s v="Avg"/>
    <s v="Aug"/>
    <n v="138100"/>
    <n v="64"/>
    <n v="0.78125"/>
  </r>
  <r>
    <s v="ORD126"/>
    <d v="2024-01-28T00:00:00"/>
    <x v="0"/>
    <x v="2"/>
    <s v="Clothify"/>
    <n v="114"/>
    <n v="67"/>
    <n v="181"/>
    <n v="43"/>
    <n v="32"/>
    <n v="13"/>
    <n v="843"/>
    <n v="1460"/>
    <n v="0.37016574585635359"/>
    <n v="0.37016574585635359"/>
    <n v="114"/>
    <n v="96102"/>
    <s v="Avg"/>
    <s v="Jan"/>
    <n v="97820"/>
    <n v="147.5"/>
    <n v="0.45423728813559322"/>
  </r>
  <r>
    <s v="ORD127"/>
    <d v="2024-11-25T00:00:00"/>
    <x v="7"/>
    <x v="2"/>
    <s v="Urban Wear Co"/>
    <n v="36"/>
    <n v="85"/>
    <n v="121"/>
    <n v="226"/>
    <n v="43"/>
    <n v="11"/>
    <n v="1414"/>
    <n v="2174"/>
    <n v="0.7024793388429752"/>
    <n v="0.7024793388429752"/>
    <n v="36"/>
    <n v="50904"/>
    <s v="High"/>
    <s v="Nov"/>
    <n v="184790"/>
    <n v="78.5"/>
    <n v="1.0828025477707006"/>
  </r>
  <r>
    <s v="ORD128"/>
    <d v="2024-05-09T00:00:00"/>
    <x v="6"/>
    <x v="0"/>
    <s v="StyleStreet"/>
    <s v="Not Available"/>
    <n v="15"/>
    <s v="-"/>
    <n v="142"/>
    <n v="33"/>
    <n v="3"/>
    <n v="1423"/>
    <n v="1562"/>
    <e v="#VALUE!"/>
    <s v="incomplete"/>
    <s v="Not Available"/>
    <n v="0"/>
    <s v="High"/>
    <s v="May"/>
    <n v="23430"/>
    <s v="-"/>
    <s v="-"/>
  </r>
  <r>
    <s v="ORD129"/>
    <d v="2024-06-24T00:00:00"/>
    <x v="0"/>
    <x v="1"/>
    <s v="Fashion Hub Ltd"/>
    <n v="14"/>
    <n v="77"/>
    <n v="91"/>
    <n v="106"/>
    <n v="74"/>
    <n v="6"/>
    <n v="420"/>
    <n v="1659"/>
    <n v="0.84615384615384615"/>
    <n v="0.84615384615384615"/>
    <n v="14"/>
    <n v="5880"/>
    <s v="High"/>
    <s v="Jun"/>
    <n v="127743"/>
    <n v="52.5"/>
    <n v="1.4666666666666666"/>
  </r>
  <r>
    <s v="ORD130"/>
    <d v="2024-06-29T00:00:00"/>
    <x v="3"/>
    <x v="1"/>
    <s v="Fashion Hub Ltd"/>
    <n v="77"/>
    <n v="23"/>
    <n v="100"/>
    <n v="125"/>
    <n v="55"/>
    <n v="12"/>
    <n v="945"/>
    <n v="1446"/>
    <n v="0.23"/>
    <n v="0.23"/>
    <n v="77"/>
    <n v="72765"/>
    <s v="Dead Stock"/>
    <s v="Jun"/>
    <n v="33258"/>
    <n v="88.5"/>
    <n v="0.25988700564971751"/>
  </r>
  <r>
    <s v="ORD131"/>
    <d v="2024-03-22T00:00:00"/>
    <x v="7"/>
    <x v="0"/>
    <s v="Fashion Hub Ltd"/>
    <n v="88"/>
    <n v="67"/>
    <n v="155"/>
    <n v="197"/>
    <n v="62"/>
    <n v="2"/>
    <n v="255"/>
    <n v="1224"/>
    <n v="0.43225806451612903"/>
    <n v="0.43225806451612903"/>
    <n v="88"/>
    <n v="22440"/>
    <s v="Avg"/>
    <s v="Mar"/>
    <n v="82008"/>
    <n v="121.5"/>
    <n v="0.55144032921810704"/>
  </r>
  <r>
    <s v="ORD132"/>
    <d v="2024-06-13T00:00:00"/>
    <x v="5"/>
    <x v="0"/>
    <s v="StyleStreet"/>
    <n v="23"/>
    <n v="86"/>
    <n v="109"/>
    <n v="167"/>
    <n v="39"/>
    <n v="3"/>
    <n v="1248"/>
    <n v="2332"/>
    <n v="0.78899082568807344"/>
    <n v="0.78899082568807344"/>
    <n v="23"/>
    <n v="28704"/>
    <s v="High"/>
    <s v="Jun"/>
    <n v="200552"/>
    <n v="66"/>
    <n v="1.303030303030303"/>
  </r>
  <r>
    <s v="ORD133"/>
    <d v="2024-04-21T00:00:00"/>
    <x v="1"/>
    <x v="2"/>
    <s v="Clothify"/>
    <s v="Not Available"/>
    <n v="54"/>
    <s v="-"/>
    <n v="273"/>
    <n v="32"/>
    <n v="4"/>
    <n v="1728"/>
    <n v="1885"/>
    <e v="#VALUE!"/>
    <s v="incomplete"/>
    <s v="Not Available"/>
    <n v="0"/>
    <s v="High"/>
    <s v="Apr"/>
    <n v="101790"/>
    <s v="-"/>
    <s v="-"/>
  </r>
  <r>
    <s v="ORD134"/>
    <d v="2024-02-03T00:00:00"/>
    <x v="2"/>
    <x v="1"/>
    <s v="StyleStreet"/>
    <n v="73"/>
    <n v="32"/>
    <n v="105"/>
    <n v="34"/>
    <n v="77"/>
    <n v="14"/>
    <n v="1334"/>
    <n v="2830"/>
    <n v="0.30476190476190479"/>
    <n v="0.30476190476190479"/>
    <n v="73"/>
    <n v="97382"/>
    <s v="Avg"/>
    <s v="Feb"/>
    <n v="90560"/>
    <n v="89"/>
    <n v="0.3595505617977528"/>
  </r>
  <r>
    <s v="ORD135"/>
    <d v="2024-01-16T00:00:00"/>
    <x v="5"/>
    <x v="2"/>
    <s v="Urban Wear Co"/>
    <s v="Not Available"/>
    <n v="77"/>
    <s v="-"/>
    <n v="43"/>
    <n v="79"/>
    <n v="5"/>
    <n v="1605"/>
    <n v="2087"/>
    <e v="#VALUE!"/>
    <s v="incomplete"/>
    <s v="Not Available"/>
    <n v="0"/>
    <s v="High"/>
    <s v="Jan"/>
    <n v="160699"/>
    <s v="-"/>
    <s v="-"/>
  </r>
  <r>
    <s v="ORD136"/>
    <d v="2024-10-04T00:00:00"/>
    <x v="5"/>
    <x v="2"/>
    <s v="StyleStreet"/>
    <n v="137"/>
    <n v="22"/>
    <n v="159"/>
    <n v="23"/>
    <n v="61"/>
    <n v="2"/>
    <n v="1822"/>
    <n v="3022"/>
    <n v="0.13836477987421383"/>
    <n v="0.13836477987421383"/>
    <n v="137"/>
    <n v="249614"/>
    <s v="Dead Stock"/>
    <s v="Oct"/>
    <n v="66484"/>
    <n v="148"/>
    <n v="0.14864864864864866"/>
  </r>
  <r>
    <s v="ORD137"/>
    <d v="2024-04-30T00:00:00"/>
    <x v="6"/>
    <x v="0"/>
    <s v="Clothify"/>
    <n v="71"/>
    <n v="59"/>
    <n v="130"/>
    <n v="180"/>
    <n v="55"/>
    <n v="4"/>
    <n v="409"/>
    <n v="878"/>
    <n v="0.45384615384615384"/>
    <n v="0.45384615384615384"/>
    <n v="71"/>
    <n v="29039"/>
    <s v="Avg"/>
    <s v="Apr"/>
    <n v="51802"/>
    <n v="100.5"/>
    <n v="0.58706467661691542"/>
  </r>
  <r>
    <s v="ORD138"/>
    <d v="2024-06-11T00:00:00"/>
    <x v="5"/>
    <x v="2"/>
    <s v="Fashion Hub Ltd"/>
    <n v="48"/>
    <n v="38"/>
    <n v="86"/>
    <n v="160"/>
    <n v="34"/>
    <n v="14"/>
    <n v="676"/>
    <n v="2023"/>
    <n v="0.44186046511627908"/>
    <n v="0.44186046511627908"/>
    <n v="48"/>
    <n v="32448"/>
    <s v="Avg"/>
    <s v="Jun"/>
    <n v="76874"/>
    <n v="67"/>
    <n v="0.56716417910447758"/>
  </r>
  <r>
    <s v="ORD139"/>
    <d v="2024-03-05T00:00:00"/>
    <x v="2"/>
    <x v="1"/>
    <s v="Fashion Hub Ltd"/>
    <n v="84"/>
    <n v="76"/>
    <n v="160"/>
    <n v="224"/>
    <n v="75"/>
    <n v="11"/>
    <n v="529"/>
    <n v="1606"/>
    <n v="0.47499999999999998"/>
    <n v="0.47499999999999998"/>
    <n v="84"/>
    <n v="44436"/>
    <s v="Avg"/>
    <s v="Mar"/>
    <n v="122056"/>
    <n v="122"/>
    <n v="0.62295081967213117"/>
  </r>
  <r>
    <s v="ORD140"/>
    <d v="2024-11-03T00:00:00"/>
    <x v="3"/>
    <x v="2"/>
    <s v="StyleStreet"/>
    <n v="47"/>
    <n v="84"/>
    <n v="131"/>
    <n v="262"/>
    <n v="30"/>
    <n v="13"/>
    <n v="1777"/>
    <n v="3007"/>
    <n v="0.64122137404580148"/>
    <n v="0.64122137404580148"/>
    <n v="47"/>
    <n v="83519"/>
    <s v="High"/>
    <s v="Nov"/>
    <n v="252588"/>
    <n v="89"/>
    <n v="0.9438202247191011"/>
  </r>
  <r>
    <s v="ORD141"/>
    <d v="2024-02-13T00:00:00"/>
    <x v="6"/>
    <x v="0"/>
    <s v="Clothify"/>
    <n v="136"/>
    <n v="71"/>
    <n v="207"/>
    <n v="130"/>
    <n v="76"/>
    <n v="15"/>
    <n v="1168"/>
    <n v="1733"/>
    <n v="0.34299516908212563"/>
    <n v="0.34299516908212563"/>
    <n v="136"/>
    <n v="158848"/>
    <s v="Avg"/>
    <s v="Feb"/>
    <n v="123043"/>
    <n v="171.5"/>
    <n v="0.4139941690962099"/>
  </r>
  <r>
    <s v="ORD142"/>
    <d v="2024-12-20T00:00:00"/>
    <x v="1"/>
    <x v="2"/>
    <s v="Fashion Hub Ltd"/>
    <n v="42"/>
    <n v="47"/>
    <n v="89"/>
    <n v="154"/>
    <n v="75"/>
    <n v="3"/>
    <n v="1875"/>
    <n v="2179"/>
    <n v="0.5280898876404494"/>
    <n v="0.5280898876404494"/>
    <n v="42"/>
    <n v="78750"/>
    <s v="Avg"/>
    <s v="Dec"/>
    <n v="102413"/>
    <n v="65.5"/>
    <n v="0.71755725190839692"/>
  </r>
  <r>
    <s v="ORD143"/>
    <d v="2024-06-11T00:00:00"/>
    <x v="3"/>
    <x v="0"/>
    <s v="StyleStreet"/>
    <n v="27"/>
    <n v="44"/>
    <n v="71"/>
    <n v="233"/>
    <n v="56"/>
    <n v="4"/>
    <n v="1734"/>
    <n v="2468"/>
    <n v="0.61971830985915488"/>
    <n v="0.61971830985915488"/>
    <n v="27"/>
    <n v="46818"/>
    <s v="High"/>
    <s v="Jun"/>
    <n v="108592"/>
    <n v="49"/>
    <n v="0.89795918367346939"/>
  </r>
  <r>
    <s v="ORD144"/>
    <d v="2024-03-11T00:00:00"/>
    <x v="4"/>
    <x v="0"/>
    <s v="Urban Wear Co"/>
    <n v="74"/>
    <n v="29"/>
    <n v="103"/>
    <n v="151"/>
    <n v="79"/>
    <n v="11"/>
    <n v="1707"/>
    <n v="3043"/>
    <n v="0.28155339805825241"/>
    <n v="0.28155339805825241"/>
    <n v="74"/>
    <n v="126318"/>
    <s v="Dead Stock"/>
    <s v="Mar"/>
    <n v="88247"/>
    <n v="88.5"/>
    <n v="0.32768361581920902"/>
  </r>
  <r>
    <s v="ORD145"/>
    <d v="2024-07-12T00:00:00"/>
    <x v="3"/>
    <x v="1"/>
    <s v="Fashion Hub Ltd"/>
    <n v="30"/>
    <n v="108"/>
    <n v="138"/>
    <n v="199"/>
    <n v="52"/>
    <n v="7"/>
    <n v="908"/>
    <n v="1596"/>
    <n v="0.78260869565217395"/>
    <n v="0.78260869565217395"/>
    <n v="30"/>
    <n v="27240"/>
    <s v="High"/>
    <s v="Jul"/>
    <n v="172368"/>
    <n v="84"/>
    <n v="1.2857142857142858"/>
  </r>
  <r>
    <s v="ORD146"/>
    <d v="2024-05-09T00:00:00"/>
    <x v="4"/>
    <x v="2"/>
    <s v="Urban Wear Co"/>
    <n v="39"/>
    <n v="69"/>
    <n v="108"/>
    <n v="6"/>
    <n v="65"/>
    <n v="3"/>
    <n v="859"/>
    <n v="2351"/>
    <n v="0.63888888888888884"/>
    <n v="0.63888888888888884"/>
    <n v="39"/>
    <n v="33501"/>
    <s v="High"/>
    <s v="May"/>
    <n v="162219"/>
    <n v="73.5"/>
    <n v="0.93877551020408168"/>
  </r>
  <r>
    <s v="ORD147"/>
    <d v="2024-06-19T00:00:00"/>
    <x v="0"/>
    <x v="1"/>
    <s v="Urban Wear Co"/>
    <n v="67"/>
    <n v="53"/>
    <n v="120"/>
    <n v="211"/>
    <n v="36"/>
    <n v="9"/>
    <n v="572"/>
    <n v="793"/>
    <n v="0.44166666666666665"/>
    <n v="0.44166666666666665"/>
    <n v="67"/>
    <n v="38324"/>
    <s v="Avg"/>
    <s v="Jun"/>
    <n v="42029"/>
    <n v="93.5"/>
    <n v="0.5668449197860963"/>
  </r>
  <r>
    <s v="ORD148"/>
    <d v="2024-09-28T00:00:00"/>
    <x v="3"/>
    <x v="0"/>
    <s v="Urban Wear Co"/>
    <n v="9"/>
    <n v="10"/>
    <n v="19"/>
    <n v="141"/>
    <n v="37"/>
    <n v="7"/>
    <n v="1196"/>
    <n v="1797"/>
    <n v="0.52631578947368418"/>
    <n v="0.52631578947368418"/>
    <n v="9"/>
    <n v="10764"/>
    <s v="Avg"/>
    <s v="Sep"/>
    <n v="17970"/>
    <n v="14"/>
    <n v="0.7142857142857143"/>
  </r>
  <r>
    <s v="ORD149"/>
    <d v="2024-09-20T00:00:00"/>
    <x v="0"/>
    <x v="0"/>
    <s v="Fashion Hub Ltd"/>
    <n v="26"/>
    <n v="23"/>
    <n v="49"/>
    <n v="146"/>
    <n v="47"/>
    <n v="11"/>
    <n v="1144"/>
    <n v="2149"/>
    <n v="0.46938775510204084"/>
    <n v="0.46938775510204084"/>
    <n v="26"/>
    <n v="29744"/>
    <s v="Avg"/>
    <s v="Sep"/>
    <n v="49427"/>
    <n v="37.5"/>
    <n v="0.61333333333333329"/>
  </r>
  <r>
    <s v="ORD150"/>
    <d v="2024-11-15T00:00:00"/>
    <x v="4"/>
    <x v="0"/>
    <s v="Urban Wear Co"/>
    <n v="49"/>
    <n v="36"/>
    <n v="85"/>
    <n v="223"/>
    <n v="65"/>
    <n v="2"/>
    <n v="1261"/>
    <n v="1558"/>
    <n v="0.42352941176470588"/>
    <n v="0.42352941176470588"/>
    <n v="49"/>
    <n v="61789"/>
    <s v="Avg"/>
    <s v="Nov"/>
    <n v="56088"/>
    <n v="67"/>
    <n v="0.53731343283582089"/>
  </r>
  <r>
    <s v="ORD151"/>
    <d v="2024-02-21T00:00:00"/>
    <x v="7"/>
    <x v="0"/>
    <s v="Fashion Hub Ltd"/>
    <n v="26"/>
    <n v="33"/>
    <n v="59"/>
    <n v="261"/>
    <n v="70"/>
    <n v="13"/>
    <n v="1799"/>
    <n v="2856"/>
    <n v="0.55932203389830504"/>
    <n v="0.55932203389830504"/>
    <n v="26"/>
    <n v="46774"/>
    <s v="Avg"/>
    <s v="Feb"/>
    <n v="94248"/>
    <n v="42.5"/>
    <n v="0.77647058823529413"/>
  </r>
  <r>
    <s v="ORD152"/>
    <d v="2024-03-01T00:00:00"/>
    <x v="0"/>
    <x v="1"/>
    <s v="StyleStreet"/>
    <n v="42"/>
    <n v="78"/>
    <n v="120"/>
    <n v="4"/>
    <n v="33"/>
    <n v="10"/>
    <n v="1901"/>
    <n v="2348"/>
    <n v="0.65"/>
    <n v="0.65"/>
    <n v="42"/>
    <n v="79842"/>
    <s v="High"/>
    <s v="Mar"/>
    <n v="183144"/>
    <n v="81"/>
    <n v="0.96296296296296291"/>
  </r>
  <r>
    <s v="ORD153"/>
    <d v="2024-05-17T00:00:00"/>
    <x v="5"/>
    <x v="0"/>
    <s v="Fashion Hub Ltd"/>
    <n v="80"/>
    <n v="43"/>
    <n v="123"/>
    <n v="124"/>
    <n v="38"/>
    <n v="13"/>
    <n v="1537"/>
    <n v="2089"/>
    <n v="0.34959349593495936"/>
    <n v="0.34959349593495936"/>
    <n v="80"/>
    <n v="122960"/>
    <s v="Avg"/>
    <s v="May"/>
    <n v="89827"/>
    <n v="101.5"/>
    <n v="0.42364532019704432"/>
  </r>
  <r>
    <s v="ORD154"/>
    <d v="2024-04-03T00:00:00"/>
    <x v="1"/>
    <x v="0"/>
    <s v="Fashion Hub Ltd"/>
    <n v="34"/>
    <n v="44"/>
    <n v="78"/>
    <n v="12"/>
    <n v="43"/>
    <n v="12"/>
    <n v="1314"/>
    <n v="1619"/>
    <n v="0.5641025641025641"/>
    <n v="0.5641025641025641"/>
    <n v="34"/>
    <n v="44676"/>
    <s v="Avg"/>
    <s v="Apr"/>
    <n v="71236"/>
    <n v="56"/>
    <n v="0.7857142857142857"/>
  </r>
  <r>
    <s v="ORD155"/>
    <d v="2024-10-15T00:00:00"/>
    <x v="5"/>
    <x v="1"/>
    <s v="Fashion Hub Ltd"/>
    <n v="141"/>
    <n v="6"/>
    <n v="147"/>
    <n v="195"/>
    <n v="47"/>
    <n v="5"/>
    <n v="1277"/>
    <n v="2383"/>
    <n v="4.0816326530612242E-2"/>
    <n v="4.0816326530612242E-2"/>
    <n v="141"/>
    <n v="180057"/>
    <s v="Dead Stock"/>
    <s v="Oct"/>
    <n v="14298"/>
    <n v="144"/>
    <n v="4.1666666666666664E-2"/>
  </r>
  <r>
    <s v="ORD156"/>
    <d v="2024-02-27T00:00:00"/>
    <x v="3"/>
    <x v="2"/>
    <s v="Urban Wear Co"/>
    <n v="36"/>
    <n v="114"/>
    <n v="150"/>
    <n v="78"/>
    <n v="71"/>
    <n v="15"/>
    <n v="812"/>
    <n v="1466"/>
    <n v="0.76"/>
    <n v="0.76"/>
    <n v="36"/>
    <n v="29232"/>
    <s v="High"/>
    <s v="Feb"/>
    <n v="167124"/>
    <n v="93"/>
    <n v="1.2258064516129032"/>
  </r>
  <r>
    <s v="ORD157"/>
    <d v="2024-06-14T00:00:00"/>
    <x v="0"/>
    <x v="0"/>
    <s v="StyleStreet"/>
    <n v="89"/>
    <n v="120"/>
    <n v="209"/>
    <n v="28"/>
    <n v="78"/>
    <n v="7"/>
    <n v="480"/>
    <n v="926"/>
    <n v="0.57416267942583732"/>
    <n v="0.57416267942583732"/>
    <n v="89"/>
    <n v="42720"/>
    <s v="Avg"/>
    <s v="Jun"/>
    <n v="111120"/>
    <n v="149"/>
    <n v="0.80536912751677847"/>
  </r>
  <r>
    <s v="ORD158"/>
    <d v="2024-11-22T00:00:00"/>
    <x v="4"/>
    <x v="2"/>
    <s v="Not Available"/>
    <n v="67"/>
    <n v="58"/>
    <n v="125"/>
    <n v="171"/>
    <n v="40"/>
    <n v="14"/>
    <n v="1109"/>
    <n v="1294"/>
    <n v="0.46400000000000002"/>
    <n v="0.46400000000000002"/>
    <n v="67"/>
    <n v="74303"/>
    <s v="Avg"/>
    <s v="Nov"/>
    <n v="75052"/>
    <n v="96"/>
    <n v="0.60416666666666663"/>
  </r>
  <r>
    <s v="ORD159"/>
    <d v="2024-05-09T00:00:00"/>
    <x v="6"/>
    <x v="0"/>
    <s v="Urban Wear Co"/>
    <n v="123"/>
    <n v="55"/>
    <n v="178"/>
    <n v="299"/>
    <n v="76"/>
    <n v="13"/>
    <n v="576"/>
    <n v="840"/>
    <n v="0.3089887640449438"/>
    <n v="0.3089887640449438"/>
    <n v="123"/>
    <n v="70848"/>
    <s v="Avg"/>
    <s v="May"/>
    <n v="46200"/>
    <n v="150.5"/>
    <n v="0.36544850498338871"/>
  </r>
  <r>
    <s v="ORD160"/>
    <d v="2024-10-27T00:00:00"/>
    <x v="3"/>
    <x v="1"/>
    <s v="Urban Wear Co"/>
    <n v="18"/>
    <n v="95"/>
    <n v="113"/>
    <n v="197"/>
    <n v="61"/>
    <n v="9"/>
    <n v="228"/>
    <n v="1395"/>
    <n v="0.84070796460176989"/>
    <n v="0.84070796460176989"/>
    <n v="18"/>
    <n v="4104"/>
    <s v="High"/>
    <s v="Oct"/>
    <n v="132525"/>
    <n v="65.5"/>
    <n v="1.4503816793893129"/>
  </r>
  <r>
    <s v="ORD161"/>
    <d v="2024-10-17T00:00:00"/>
    <x v="0"/>
    <x v="2"/>
    <s v="Clothify"/>
    <n v="89"/>
    <n v="100"/>
    <n v="189"/>
    <n v="14"/>
    <n v="72"/>
    <n v="13"/>
    <n v="489"/>
    <n v="1029"/>
    <n v="0.52910052910052907"/>
    <n v="0.52910052910052907"/>
    <n v="89"/>
    <n v="43521"/>
    <s v="Avg"/>
    <s v="Oct"/>
    <n v="102900"/>
    <n v="139"/>
    <n v="0.71942446043165464"/>
  </r>
  <r>
    <s v="ORD162"/>
    <d v="2024-05-31T00:00:00"/>
    <x v="0"/>
    <x v="2"/>
    <s v="Fashion Hub Ltd"/>
    <n v="56"/>
    <n v="30"/>
    <n v="86"/>
    <n v="182"/>
    <n v="77"/>
    <n v="13"/>
    <n v="413"/>
    <n v="1888"/>
    <n v="0.34883720930232559"/>
    <n v="0.34883720930232559"/>
    <n v="56"/>
    <n v="23128"/>
    <s v="Avg"/>
    <s v="May"/>
    <n v="56640"/>
    <n v="71"/>
    <n v="0.42253521126760563"/>
  </r>
  <r>
    <s v="ORD163"/>
    <d v="2024-11-21T00:00:00"/>
    <x v="5"/>
    <x v="1"/>
    <s v="Clothify"/>
    <n v="114"/>
    <n v="61"/>
    <n v="175"/>
    <n v="127"/>
    <n v="44"/>
    <n v="7"/>
    <n v="878"/>
    <n v="1083"/>
    <n v="0.34857142857142859"/>
    <n v="0.34857142857142859"/>
    <n v="114"/>
    <n v="100092"/>
    <s v="Avg"/>
    <s v="Nov"/>
    <n v="66063"/>
    <n v="144.5"/>
    <n v="0.42214532871972316"/>
  </r>
  <r>
    <s v="ORD164"/>
    <d v="2024-10-01T00:00:00"/>
    <x v="1"/>
    <x v="2"/>
    <s v="Clothify"/>
    <n v="36"/>
    <n v="97"/>
    <n v="133"/>
    <n v="84"/>
    <n v="59"/>
    <n v="2"/>
    <n v="698"/>
    <n v="1944"/>
    <n v="0.72932330827067671"/>
    <n v="0.72932330827067671"/>
    <n v="36"/>
    <n v="25128"/>
    <s v="High"/>
    <s v="Oct"/>
    <n v="188568"/>
    <n v="84.5"/>
    <n v="1.1479289940828403"/>
  </r>
  <r>
    <s v="ORD165"/>
    <d v="2024-07-04T00:00:00"/>
    <x v="7"/>
    <x v="1"/>
    <s v="Clothify"/>
    <n v="53"/>
    <n v="57"/>
    <n v="110"/>
    <n v="108"/>
    <n v="50"/>
    <n v="2"/>
    <n v="286"/>
    <n v="779"/>
    <n v="0.51818181818181819"/>
    <n v="0.51818181818181819"/>
    <n v="53"/>
    <n v="15158"/>
    <s v="Avg"/>
    <s v="Jul"/>
    <n v="44403"/>
    <n v="81.5"/>
    <n v="0.69938650306748462"/>
  </r>
  <r>
    <s v="ORD166"/>
    <d v="2024-03-14T00:00:00"/>
    <x v="6"/>
    <x v="1"/>
    <s v="Clothify"/>
    <s v="Not Available"/>
    <n v="13"/>
    <s v="-"/>
    <n v="77"/>
    <n v="78"/>
    <n v="2"/>
    <n v="1870"/>
    <n v="2019"/>
    <e v="#VALUE!"/>
    <s v="incomplete"/>
    <s v="Not Available"/>
    <n v="0"/>
    <s v="High"/>
    <s v="Mar"/>
    <n v="26247"/>
    <s v="-"/>
    <s v="-"/>
  </r>
  <r>
    <s v="ORD167"/>
    <d v="2024-01-09T00:00:00"/>
    <x v="3"/>
    <x v="1"/>
    <s v="Clothify"/>
    <n v="21"/>
    <n v="48"/>
    <n v="69"/>
    <n v="263"/>
    <n v="79"/>
    <n v="15"/>
    <n v="1803"/>
    <n v="2558"/>
    <n v="0.69565217391304346"/>
    <n v="0.69565217391304346"/>
    <n v="21"/>
    <n v="37863"/>
    <s v="High"/>
    <s v="Jan"/>
    <n v="122784"/>
    <n v="45"/>
    <n v="1.0666666666666667"/>
  </r>
  <r>
    <s v="ORD168"/>
    <d v="2024-02-20T00:00:00"/>
    <x v="2"/>
    <x v="1"/>
    <s v="Clothify"/>
    <n v="126"/>
    <n v="114"/>
    <n v="240"/>
    <n v="275"/>
    <n v="58"/>
    <n v="3"/>
    <n v="1545"/>
    <n v="2047"/>
    <n v="0.47499999999999998"/>
    <n v="0.47499999999999998"/>
    <n v="126"/>
    <n v="194670"/>
    <s v="Avg"/>
    <s v="Feb"/>
    <n v="233358"/>
    <n v="183"/>
    <n v="0.62295081967213117"/>
  </r>
  <r>
    <s v="ORD169"/>
    <d v="2024-11-16T00:00:00"/>
    <x v="0"/>
    <x v="0"/>
    <s v="Urban Wear Co"/>
    <n v="51"/>
    <n v="74"/>
    <n v="125"/>
    <n v="5"/>
    <n v="70"/>
    <n v="7"/>
    <n v="228"/>
    <n v="1383"/>
    <n v="0.59199999999999997"/>
    <n v="0.59199999999999997"/>
    <n v="51"/>
    <n v="11628"/>
    <s v="Avg"/>
    <s v="Nov"/>
    <n v="102342"/>
    <n v="88"/>
    <n v="0.84090909090909094"/>
  </r>
  <r>
    <s v="ORD170"/>
    <d v="2024-07-07T00:00:00"/>
    <x v="1"/>
    <x v="0"/>
    <s v="Fashion Hub Ltd"/>
    <n v="110"/>
    <n v="25"/>
    <n v="135"/>
    <n v="35"/>
    <n v="72"/>
    <n v="5"/>
    <n v="574"/>
    <n v="1546"/>
    <n v="0.18518518518518517"/>
    <n v="0.18518518518518517"/>
    <n v="110"/>
    <n v="63140"/>
    <s v="Dead Stock"/>
    <s v="Jul"/>
    <n v="38650"/>
    <n v="122.5"/>
    <n v="0.20408163265306123"/>
  </r>
  <r>
    <s v="ORD171"/>
    <d v="2024-10-06T00:00:00"/>
    <x v="3"/>
    <x v="1"/>
    <s v="Fashion Hub Ltd"/>
    <n v="146"/>
    <n v="21"/>
    <n v="167"/>
    <n v="119"/>
    <n v="69"/>
    <n v="15"/>
    <n v="706"/>
    <n v="1500"/>
    <n v="0.12574850299401197"/>
    <n v="0.12574850299401197"/>
    <n v="146"/>
    <n v="103076"/>
    <s v="Dead Stock"/>
    <s v="Oct"/>
    <n v="31500"/>
    <n v="156.5"/>
    <n v="0.13418530351437699"/>
  </r>
  <r>
    <s v="ORD172"/>
    <d v="2024-10-05T00:00:00"/>
    <x v="4"/>
    <x v="0"/>
    <s v="Not Available"/>
    <n v="109"/>
    <n v="75"/>
    <n v="184"/>
    <n v="95"/>
    <n v="42"/>
    <n v="9"/>
    <n v="223"/>
    <n v="1142"/>
    <n v="0.40760869565217389"/>
    <n v="0.40760869565217389"/>
    <n v="109"/>
    <n v="24307"/>
    <s v="Avg"/>
    <s v="Oct"/>
    <n v="85650"/>
    <n v="146.5"/>
    <n v="0.51194539249146753"/>
  </r>
  <r>
    <s v="ORD173"/>
    <d v="2024-03-24T00:00:00"/>
    <x v="4"/>
    <x v="2"/>
    <s v="Clothify"/>
    <n v="43"/>
    <n v="11"/>
    <n v="54"/>
    <n v="147"/>
    <n v="70"/>
    <n v="8"/>
    <n v="1884"/>
    <n v="3178"/>
    <n v="0.20370370370370369"/>
    <n v="0.20370370370370369"/>
    <n v="43"/>
    <n v="81012"/>
    <s v="Dead Stock"/>
    <s v="Mar"/>
    <n v="34958"/>
    <n v="48.5"/>
    <n v="0.22680412371134021"/>
  </r>
  <r>
    <s v="ORD174"/>
    <d v="2024-05-06T00:00:00"/>
    <x v="6"/>
    <x v="2"/>
    <s v="StyleStreet"/>
    <s v="Not Available"/>
    <n v="78"/>
    <s v="-"/>
    <n v="271"/>
    <n v="51"/>
    <n v="7"/>
    <n v="363"/>
    <n v="826"/>
    <e v="#VALUE!"/>
    <s v="incomplete"/>
    <s v="Not Available"/>
    <n v="0"/>
    <s v="High"/>
    <s v="May"/>
    <n v="64428"/>
    <s v="-"/>
    <s v="-"/>
  </r>
  <r>
    <s v="ORD175"/>
    <d v="2024-01-19T00:00:00"/>
    <x v="4"/>
    <x v="2"/>
    <s v="Urban Wear Co"/>
    <n v="97"/>
    <n v="87"/>
    <n v="184"/>
    <n v="16"/>
    <n v="70"/>
    <n v="13"/>
    <n v="242"/>
    <n v="1008"/>
    <n v="0.47282608695652173"/>
    <n v="0.47282608695652173"/>
    <n v="97"/>
    <n v="23474"/>
    <s v="Avg"/>
    <s v="Jan"/>
    <n v="87696"/>
    <n v="140.5"/>
    <n v="0.61921708185053381"/>
  </r>
  <r>
    <s v="ORD176"/>
    <d v="2024-06-04T00:00:00"/>
    <x v="3"/>
    <x v="2"/>
    <s v="StyleStreet"/>
    <n v="90"/>
    <n v="49"/>
    <n v="139"/>
    <n v="267"/>
    <n v="44"/>
    <n v="13"/>
    <n v="847"/>
    <n v="2116"/>
    <n v="0.35251798561151076"/>
    <n v="0.35251798561151076"/>
    <n v="90"/>
    <n v="76230"/>
    <s v="Avg"/>
    <s v="Jun"/>
    <n v="103684"/>
    <n v="114.5"/>
    <n v="0.42794759825327511"/>
  </r>
  <r>
    <s v="ORD177"/>
    <d v="2024-10-02T00:00:00"/>
    <x v="0"/>
    <x v="1"/>
    <s v="Urban Wear Co"/>
    <n v="12"/>
    <n v="115"/>
    <n v="127"/>
    <n v="109"/>
    <n v="31"/>
    <n v="11"/>
    <n v="1814"/>
    <n v="2053"/>
    <n v="0.90551181102362199"/>
    <n v="0.90551181102362199"/>
    <n v="12"/>
    <n v="21768"/>
    <s v="High"/>
    <s v="Oct"/>
    <n v="236095"/>
    <n v="69.5"/>
    <n v="1.6546762589928057"/>
  </r>
  <r>
    <s v="ORD178"/>
    <d v="2024-12-03T00:00:00"/>
    <x v="7"/>
    <x v="0"/>
    <s v="Clothify"/>
    <n v="99"/>
    <n v="40"/>
    <n v="139"/>
    <n v="232"/>
    <n v="72"/>
    <n v="8"/>
    <n v="689"/>
    <n v="905"/>
    <n v="0.28776978417266186"/>
    <n v="0.28776978417266186"/>
    <n v="99"/>
    <n v="68211"/>
    <s v="Dead Stock"/>
    <s v="Dec"/>
    <n v="36200"/>
    <n v="119"/>
    <n v="0.33613445378151263"/>
  </r>
  <r>
    <s v="ORD179"/>
    <d v="2024-03-05T00:00:00"/>
    <x v="1"/>
    <x v="0"/>
    <s v="Fashion Hub Ltd"/>
    <n v="103"/>
    <n v="32"/>
    <n v="135"/>
    <n v="175"/>
    <n v="59"/>
    <n v="9"/>
    <n v="1097"/>
    <n v="1482"/>
    <n v="0.23703703703703705"/>
    <n v="0.23703703703703705"/>
    <n v="103"/>
    <n v="112991"/>
    <s v="Dead Stock"/>
    <s v="Mar"/>
    <n v="47424"/>
    <n v="119"/>
    <n v="0.26890756302521007"/>
  </r>
  <r>
    <s v="ORD180"/>
    <d v="2024-09-24T00:00:00"/>
    <x v="0"/>
    <x v="1"/>
    <s v="Urban Wear Co"/>
    <n v="80"/>
    <n v="24"/>
    <n v="104"/>
    <n v="91"/>
    <n v="48"/>
    <n v="8"/>
    <n v="1328"/>
    <n v="2079"/>
    <n v="0.23076923076923078"/>
    <n v="0.23076923076923078"/>
    <n v="80"/>
    <n v="106240"/>
    <s v="Dead Stock"/>
    <s v="Sep"/>
    <n v="49896"/>
    <n v="92"/>
    <n v="0.2608695652173913"/>
  </r>
  <r>
    <s v="ORD181"/>
    <d v="2024-03-16T00:00:00"/>
    <x v="4"/>
    <x v="1"/>
    <s v="Urban Wear Co"/>
    <n v="48"/>
    <n v="101"/>
    <n v="149"/>
    <n v="258"/>
    <n v="66"/>
    <n v="3"/>
    <n v="478"/>
    <n v="1825"/>
    <n v="0.67785234899328861"/>
    <n v="0.67785234899328861"/>
    <n v="48"/>
    <n v="22944"/>
    <s v="High"/>
    <s v="Mar"/>
    <n v="184325"/>
    <n v="98.5"/>
    <n v="1.0253807106598984"/>
  </r>
  <r>
    <s v="ORD182"/>
    <d v="2024-06-04T00:00:00"/>
    <x v="6"/>
    <x v="1"/>
    <s v="Clothify"/>
    <n v="63"/>
    <n v="64"/>
    <n v="127"/>
    <n v="100"/>
    <n v="77"/>
    <n v="3"/>
    <n v="1303"/>
    <n v="1836"/>
    <n v="0.50393700787401574"/>
    <n v="0.50393700787401574"/>
    <n v="63"/>
    <n v="82089"/>
    <s v="Avg"/>
    <s v="Jun"/>
    <n v="117504"/>
    <n v="95"/>
    <n v="0.67368421052631577"/>
  </r>
  <r>
    <s v="ORD183"/>
    <d v="2024-01-13T00:00:00"/>
    <x v="2"/>
    <x v="0"/>
    <s v="Fashion Hub Ltd"/>
    <n v="79"/>
    <n v="4"/>
    <n v="83"/>
    <n v="268"/>
    <n v="39"/>
    <n v="14"/>
    <n v="655"/>
    <n v="1519"/>
    <n v="4.8192771084337352E-2"/>
    <n v="4.8192771084337352E-2"/>
    <n v="79"/>
    <n v="51745"/>
    <s v="Dead Stock"/>
    <s v="Jan"/>
    <n v="6076"/>
    <n v="81"/>
    <n v="4.9382716049382713E-2"/>
  </r>
  <r>
    <s v="ORD184"/>
    <d v="2024-09-15T00:00:00"/>
    <x v="4"/>
    <x v="1"/>
    <s v="StyleStreet"/>
    <n v="82"/>
    <n v="39"/>
    <n v="121"/>
    <n v="286"/>
    <n v="78"/>
    <n v="12"/>
    <n v="989"/>
    <n v="2061"/>
    <n v="0.32231404958677684"/>
    <n v="0.32231404958677684"/>
    <n v="82"/>
    <n v="81098"/>
    <s v="Avg"/>
    <s v="Sep"/>
    <n v="80379"/>
    <n v="101.5"/>
    <n v="0.38423645320197042"/>
  </r>
  <r>
    <s v="ORD185"/>
    <d v="2024-08-09T00:00:00"/>
    <x v="3"/>
    <x v="0"/>
    <s v="StyleStreet"/>
    <s v="Not Available"/>
    <n v="47"/>
    <s v="-"/>
    <n v="89"/>
    <n v="41"/>
    <n v="12"/>
    <n v="1695"/>
    <n v="3017"/>
    <e v="#VALUE!"/>
    <s v="incomplete"/>
    <s v="Not Available"/>
    <n v="0"/>
    <s v="High"/>
    <s v="Aug"/>
    <n v="141799"/>
    <s v="-"/>
    <s v="-"/>
  </r>
  <r>
    <s v="ORD186"/>
    <d v="2024-06-30T00:00:00"/>
    <x v="0"/>
    <x v="0"/>
    <s v="Clothify"/>
    <n v="36"/>
    <n v="23"/>
    <n v="59"/>
    <n v="181"/>
    <n v="45"/>
    <n v="13"/>
    <n v="318"/>
    <n v="1611"/>
    <n v="0.38983050847457629"/>
    <n v="0.38983050847457629"/>
    <n v="36"/>
    <n v="11448"/>
    <s v="Avg"/>
    <s v="Jun"/>
    <n v="37053"/>
    <n v="47.5"/>
    <n v="0.48421052631578948"/>
  </r>
  <r>
    <s v="ORD187"/>
    <d v="2024-09-12T00:00:00"/>
    <x v="6"/>
    <x v="0"/>
    <s v="Fashion Hub Ltd"/>
    <n v="139"/>
    <n v="1"/>
    <n v="140"/>
    <n v="237"/>
    <n v="67"/>
    <n v="11"/>
    <n v="1042"/>
    <n v="1269"/>
    <n v="7.1428571428571426E-3"/>
    <n v="7.1428571428571426E-3"/>
    <n v="139"/>
    <n v="144838"/>
    <s v="Dead Stock"/>
    <s v="Sep"/>
    <n v="1269"/>
    <n v="139.5"/>
    <n v="7.1684587813620072E-3"/>
  </r>
  <r>
    <s v="ORD188"/>
    <d v="2024-02-26T00:00:00"/>
    <x v="4"/>
    <x v="0"/>
    <s v="Urban Wear Co"/>
    <n v="131"/>
    <n v="60"/>
    <n v="191"/>
    <n v="153"/>
    <n v="66"/>
    <n v="5"/>
    <n v="663"/>
    <n v="1303"/>
    <n v="0.31413612565445026"/>
    <n v="0.31413612565445026"/>
    <n v="131"/>
    <n v="86853"/>
    <s v="Avg"/>
    <s v="Feb"/>
    <n v="78180"/>
    <n v="161"/>
    <n v="0.37267080745341613"/>
  </r>
  <r>
    <s v="ORD189"/>
    <d v="2024-02-18T00:00:00"/>
    <x v="6"/>
    <x v="2"/>
    <s v="Fashion Hub Ltd"/>
    <n v="21"/>
    <n v="105"/>
    <n v="126"/>
    <n v="92"/>
    <n v="61"/>
    <n v="2"/>
    <n v="1035"/>
    <n v="2362"/>
    <n v="0.83333333333333337"/>
    <n v="0.83333333333333337"/>
    <n v="21"/>
    <n v="21735"/>
    <s v="High"/>
    <s v="Feb"/>
    <n v="248010"/>
    <n v="73.5"/>
    <n v="1.4285714285714286"/>
  </r>
  <r>
    <s v="ORD190"/>
    <d v="2024-12-30T00:00:00"/>
    <x v="3"/>
    <x v="2"/>
    <s v="Clothify"/>
    <n v="92"/>
    <n v="44"/>
    <n v="136"/>
    <n v="27"/>
    <n v="33"/>
    <n v="5"/>
    <n v="1889"/>
    <n v="2354"/>
    <n v="0.3235294117647059"/>
    <n v="0.3235294117647059"/>
    <n v="92"/>
    <n v="173788"/>
    <s v="Avg"/>
    <s v="Dec"/>
    <n v="103576"/>
    <n v="114"/>
    <n v="0.38596491228070173"/>
  </r>
  <r>
    <s v="ORD191"/>
    <d v="2024-11-14T00:00:00"/>
    <x v="6"/>
    <x v="0"/>
    <s v="Urban Wear Co"/>
    <n v="68"/>
    <n v="95"/>
    <n v="163"/>
    <n v="106"/>
    <n v="35"/>
    <n v="4"/>
    <n v="1076"/>
    <n v="2064"/>
    <n v="0.58282208588957052"/>
    <n v="0.58282208588957052"/>
    <n v="68"/>
    <n v="73168"/>
    <s v="Avg"/>
    <s v="Nov"/>
    <n v="196080"/>
    <n v="115.5"/>
    <n v="0.82251082251082253"/>
  </r>
  <r>
    <s v="ORD192"/>
    <d v="2024-06-19T00:00:00"/>
    <x v="1"/>
    <x v="2"/>
    <s v="Clothify"/>
    <n v="35"/>
    <n v="27"/>
    <n v="62"/>
    <n v="129"/>
    <n v="77"/>
    <n v="6"/>
    <n v="606"/>
    <n v="1151"/>
    <n v="0.43548387096774194"/>
    <n v="0.43548387096774194"/>
    <n v="35"/>
    <n v="21210"/>
    <s v="Avg"/>
    <s v="Jun"/>
    <n v="31077"/>
    <n v="48.5"/>
    <n v="0.55670103092783507"/>
  </r>
  <r>
    <s v="ORD193"/>
    <d v="2024-12-19T00:00:00"/>
    <x v="1"/>
    <x v="2"/>
    <s v="Clothify"/>
    <n v="47"/>
    <n v="95"/>
    <n v="142"/>
    <n v="61"/>
    <n v="59"/>
    <n v="7"/>
    <n v="994"/>
    <n v="2382"/>
    <n v="0.66901408450704225"/>
    <n v="0.66901408450704225"/>
    <n v="47"/>
    <n v="46718"/>
    <s v="High"/>
    <s v="Dec"/>
    <n v="226290"/>
    <n v="94.5"/>
    <n v="1.0052910052910053"/>
  </r>
  <r>
    <s v="ORD194"/>
    <d v="2024-05-07T00:00:00"/>
    <x v="1"/>
    <x v="1"/>
    <s v="Fashion Hub Ltd"/>
    <n v="36"/>
    <n v="14"/>
    <n v="50"/>
    <n v="48"/>
    <n v="37"/>
    <n v="11"/>
    <n v="1333"/>
    <n v="2353"/>
    <n v="0.28000000000000003"/>
    <n v="0.28000000000000003"/>
    <n v="36"/>
    <n v="47988"/>
    <s v="Dead Stock"/>
    <s v="May"/>
    <n v="32942"/>
    <n v="43"/>
    <n v="0.32558139534883723"/>
  </r>
  <r>
    <s v="ORD195"/>
    <d v="2024-09-15T00:00:00"/>
    <x v="0"/>
    <x v="2"/>
    <s v="Clothify"/>
    <n v="65"/>
    <n v="26"/>
    <n v="91"/>
    <n v="13"/>
    <n v="36"/>
    <n v="5"/>
    <n v="827"/>
    <n v="1594"/>
    <n v="0.2857142857142857"/>
    <n v="0.2857142857142857"/>
    <n v="65"/>
    <n v="53755"/>
    <s v="Dead Stock"/>
    <s v="Sep"/>
    <n v="41444"/>
    <n v="78"/>
    <n v="0.33333333333333331"/>
  </r>
  <r>
    <s v="ORD196"/>
    <d v="2024-08-27T00:00:00"/>
    <x v="2"/>
    <x v="0"/>
    <s v="Clothify"/>
    <n v="86"/>
    <n v="15"/>
    <n v="101"/>
    <n v="272"/>
    <n v="56"/>
    <n v="13"/>
    <n v="624"/>
    <n v="1526"/>
    <n v="0.14851485148514851"/>
    <n v="0.14851485148514851"/>
    <n v="86"/>
    <n v="53664"/>
    <s v="Dead Stock"/>
    <s v="Aug"/>
    <n v="22890"/>
    <n v="93.5"/>
    <n v="0.16042780748663102"/>
  </r>
  <r>
    <s v="ORD197"/>
    <d v="2024-09-01T00:00:00"/>
    <x v="0"/>
    <x v="0"/>
    <s v="StyleStreet"/>
    <n v="126"/>
    <n v="89"/>
    <n v="215"/>
    <n v="50"/>
    <n v="60"/>
    <n v="14"/>
    <n v="1341"/>
    <n v="2761"/>
    <n v="0.413953488372093"/>
    <n v="0.413953488372093"/>
    <n v="126"/>
    <n v="168966"/>
    <s v="Avg"/>
    <s v="Sep"/>
    <n v="245729"/>
    <n v="170.5"/>
    <n v="0.52199413489736068"/>
  </r>
  <r>
    <s v="ORD198"/>
    <d v="2024-07-16T00:00:00"/>
    <x v="4"/>
    <x v="0"/>
    <s v="Not Available"/>
    <n v="50"/>
    <n v="20"/>
    <n v="70"/>
    <n v="266"/>
    <n v="73"/>
    <n v="7"/>
    <n v="1670"/>
    <n v="2516"/>
    <n v="0.2857142857142857"/>
    <n v="0.2857142857142857"/>
    <n v="50"/>
    <n v="83500"/>
    <s v="Dead Stock"/>
    <s v="Jul"/>
    <n v="50320"/>
    <n v="60"/>
    <n v="0.33333333333333331"/>
  </r>
  <r>
    <s v="ORD199"/>
    <d v="2024-08-01T00:00:00"/>
    <x v="6"/>
    <x v="2"/>
    <s v="Urban Wear Co"/>
    <n v="149"/>
    <n v="83"/>
    <n v="232"/>
    <n v="239"/>
    <n v="54"/>
    <n v="11"/>
    <n v="1869"/>
    <n v="3147"/>
    <n v="0.35775862068965519"/>
    <n v="0.35775862068965519"/>
    <n v="149"/>
    <n v="278481"/>
    <s v="Avg"/>
    <s v="Aug"/>
    <n v="261201"/>
    <n v="190.5"/>
    <n v="0.4356955380577428"/>
  </r>
  <r>
    <s v="ORD200"/>
    <d v="2024-04-08T00:00:00"/>
    <x v="4"/>
    <x v="1"/>
    <s v="Urban Wear Co"/>
    <n v="139"/>
    <n v="95"/>
    <n v="234"/>
    <n v="214"/>
    <n v="33"/>
    <n v="11"/>
    <n v="787"/>
    <n v="1632"/>
    <n v="0.40598290598290598"/>
    <n v="0.40598290598290598"/>
    <n v="139"/>
    <n v="109393"/>
    <s v="Avg"/>
    <s v="Apr"/>
    <n v="155040"/>
    <n v="186.5"/>
    <n v="0.5093833780160858"/>
  </r>
  <r>
    <s v="ORD201"/>
    <d v="2024-07-21T00:00:00"/>
    <x v="2"/>
    <x v="0"/>
    <s v="Urban Wear Co"/>
    <n v="110"/>
    <n v="88"/>
    <n v="198"/>
    <n v="265"/>
    <n v="42"/>
    <n v="13"/>
    <n v="337"/>
    <n v="1565"/>
    <n v="0.44444444444444442"/>
    <n v="0.44444444444444442"/>
    <n v="110"/>
    <n v="37070"/>
    <s v="Avg"/>
    <s v="Jul"/>
    <n v="137720"/>
    <n v="154"/>
    <n v="0.5714285714285714"/>
  </r>
  <r>
    <s v="ORD202"/>
    <d v="2024-03-30T00:00:00"/>
    <x v="0"/>
    <x v="2"/>
    <s v="Clothify"/>
    <n v="97"/>
    <n v="67"/>
    <n v="164"/>
    <n v="279"/>
    <n v="40"/>
    <n v="3"/>
    <n v="975"/>
    <n v="1320"/>
    <n v="0.40853658536585363"/>
    <n v="0.40853658536585363"/>
    <n v="97"/>
    <n v="94575"/>
    <s v="Avg"/>
    <s v="Mar"/>
    <n v="88440"/>
    <n v="130.5"/>
    <n v="0.51340996168582376"/>
  </r>
  <r>
    <s v="ORD203"/>
    <d v="2024-06-18T00:00:00"/>
    <x v="2"/>
    <x v="2"/>
    <s v="Fashion Hub Ltd"/>
    <n v="74"/>
    <n v="16"/>
    <n v="90"/>
    <n v="296"/>
    <n v="39"/>
    <n v="9"/>
    <n v="1921"/>
    <n v="2541"/>
    <n v="0.17777777777777778"/>
    <n v="0.17777777777777778"/>
    <n v="74"/>
    <n v="142154"/>
    <s v="Dead Stock"/>
    <s v="Jun"/>
    <n v="40656"/>
    <n v="82"/>
    <n v="0.1951219512195122"/>
  </r>
  <r>
    <s v="ORD204"/>
    <d v="2024-06-05T00:00:00"/>
    <x v="0"/>
    <x v="0"/>
    <s v="StyleStreet"/>
    <n v="55"/>
    <n v="13"/>
    <n v="68"/>
    <n v="260"/>
    <n v="34"/>
    <n v="14"/>
    <n v="1664"/>
    <n v="3093"/>
    <n v="0.19117647058823528"/>
    <n v="0.19117647058823528"/>
    <n v="55"/>
    <n v="91520"/>
    <s v="Dead Stock"/>
    <s v="Jun"/>
    <n v="40209"/>
    <n v="61.5"/>
    <n v="0.21138211382113822"/>
  </r>
  <r>
    <s v="ORD205"/>
    <d v="2024-10-05T00:00:00"/>
    <x v="5"/>
    <x v="1"/>
    <s v="Fashion Hub Ltd"/>
    <n v="147"/>
    <n v="119"/>
    <n v="266"/>
    <n v="157"/>
    <n v="71"/>
    <n v="4"/>
    <n v="1608"/>
    <n v="3042"/>
    <n v="0.44736842105263158"/>
    <n v="0.44736842105263158"/>
    <n v="147"/>
    <n v="236376"/>
    <s v="Avg"/>
    <s v="Oct"/>
    <n v="361998"/>
    <n v="206.5"/>
    <n v="0.57627118644067798"/>
  </r>
  <r>
    <s v="ORD206"/>
    <d v="2024-10-07T00:00:00"/>
    <x v="5"/>
    <x v="2"/>
    <s v="Clothify"/>
    <n v="136"/>
    <n v="9"/>
    <n v="145"/>
    <n v="242"/>
    <n v="69"/>
    <n v="10"/>
    <n v="1927"/>
    <n v="2236"/>
    <n v="6.2068965517241378E-2"/>
    <n v="6.2068965517241378E-2"/>
    <n v="136"/>
    <n v="262072"/>
    <s v="Dead Stock"/>
    <s v="Oct"/>
    <n v="20124"/>
    <n v="140.5"/>
    <n v="6.4056939501779361E-2"/>
  </r>
  <r>
    <s v="ORD207"/>
    <d v="2024-04-26T00:00:00"/>
    <x v="0"/>
    <x v="1"/>
    <s v="Clothify"/>
    <n v="47"/>
    <n v="49"/>
    <n v="96"/>
    <n v="184"/>
    <n v="53"/>
    <n v="2"/>
    <n v="1860"/>
    <n v="2779"/>
    <n v="0.51041666666666663"/>
    <n v="0.51041666666666663"/>
    <n v="47"/>
    <n v="87420"/>
    <s v="Avg"/>
    <s v="Apr"/>
    <n v="136171"/>
    <n v="71.5"/>
    <n v="0.68531468531468531"/>
  </r>
  <r>
    <s v="ORD208"/>
    <d v="2024-10-23T00:00:00"/>
    <x v="0"/>
    <x v="2"/>
    <s v="Urban Wear Co"/>
    <n v="74"/>
    <n v="92"/>
    <n v="166"/>
    <n v="132"/>
    <n v="56"/>
    <n v="6"/>
    <n v="1008"/>
    <n v="1858"/>
    <n v="0.55421686746987953"/>
    <n v="0.55421686746987953"/>
    <n v="74"/>
    <n v="74592"/>
    <s v="Avg"/>
    <s v="Oct"/>
    <n v="170936"/>
    <n v="120"/>
    <n v="0.76666666666666672"/>
  </r>
  <r>
    <s v="ORD209"/>
    <d v="2024-07-19T00:00:00"/>
    <x v="1"/>
    <x v="1"/>
    <s v="Fashion Hub Ltd"/>
    <n v="117"/>
    <n v="45"/>
    <n v="162"/>
    <n v="202"/>
    <n v="52"/>
    <n v="9"/>
    <n v="1240"/>
    <n v="1818"/>
    <n v="0.27777777777777779"/>
    <n v="0.27777777777777779"/>
    <n v="117"/>
    <n v="145080"/>
    <s v="Dead Stock"/>
    <s v="Jul"/>
    <n v="81810"/>
    <n v="139.5"/>
    <n v="0.32258064516129031"/>
  </r>
  <r>
    <s v="ORD210"/>
    <d v="2024-05-09T00:00:00"/>
    <x v="6"/>
    <x v="2"/>
    <s v="Clothify"/>
    <n v="30"/>
    <n v="94"/>
    <n v="124"/>
    <n v="110"/>
    <n v="37"/>
    <n v="8"/>
    <n v="1610"/>
    <n v="1796"/>
    <n v="0.75806451612903225"/>
    <n v="0.75806451612903225"/>
    <n v="30"/>
    <n v="48300"/>
    <s v="High"/>
    <s v="May"/>
    <n v="168824"/>
    <n v="77"/>
    <n v="1.2207792207792207"/>
  </r>
  <r>
    <s v="ORD211"/>
    <d v="2024-05-10T00:00:00"/>
    <x v="1"/>
    <x v="1"/>
    <s v="Urban Wear Co"/>
    <n v="110"/>
    <n v="59"/>
    <n v="169"/>
    <n v="118"/>
    <n v="34"/>
    <n v="4"/>
    <n v="1015"/>
    <n v="2511"/>
    <n v="0.34911242603550297"/>
    <n v="0.34911242603550297"/>
    <n v="110"/>
    <n v="111650"/>
    <s v="Avg"/>
    <s v="May"/>
    <n v="148149"/>
    <n v="139.5"/>
    <n v="0.42293906810035842"/>
  </r>
  <r>
    <s v="ORD212"/>
    <d v="2024-01-21T00:00:00"/>
    <x v="6"/>
    <x v="1"/>
    <s v="Fashion Hub Ltd"/>
    <n v="62"/>
    <n v="36"/>
    <n v="98"/>
    <n v="77"/>
    <n v="54"/>
    <n v="15"/>
    <n v="539"/>
    <n v="1664"/>
    <n v="0.36734693877551022"/>
    <n v="0.36734693877551022"/>
    <n v="62"/>
    <n v="33418"/>
    <s v="Avg"/>
    <s v="Jan"/>
    <n v="59904"/>
    <n v="80"/>
    <n v="0.45"/>
  </r>
  <r>
    <s v="ORD213"/>
    <d v="2024-01-15T00:00:00"/>
    <x v="3"/>
    <x v="1"/>
    <s v="Fashion Hub Ltd"/>
    <n v="61"/>
    <n v="39"/>
    <n v="100"/>
    <n v="31"/>
    <n v="78"/>
    <n v="7"/>
    <n v="1028"/>
    <n v="1448"/>
    <n v="0.39"/>
    <n v="0.39"/>
    <n v="61"/>
    <n v="62708"/>
    <s v="Avg"/>
    <s v="Jan"/>
    <n v="56472"/>
    <n v="80.5"/>
    <n v="0.48447204968944102"/>
  </r>
  <r>
    <s v="ORD214"/>
    <d v="2024-04-17T00:00:00"/>
    <x v="4"/>
    <x v="0"/>
    <s v="StyleStreet"/>
    <n v="107"/>
    <n v="40"/>
    <n v="147"/>
    <n v="253"/>
    <n v="53"/>
    <n v="14"/>
    <n v="1960"/>
    <n v="2305"/>
    <n v="0.27210884353741499"/>
    <n v="0.27210884353741499"/>
    <n v="107"/>
    <n v="209720"/>
    <s v="Dead Stock"/>
    <s v="Apr"/>
    <n v="92200"/>
    <n v="127"/>
    <n v="0.31496062992125984"/>
  </r>
  <r>
    <s v="ORD215"/>
    <d v="2024-01-21T00:00:00"/>
    <x v="0"/>
    <x v="1"/>
    <s v="Fashion Hub Ltd"/>
    <s v="Not Available"/>
    <n v="33"/>
    <s v="-"/>
    <n v="50"/>
    <n v="34"/>
    <n v="5"/>
    <n v="351"/>
    <n v="981"/>
    <e v="#VALUE!"/>
    <s v="incomplete"/>
    <s v="Not Available"/>
    <n v="0"/>
    <s v="High"/>
    <s v="Jan"/>
    <n v="32373"/>
    <s v="-"/>
    <s v="-"/>
  </r>
  <r>
    <s v="ORD216"/>
    <d v="2024-10-22T00:00:00"/>
    <x v="3"/>
    <x v="0"/>
    <s v="StyleStreet"/>
    <n v="110"/>
    <n v="66"/>
    <n v="176"/>
    <n v="70"/>
    <n v="71"/>
    <n v="3"/>
    <n v="763"/>
    <n v="2178"/>
    <n v="0.375"/>
    <n v="0.375"/>
    <n v="110"/>
    <n v="83930"/>
    <s v="Avg"/>
    <s v="Oct"/>
    <n v="143748"/>
    <n v="143"/>
    <n v="0.46153846153846156"/>
  </r>
  <r>
    <s v="ORD217"/>
    <d v="2024-07-17T00:00:00"/>
    <x v="0"/>
    <x v="1"/>
    <s v="Not Available"/>
    <n v="48"/>
    <n v="27"/>
    <n v="75"/>
    <n v="180"/>
    <n v="73"/>
    <n v="5"/>
    <n v="326"/>
    <n v="1264"/>
    <n v="0.36"/>
    <n v="0.36"/>
    <n v="48"/>
    <n v="15648"/>
    <s v="Avg"/>
    <s v="Jul"/>
    <n v="34128"/>
    <n v="61.5"/>
    <n v="0.43902439024390244"/>
  </r>
  <r>
    <s v="ORD218"/>
    <d v="2024-12-20T00:00:00"/>
    <x v="3"/>
    <x v="2"/>
    <s v="StyleStreet"/>
    <n v="12"/>
    <n v="88"/>
    <n v="100"/>
    <n v="276"/>
    <n v="63"/>
    <n v="15"/>
    <n v="1371"/>
    <n v="2321"/>
    <n v="0.88"/>
    <n v="0.88"/>
    <n v="12"/>
    <n v="16452"/>
    <s v="High"/>
    <s v="Dec"/>
    <n v="204248"/>
    <n v="56"/>
    <n v="1.5714285714285714"/>
  </r>
  <r>
    <s v="ORD219"/>
    <d v="2024-02-19T00:00:00"/>
    <x v="0"/>
    <x v="0"/>
    <s v="StyleStreet"/>
    <n v="125"/>
    <n v="81"/>
    <n v="206"/>
    <n v="176"/>
    <n v="53"/>
    <n v="2"/>
    <n v="1613"/>
    <n v="2358"/>
    <n v="0.39320388349514562"/>
    <n v="0.39320388349514562"/>
    <n v="125"/>
    <n v="201625"/>
    <s v="Avg"/>
    <s v="Feb"/>
    <n v="190998"/>
    <n v="165.5"/>
    <n v="0.48942598187311176"/>
  </r>
  <r>
    <s v="ORD220"/>
    <d v="2024-10-28T00:00:00"/>
    <x v="4"/>
    <x v="1"/>
    <s v="Fashion Hub Ltd"/>
    <n v="34"/>
    <n v="43"/>
    <n v="77"/>
    <n v="121"/>
    <n v="43"/>
    <n v="15"/>
    <n v="707"/>
    <n v="1284"/>
    <n v="0.55844155844155841"/>
    <n v="0.55844155844155841"/>
    <n v="34"/>
    <n v="24038"/>
    <s v="Avg"/>
    <s v="Oct"/>
    <n v="55212"/>
    <n v="55.5"/>
    <n v="0.77477477477477474"/>
  </r>
  <r>
    <s v="ORD221"/>
    <d v="2024-03-15T00:00:00"/>
    <x v="5"/>
    <x v="1"/>
    <s v="Urban Wear Co"/>
    <n v="149"/>
    <n v="107"/>
    <n v="256"/>
    <n v="65"/>
    <n v="68"/>
    <n v="10"/>
    <n v="331"/>
    <n v="733"/>
    <n v="0.41796875"/>
    <n v="0.41796875"/>
    <n v="149"/>
    <n v="49319"/>
    <s v="Avg"/>
    <s v="Mar"/>
    <n v="78431"/>
    <n v="202.5"/>
    <n v="0.52839506172839501"/>
  </r>
  <r>
    <s v="ORD222"/>
    <d v="2024-08-03T00:00:00"/>
    <x v="4"/>
    <x v="1"/>
    <s v="Clothify"/>
    <n v="135"/>
    <n v="90"/>
    <n v="225"/>
    <n v="140"/>
    <n v="70"/>
    <n v="14"/>
    <n v="1400"/>
    <n v="2237"/>
    <n v="0.4"/>
    <n v="0.4"/>
    <n v="135"/>
    <n v="189000"/>
    <s v="Avg"/>
    <s v="Aug"/>
    <n v="201330"/>
    <n v="180"/>
    <n v="0.5"/>
  </r>
  <r>
    <s v="ORD223"/>
    <d v="2024-12-08T00:00:00"/>
    <x v="4"/>
    <x v="0"/>
    <s v="Urban Wear Co"/>
    <n v="110"/>
    <n v="109"/>
    <n v="219"/>
    <n v="277"/>
    <n v="42"/>
    <n v="14"/>
    <n v="1400"/>
    <n v="1644"/>
    <n v="0.49771689497716892"/>
    <n v="0.49771689497716892"/>
    <n v="110"/>
    <n v="154000"/>
    <s v="Avg"/>
    <s v="Dec"/>
    <n v="179196"/>
    <n v="164.5"/>
    <n v="0.66261398176291797"/>
  </r>
  <r>
    <s v="ORD224"/>
    <d v="2024-04-25T00:00:00"/>
    <x v="5"/>
    <x v="1"/>
    <s v="Fashion Hub Ltd"/>
    <n v="123"/>
    <n v="109"/>
    <n v="232"/>
    <n v="201"/>
    <n v="67"/>
    <n v="15"/>
    <n v="600"/>
    <n v="829"/>
    <n v="0.46982758620689657"/>
    <n v="0.46982758620689657"/>
    <n v="123"/>
    <n v="73800"/>
    <s v="Avg"/>
    <s v="Apr"/>
    <n v="90361"/>
    <n v="177.5"/>
    <n v="0.61408450704225348"/>
  </r>
  <r>
    <s v="ORD225"/>
    <d v="2024-10-26T00:00:00"/>
    <x v="6"/>
    <x v="1"/>
    <s v="StyleStreet"/>
    <n v="55"/>
    <n v="33"/>
    <n v="88"/>
    <n v="193"/>
    <n v="44"/>
    <n v="6"/>
    <n v="1535"/>
    <n v="2928"/>
    <n v="0.375"/>
    <n v="0.375"/>
    <n v="55"/>
    <n v="84425"/>
    <s v="Avg"/>
    <s v="Oct"/>
    <n v="96624"/>
    <n v="71.5"/>
    <n v="0.46153846153846156"/>
  </r>
  <r>
    <s v="ORD226"/>
    <d v="2024-11-15T00:00:00"/>
    <x v="0"/>
    <x v="2"/>
    <s v="Fashion Hub Ltd"/>
    <n v="31"/>
    <n v="13"/>
    <n v="44"/>
    <n v="176"/>
    <n v="69"/>
    <n v="13"/>
    <n v="950"/>
    <n v="1761"/>
    <n v="0.29545454545454547"/>
    <n v="0.29545454545454547"/>
    <n v="31"/>
    <n v="29450"/>
    <s v="Dead Stock"/>
    <s v="Nov"/>
    <n v="22893"/>
    <n v="37.5"/>
    <n v="0.34666666666666668"/>
  </r>
  <r>
    <s v="ORD227"/>
    <d v="2024-08-11T00:00:00"/>
    <x v="6"/>
    <x v="1"/>
    <s v="StyleStreet"/>
    <n v="80"/>
    <n v="3"/>
    <n v="83"/>
    <n v="131"/>
    <n v="46"/>
    <n v="13"/>
    <n v="603"/>
    <n v="914"/>
    <n v="3.614457831325301E-2"/>
    <n v="3.614457831325301E-2"/>
    <n v="80"/>
    <n v="48240"/>
    <s v="Dead Stock"/>
    <s v="Aug"/>
    <n v="2742"/>
    <n v="81.5"/>
    <n v="3.6809815950920248E-2"/>
  </r>
  <r>
    <s v="ORD228"/>
    <d v="2024-01-14T00:00:00"/>
    <x v="5"/>
    <x v="0"/>
    <s v="Clothify"/>
    <n v="146"/>
    <n v="118"/>
    <n v="264"/>
    <n v="155"/>
    <n v="78"/>
    <n v="8"/>
    <n v="699"/>
    <n v="1388"/>
    <n v="0.44696969696969696"/>
    <n v="0.44696969696969696"/>
    <n v="146"/>
    <n v="102054"/>
    <s v="Avg"/>
    <s v="Jan"/>
    <n v="163784"/>
    <n v="205"/>
    <n v="0.57560975609756093"/>
  </r>
  <r>
    <s v="ORD229"/>
    <d v="2024-09-15T00:00:00"/>
    <x v="6"/>
    <x v="1"/>
    <s v="StyleStreet"/>
    <n v="5"/>
    <n v="31"/>
    <n v="36"/>
    <n v="64"/>
    <n v="79"/>
    <n v="15"/>
    <n v="804"/>
    <n v="1043"/>
    <n v="0.86111111111111116"/>
    <n v="0.86111111111111116"/>
    <n v="5"/>
    <n v="4020"/>
    <s v="High"/>
    <s v="Sep"/>
    <n v="32333"/>
    <n v="20.5"/>
    <n v="1.5121951219512195"/>
  </r>
  <r>
    <s v="ORD230"/>
    <d v="2024-01-13T00:00:00"/>
    <x v="6"/>
    <x v="2"/>
    <s v="StyleStreet"/>
    <n v="5"/>
    <n v="116"/>
    <n v="121"/>
    <n v="197"/>
    <n v="67"/>
    <n v="11"/>
    <n v="592"/>
    <n v="1853"/>
    <n v="0.95867768595041325"/>
    <n v="0.95867768595041325"/>
    <n v="5"/>
    <n v="2960"/>
    <s v="High"/>
    <s v="Jan"/>
    <n v="214948"/>
    <n v="63"/>
    <n v="1.8412698412698412"/>
  </r>
  <r>
    <s v="ORD231"/>
    <d v="2024-07-04T00:00:00"/>
    <x v="2"/>
    <x v="2"/>
    <s v="Clothify"/>
    <n v="148"/>
    <n v="35"/>
    <n v="183"/>
    <n v="30"/>
    <n v="72"/>
    <n v="9"/>
    <n v="1999"/>
    <n v="3447"/>
    <n v="0.19125683060109289"/>
    <n v="0.19125683060109289"/>
    <n v="148"/>
    <n v="295852"/>
    <s v="Dead Stock"/>
    <s v="Jul"/>
    <n v="120645"/>
    <n v="165.5"/>
    <n v="0.21148036253776434"/>
  </r>
  <r>
    <s v="ORD232"/>
    <d v="2024-06-08T00:00:00"/>
    <x v="5"/>
    <x v="0"/>
    <s v="Urban Wear Co"/>
    <n v="20"/>
    <n v="2"/>
    <n v="22"/>
    <n v="6"/>
    <n v="36"/>
    <n v="3"/>
    <n v="1415"/>
    <n v="2134"/>
    <n v="9.0909090909090912E-2"/>
    <n v="9.0909090909090912E-2"/>
    <n v="20"/>
    <n v="28300"/>
    <s v="Dead Stock"/>
    <s v="Jun"/>
    <n v="4268"/>
    <n v="21"/>
    <n v="9.5238095238095233E-2"/>
  </r>
  <r>
    <s v="ORD233"/>
    <d v="2024-07-17T00:00:00"/>
    <x v="6"/>
    <x v="2"/>
    <s v="Fashion Hub Ltd"/>
    <n v="106"/>
    <n v="73"/>
    <n v="179"/>
    <n v="151"/>
    <n v="67"/>
    <n v="10"/>
    <n v="1959"/>
    <n v="2689"/>
    <n v="0.40782122905027934"/>
    <n v="0.40782122905027934"/>
    <n v="106"/>
    <n v="207654"/>
    <s v="Avg"/>
    <s v="Jul"/>
    <n v="196297"/>
    <n v="142.5"/>
    <n v="0.512280701754386"/>
  </r>
  <r>
    <s v="ORD234"/>
    <d v="2024-02-01T00:00:00"/>
    <x v="4"/>
    <x v="1"/>
    <s v="Urban Wear Co"/>
    <n v="19"/>
    <n v="85"/>
    <n v="104"/>
    <n v="63"/>
    <n v="50"/>
    <n v="4"/>
    <n v="467"/>
    <n v="697"/>
    <n v="0.81730769230769229"/>
    <n v="0.81730769230769229"/>
    <n v="19"/>
    <n v="8873"/>
    <s v="High"/>
    <s v="Feb"/>
    <n v="59245"/>
    <n v="61.5"/>
    <n v="1.3821138211382114"/>
  </r>
  <r>
    <s v="ORD235"/>
    <d v="2024-04-24T00:00:00"/>
    <x v="1"/>
    <x v="2"/>
    <s v="Clothify"/>
    <n v="126"/>
    <n v="105"/>
    <n v="231"/>
    <n v="45"/>
    <n v="63"/>
    <n v="4"/>
    <n v="662"/>
    <n v="1723"/>
    <n v="0.45454545454545453"/>
    <n v="0.45454545454545453"/>
    <n v="126"/>
    <n v="83412"/>
    <s v="Avg"/>
    <s v="Apr"/>
    <n v="180915"/>
    <n v="178.5"/>
    <n v="0.58823529411764708"/>
  </r>
  <r>
    <s v="ORD236"/>
    <d v="2024-06-12T00:00:00"/>
    <x v="3"/>
    <x v="1"/>
    <s v="Urban Wear Co"/>
    <n v="23"/>
    <n v="98"/>
    <n v="121"/>
    <n v="246"/>
    <n v="70"/>
    <n v="5"/>
    <n v="1383"/>
    <n v="2584"/>
    <n v="0.80991735537190079"/>
    <n v="0.80991735537190079"/>
    <n v="23"/>
    <n v="31809"/>
    <s v="High"/>
    <s v="Jun"/>
    <n v="253232"/>
    <n v="72"/>
    <n v="1.3611111111111112"/>
  </r>
  <r>
    <s v="ORD237"/>
    <d v="2024-02-26T00:00:00"/>
    <x v="5"/>
    <x v="2"/>
    <s v="Not Available"/>
    <n v="84"/>
    <n v="0"/>
    <n v="84"/>
    <n v="54"/>
    <n v="50"/>
    <n v="7"/>
    <n v="1153"/>
    <n v="2466"/>
    <n v="0"/>
    <n v="0"/>
    <n v="84"/>
    <n v="96852"/>
    <s v="Dead Stock"/>
    <s v="Feb"/>
    <n v="0"/>
    <n v="84"/>
    <n v="0"/>
  </r>
  <r>
    <s v="ORD238"/>
    <d v="2024-06-20T00:00:00"/>
    <x v="4"/>
    <x v="2"/>
    <s v="Urban Wear Co"/>
    <n v="38"/>
    <n v="28"/>
    <n v="66"/>
    <n v="24"/>
    <n v="77"/>
    <n v="8"/>
    <n v="1162"/>
    <n v="1521"/>
    <n v="0.42424242424242425"/>
    <n v="0.42424242424242425"/>
    <n v="38"/>
    <n v="44156"/>
    <s v="Avg"/>
    <s v="Jun"/>
    <n v="42588"/>
    <n v="52"/>
    <n v="0.53846153846153844"/>
  </r>
  <r>
    <s v="ORD239"/>
    <d v="2024-01-29T00:00:00"/>
    <x v="6"/>
    <x v="1"/>
    <s v="Urban Wear Co"/>
    <n v="11"/>
    <n v="8"/>
    <n v="19"/>
    <n v="191"/>
    <n v="33"/>
    <n v="5"/>
    <n v="727"/>
    <n v="1577"/>
    <n v="0.42105263157894735"/>
    <n v="0.42105263157894735"/>
    <n v="11"/>
    <n v="7997"/>
    <s v="Avg"/>
    <s v="Jan"/>
    <n v="12616"/>
    <n v="15"/>
    <n v="0.53333333333333333"/>
  </r>
  <r>
    <s v="ORD240"/>
    <d v="2024-10-09T00:00:00"/>
    <x v="4"/>
    <x v="2"/>
    <s v="Fashion Hub Ltd"/>
    <n v="33"/>
    <n v="44"/>
    <n v="77"/>
    <n v="226"/>
    <n v="58"/>
    <n v="12"/>
    <n v="1554"/>
    <n v="2338"/>
    <n v="0.5714285714285714"/>
    <n v="0.5714285714285714"/>
    <n v="33"/>
    <n v="51282"/>
    <s v="Avg"/>
    <s v="Oct"/>
    <n v="102872"/>
    <n v="55"/>
    <n v="0.8"/>
  </r>
  <r>
    <s v="ORD241"/>
    <d v="2024-04-27T00:00:00"/>
    <x v="6"/>
    <x v="2"/>
    <s v="Fashion Hub Ltd"/>
    <n v="121"/>
    <n v="21"/>
    <n v="142"/>
    <n v="227"/>
    <n v="70"/>
    <n v="15"/>
    <n v="1638"/>
    <n v="2179"/>
    <n v="0.14788732394366197"/>
    <n v="0.14788732394366197"/>
    <n v="121"/>
    <n v="198198"/>
    <s v="Dead Stock"/>
    <s v="Apr"/>
    <n v="45759"/>
    <n v="131.5"/>
    <n v="0.1596958174904943"/>
  </r>
  <r>
    <s v="ORD242"/>
    <d v="2024-09-18T00:00:00"/>
    <x v="6"/>
    <x v="0"/>
    <s v="Fashion Hub Ltd"/>
    <n v="17"/>
    <n v="113"/>
    <n v="130"/>
    <n v="20"/>
    <n v="30"/>
    <n v="12"/>
    <n v="1173"/>
    <n v="1478"/>
    <n v="0.86923076923076925"/>
    <n v="0.86923076923076925"/>
    <n v="17"/>
    <n v="19941"/>
    <s v="High"/>
    <s v="Sep"/>
    <n v="167014"/>
    <n v="73.5"/>
    <n v="1.5374149659863945"/>
  </r>
  <r>
    <s v="ORD243"/>
    <d v="2024-05-24T00:00:00"/>
    <x v="5"/>
    <x v="1"/>
    <s v="StyleStreet"/>
    <n v="6"/>
    <n v="94"/>
    <n v="100"/>
    <n v="2"/>
    <n v="64"/>
    <n v="11"/>
    <n v="1742"/>
    <n v="1989"/>
    <n v="0.94"/>
    <n v="0.94"/>
    <n v="6"/>
    <n v="10452"/>
    <s v="High"/>
    <s v="May"/>
    <n v="186966"/>
    <n v="53"/>
    <n v="1.7735849056603774"/>
  </r>
  <r>
    <s v="ORD244"/>
    <d v="2024-08-13T00:00:00"/>
    <x v="3"/>
    <x v="1"/>
    <s v="Fashion Hub Ltd"/>
    <n v="74"/>
    <n v="88"/>
    <n v="162"/>
    <n v="192"/>
    <n v="67"/>
    <n v="13"/>
    <n v="730"/>
    <n v="1013"/>
    <n v="0.54320987654320985"/>
    <n v="0.54320987654320985"/>
    <n v="74"/>
    <n v="54020"/>
    <s v="Avg"/>
    <s v="Aug"/>
    <n v="89144"/>
    <n v="118"/>
    <n v="0.74576271186440679"/>
  </r>
  <r>
    <s v="ORD245"/>
    <d v="2024-03-03T00:00:00"/>
    <x v="7"/>
    <x v="0"/>
    <s v="Clothify"/>
    <n v="103"/>
    <n v="60"/>
    <n v="163"/>
    <n v="299"/>
    <n v="78"/>
    <n v="10"/>
    <n v="1465"/>
    <n v="2738"/>
    <n v="0.36809815950920244"/>
    <n v="0.36809815950920244"/>
    <n v="103"/>
    <n v="150895"/>
    <s v="Avg"/>
    <s v="Mar"/>
    <n v="164280"/>
    <n v="133"/>
    <n v="0.45112781954887216"/>
  </r>
  <r>
    <s v="ORD246"/>
    <d v="2024-12-28T00:00:00"/>
    <x v="6"/>
    <x v="1"/>
    <s v="Fashion Hub Ltd"/>
    <n v="78"/>
    <n v="73"/>
    <n v="151"/>
    <n v="10"/>
    <n v="75"/>
    <n v="12"/>
    <n v="640"/>
    <n v="1430"/>
    <n v="0.48344370860927155"/>
    <n v="0.48344370860927155"/>
    <n v="78"/>
    <n v="49920"/>
    <s v="Avg"/>
    <s v="Dec"/>
    <n v="104390"/>
    <n v="114.5"/>
    <n v="0.63755458515283847"/>
  </r>
  <r>
    <s v="ORD247"/>
    <d v="2024-07-22T00:00:00"/>
    <x v="2"/>
    <x v="0"/>
    <s v="Clothify"/>
    <s v="Not Available"/>
    <n v="14"/>
    <s v="-"/>
    <n v="45"/>
    <n v="69"/>
    <n v="13"/>
    <n v="453"/>
    <n v="859"/>
    <e v="#VALUE!"/>
    <s v="incomplete"/>
    <s v="Not Available"/>
    <n v="0"/>
    <s v="High"/>
    <s v="Jul"/>
    <n v="12026"/>
    <s v="-"/>
    <s v="-"/>
  </r>
  <r>
    <s v="ORD248"/>
    <d v="2024-12-11T00:00:00"/>
    <x v="4"/>
    <x v="0"/>
    <s v="StyleStreet"/>
    <n v="132"/>
    <n v="42"/>
    <n v="174"/>
    <n v="254"/>
    <n v="36"/>
    <n v="5"/>
    <n v="876"/>
    <n v="2332"/>
    <n v="0.2413793103448276"/>
    <n v="0.2413793103448276"/>
    <n v="132"/>
    <n v="115632"/>
    <s v="Dead Stock"/>
    <s v="Dec"/>
    <n v="97944"/>
    <n v="153"/>
    <n v="0.27450980392156865"/>
  </r>
  <r>
    <s v="ORD249"/>
    <d v="2024-03-30T00:00:00"/>
    <x v="2"/>
    <x v="0"/>
    <s v="StyleStreet"/>
    <n v="93"/>
    <n v="57"/>
    <n v="150"/>
    <n v="37"/>
    <n v="61"/>
    <n v="13"/>
    <n v="1908"/>
    <n v="2437"/>
    <n v="0.38"/>
    <n v="0.38"/>
    <n v="93"/>
    <n v="177444"/>
    <s v="Avg"/>
    <s v="Mar"/>
    <n v="138909"/>
    <n v="121.5"/>
    <n v="0.46913580246913578"/>
  </r>
  <r>
    <s v="ORD250"/>
    <d v="2024-12-27T00:00:00"/>
    <x v="6"/>
    <x v="2"/>
    <s v="Clothify"/>
    <n v="38"/>
    <n v="79"/>
    <n v="117"/>
    <n v="120"/>
    <n v="32"/>
    <n v="6"/>
    <n v="1701"/>
    <n v="2797"/>
    <n v="0.67521367521367526"/>
    <n v="0.67521367521367526"/>
    <n v="38"/>
    <n v="64638"/>
    <s v="High"/>
    <s v="Dec"/>
    <n v="220963"/>
    <n v="77.5"/>
    <n v="1.0193548387096774"/>
  </r>
  <r>
    <s v="ORD251"/>
    <d v="2024-06-07T00:00:00"/>
    <x v="3"/>
    <x v="0"/>
    <s v="StyleStreet"/>
    <n v="149"/>
    <n v="37"/>
    <n v="186"/>
    <n v="215"/>
    <n v="74"/>
    <n v="4"/>
    <n v="942"/>
    <n v="1679"/>
    <n v="0.19892473118279569"/>
    <n v="0.19892473118279569"/>
    <n v="149"/>
    <n v="140358"/>
    <s v="Dead Stock"/>
    <s v="Jun"/>
    <n v="62123"/>
    <n v="167.5"/>
    <n v="0.22089552238805971"/>
  </r>
  <r>
    <s v="ORD252"/>
    <d v="2024-01-01T00:00:00"/>
    <x v="7"/>
    <x v="0"/>
    <s v="Clothify"/>
    <n v="20"/>
    <n v="100"/>
    <n v="120"/>
    <n v="58"/>
    <n v="73"/>
    <n v="4"/>
    <n v="1282"/>
    <n v="2536"/>
    <n v="0.83333333333333337"/>
    <n v="0.83333333333333337"/>
    <n v="20"/>
    <n v="25640"/>
    <s v="High"/>
    <s v="Jan"/>
    <n v="253600"/>
    <n v="70"/>
    <n v="1.4285714285714286"/>
  </r>
  <r>
    <s v="ORD253"/>
    <d v="2024-11-05T00:00:00"/>
    <x v="2"/>
    <x v="1"/>
    <s v="Urban Wear Co"/>
    <n v="80"/>
    <n v="84"/>
    <n v="164"/>
    <n v="219"/>
    <n v="38"/>
    <n v="5"/>
    <n v="1310"/>
    <n v="1640"/>
    <n v="0.51219512195121952"/>
    <n v="0.51219512195121952"/>
    <n v="80"/>
    <n v="104800"/>
    <s v="Avg"/>
    <s v="Nov"/>
    <n v="137760"/>
    <n v="122"/>
    <n v="0.68852459016393441"/>
  </r>
  <r>
    <s v="ORD254"/>
    <d v="2024-02-14T00:00:00"/>
    <x v="0"/>
    <x v="2"/>
    <s v="StyleStreet"/>
    <n v="96"/>
    <n v="56"/>
    <n v="152"/>
    <n v="64"/>
    <n v="72"/>
    <n v="12"/>
    <n v="1606"/>
    <n v="3052"/>
    <n v="0.36842105263157893"/>
    <n v="0.36842105263157893"/>
    <n v="96"/>
    <n v="154176"/>
    <s v="Avg"/>
    <s v="Feb"/>
    <n v="170912"/>
    <n v="124"/>
    <n v="0.45161290322580644"/>
  </r>
  <r>
    <s v="ORD255"/>
    <d v="2024-03-01T00:00:00"/>
    <x v="2"/>
    <x v="0"/>
    <s v="Clothify"/>
    <n v="131"/>
    <n v="88"/>
    <n v="219"/>
    <n v="126"/>
    <n v="35"/>
    <n v="15"/>
    <n v="416"/>
    <n v="1492"/>
    <n v="0.40182648401826482"/>
    <n v="0.40182648401826482"/>
    <n v="131"/>
    <n v="54496"/>
    <s v="Avg"/>
    <s v="Mar"/>
    <n v="131296"/>
    <n v="175"/>
    <n v="0.50285714285714289"/>
  </r>
  <r>
    <s v="ORD256"/>
    <d v="2024-10-24T00:00:00"/>
    <x v="4"/>
    <x v="1"/>
    <s v="Fashion Hub Ltd"/>
    <n v="48"/>
    <n v="37"/>
    <n v="85"/>
    <n v="260"/>
    <n v="31"/>
    <n v="15"/>
    <n v="880"/>
    <n v="1337"/>
    <n v="0.43529411764705883"/>
    <n v="0.43529411764705883"/>
    <n v="48"/>
    <n v="42240"/>
    <s v="Avg"/>
    <s v="Oct"/>
    <n v="49469"/>
    <n v="66.5"/>
    <n v="0.55639097744360899"/>
  </r>
  <r>
    <s v="ORD257"/>
    <d v="2024-10-02T00:00:00"/>
    <x v="4"/>
    <x v="1"/>
    <s v="StyleStreet"/>
    <n v="143"/>
    <n v="37"/>
    <n v="180"/>
    <n v="39"/>
    <n v="51"/>
    <n v="7"/>
    <n v="613"/>
    <n v="1651"/>
    <n v="0.20555555555555555"/>
    <n v="0.20555555555555555"/>
    <n v="143"/>
    <n v="87659"/>
    <s v="Dead Stock"/>
    <s v="Oct"/>
    <n v="61087"/>
    <n v="161.5"/>
    <n v="0.22910216718266255"/>
  </r>
  <r>
    <s v="ORD258"/>
    <d v="2024-01-05T00:00:00"/>
    <x v="3"/>
    <x v="2"/>
    <s v="Clothify"/>
    <n v="58"/>
    <n v="46"/>
    <n v="104"/>
    <n v="142"/>
    <n v="62"/>
    <n v="5"/>
    <n v="1673"/>
    <n v="2127"/>
    <n v="0.44230769230769229"/>
    <n v="0.44230769230769229"/>
    <n v="58"/>
    <n v="97034"/>
    <s v="Avg"/>
    <s v="Jan"/>
    <n v="97842"/>
    <n v="81"/>
    <n v="0.5679012345679012"/>
  </r>
  <r>
    <s v="ORD259"/>
    <d v="2024-01-21T00:00:00"/>
    <x v="3"/>
    <x v="0"/>
    <s v="Urban Wear Co"/>
    <n v="61"/>
    <n v="34"/>
    <n v="95"/>
    <n v="133"/>
    <n v="49"/>
    <n v="2"/>
    <n v="377"/>
    <n v="1122"/>
    <n v="0.35789473684210527"/>
    <n v="0.35789473684210527"/>
    <n v="61"/>
    <n v="22997"/>
    <s v="Avg"/>
    <s v="Jan"/>
    <n v="38148"/>
    <n v="78"/>
    <n v="0.4358974358974359"/>
  </r>
  <r>
    <s v="ORD260"/>
    <d v="2024-06-19T00:00:00"/>
    <x v="2"/>
    <x v="0"/>
    <s v="StyleStreet"/>
    <n v="146"/>
    <n v="9"/>
    <n v="155"/>
    <n v="178"/>
    <n v="76"/>
    <n v="6"/>
    <n v="595"/>
    <n v="1298"/>
    <n v="5.8064516129032261E-2"/>
    <n v="5.8064516129032261E-2"/>
    <n v="146"/>
    <n v="86870"/>
    <s v="Dead Stock"/>
    <s v="Jun"/>
    <n v="11682"/>
    <n v="150.5"/>
    <n v="5.9800664451827246E-2"/>
  </r>
  <r>
    <s v="ORD261"/>
    <d v="2024-11-22T00:00:00"/>
    <x v="0"/>
    <x v="2"/>
    <s v="Urban Wear Co"/>
    <n v="104"/>
    <n v="63"/>
    <n v="167"/>
    <n v="222"/>
    <n v="40"/>
    <n v="13"/>
    <n v="1716"/>
    <n v="2288"/>
    <n v="0.3772455089820359"/>
    <n v="0.3772455089820359"/>
    <n v="104"/>
    <n v="178464"/>
    <s v="Avg"/>
    <s v="Nov"/>
    <n v="144144"/>
    <n v="135.5"/>
    <n v="0.46494464944649444"/>
  </r>
  <r>
    <s v="ORD262"/>
    <d v="2024-09-01T00:00:00"/>
    <x v="4"/>
    <x v="1"/>
    <s v="Fashion Hub Ltd"/>
    <n v="98"/>
    <n v="117"/>
    <n v="215"/>
    <n v="56"/>
    <n v="48"/>
    <n v="4"/>
    <n v="1541"/>
    <n v="3023"/>
    <n v="0.54418604651162794"/>
    <n v="0.54418604651162794"/>
    <n v="98"/>
    <n v="151018"/>
    <s v="Avg"/>
    <s v="Sep"/>
    <n v="353691"/>
    <n v="156.5"/>
    <n v="0.74760383386581475"/>
  </r>
  <r>
    <s v="ORD263"/>
    <d v="2024-06-29T00:00:00"/>
    <x v="1"/>
    <x v="1"/>
    <s v="Fashion Hub Ltd"/>
    <n v="58"/>
    <n v="11"/>
    <n v="69"/>
    <n v="291"/>
    <n v="38"/>
    <n v="11"/>
    <n v="1597"/>
    <n v="2014"/>
    <n v="0.15942028985507245"/>
    <n v="0.15942028985507245"/>
    <n v="58"/>
    <n v="92626"/>
    <s v="Dead Stock"/>
    <s v="Jun"/>
    <n v="22154"/>
    <n v="63.5"/>
    <n v="0.17322834645669291"/>
  </r>
  <r>
    <s v="ORD264"/>
    <d v="2024-07-29T00:00:00"/>
    <x v="6"/>
    <x v="0"/>
    <s v="StyleStreet"/>
    <n v="56"/>
    <n v="107"/>
    <n v="163"/>
    <n v="58"/>
    <n v="36"/>
    <n v="13"/>
    <n v="1233"/>
    <n v="2679"/>
    <n v="0.65644171779141103"/>
    <n v="0.65644171779141103"/>
    <n v="56"/>
    <n v="69048"/>
    <s v="High"/>
    <s v="Jul"/>
    <n v="286653"/>
    <n v="109.5"/>
    <n v="0.97716894977168944"/>
  </r>
  <r>
    <s v="ORD265"/>
    <d v="2024-01-12T00:00:00"/>
    <x v="5"/>
    <x v="2"/>
    <s v="StyleStreet"/>
    <n v="108"/>
    <n v="117"/>
    <n v="225"/>
    <n v="104"/>
    <n v="57"/>
    <n v="2"/>
    <n v="1220"/>
    <n v="2236"/>
    <n v="0.52"/>
    <n v="0.52"/>
    <n v="108"/>
    <n v="131760"/>
    <s v="Avg"/>
    <s v="Jan"/>
    <n v="261612"/>
    <n v="166.5"/>
    <n v="0.70270270270270274"/>
  </r>
  <r>
    <s v="ORD266"/>
    <d v="2024-04-07T00:00:00"/>
    <x v="5"/>
    <x v="1"/>
    <s v="StyleStreet"/>
    <s v="Not Available"/>
    <n v="30"/>
    <s v="-"/>
    <n v="15"/>
    <n v="38"/>
    <n v="14"/>
    <n v="753"/>
    <n v="969"/>
    <e v="#VALUE!"/>
    <s v="incomplete"/>
    <s v="Not Available"/>
    <n v="0"/>
    <s v="High"/>
    <s v="Apr"/>
    <n v="29070"/>
    <s v="-"/>
    <s v="-"/>
  </r>
  <r>
    <s v="ORD267"/>
    <d v="2024-07-21T00:00:00"/>
    <x v="3"/>
    <x v="0"/>
    <s v="StyleStreet"/>
    <n v="106"/>
    <n v="50"/>
    <n v="156"/>
    <n v="111"/>
    <n v="43"/>
    <n v="2"/>
    <n v="1368"/>
    <n v="1744"/>
    <n v="0.32051282051282054"/>
    <n v="0.32051282051282054"/>
    <n v="106"/>
    <n v="145008"/>
    <s v="Avg"/>
    <s v="Jul"/>
    <n v="87200"/>
    <n v="131"/>
    <n v="0.38167938931297712"/>
  </r>
  <r>
    <s v="ORD268"/>
    <d v="2024-09-11T00:00:00"/>
    <x v="7"/>
    <x v="1"/>
    <s v="Urban Wear Co"/>
    <n v="123"/>
    <n v="82"/>
    <n v="205"/>
    <n v="226"/>
    <n v="71"/>
    <n v="2"/>
    <n v="1410"/>
    <n v="2347"/>
    <n v="0.4"/>
    <n v="0.4"/>
    <n v="123"/>
    <n v="173430"/>
    <s v="Avg"/>
    <s v="Sep"/>
    <n v="192454"/>
    <n v="164"/>
    <n v="0.5"/>
  </r>
  <r>
    <s v="ORD269"/>
    <d v="2024-04-28T00:00:00"/>
    <x v="1"/>
    <x v="1"/>
    <s v="Urban Wear Co"/>
    <n v="98"/>
    <n v="55"/>
    <n v="153"/>
    <n v="236"/>
    <n v="49"/>
    <n v="8"/>
    <n v="1162"/>
    <n v="2008"/>
    <n v="0.35947712418300654"/>
    <n v="0.35947712418300654"/>
    <n v="98"/>
    <n v="113876"/>
    <s v="Avg"/>
    <s v="Apr"/>
    <n v="110440"/>
    <n v="125.5"/>
    <n v="0.43824701195219123"/>
  </r>
  <r>
    <s v="ORD270"/>
    <d v="2024-01-14T00:00:00"/>
    <x v="7"/>
    <x v="1"/>
    <s v="Clothify"/>
    <n v="39"/>
    <n v="11"/>
    <n v="50"/>
    <n v="187"/>
    <n v="39"/>
    <n v="10"/>
    <n v="1961"/>
    <n v="3381"/>
    <n v="0.22"/>
    <n v="0.22"/>
    <n v="39"/>
    <n v="76479"/>
    <s v="Dead Stock"/>
    <s v="Jan"/>
    <n v="37191"/>
    <n v="44.5"/>
    <n v="0.24719101123595505"/>
  </r>
  <r>
    <s v="ORD271"/>
    <d v="2024-03-31T00:00:00"/>
    <x v="0"/>
    <x v="0"/>
    <s v="Fashion Hub Ltd"/>
    <n v="44"/>
    <n v="76"/>
    <n v="120"/>
    <n v="271"/>
    <n v="61"/>
    <n v="13"/>
    <n v="1569"/>
    <n v="2347"/>
    <n v="0.6333333333333333"/>
    <n v="0.6333333333333333"/>
    <n v="44"/>
    <n v="69036"/>
    <s v="High"/>
    <s v="Mar"/>
    <n v="178372"/>
    <n v="82"/>
    <n v="0.92682926829268297"/>
  </r>
  <r>
    <s v="ORD272"/>
    <d v="2024-08-01T00:00:00"/>
    <x v="3"/>
    <x v="2"/>
    <s v="Urban Wear Co"/>
    <n v="56"/>
    <n v="62"/>
    <n v="118"/>
    <n v="156"/>
    <n v="79"/>
    <n v="7"/>
    <n v="1786"/>
    <n v="3028"/>
    <n v="0.52542372881355937"/>
    <n v="0.52542372881355937"/>
    <n v="56"/>
    <n v="100016"/>
    <s v="Avg"/>
    <s v="Aug"/>
    <n v="187736"/>
    <n v="87"/>
    <n v="0.71264367816091956"/>
  </r>
  <r>
    <s v="ORD273"/>
    <d v="2024-01-17T00:00:00"/>
    <x v="6"/>
    <x v="1"/>
    <s v="Clothify"/>
    <n v="47"/>
    <n v="70"/>
    <n v="117"/>
    <n v="54"/>
    <n v="58"/>
    <n v="8"/>
    <n v="616"/>
    <n v="1283"/>
    <n v="0.59829059829059827"/>
    <n v="0.59829059829059827"/>
    <n v="47"/>
    <n v="28952"/>
    <s v="Avg"/>
    <s v="Jan"/>
    <n v="89810"/>
    <n v="82"/>
    <n v="0.85365853658536583"/>
  </r>
  <r>
    <s v="ORD274"/>
    <d v="2024-09-30T00:00:00"/>
    <x v="6"/>
    <x v="2"/>
    <s v="Clothify"/>
    <n v="48"/>
    <n v="96"/>
    <n v="144"/>
    <n v="75"/>
    <n v="57"/>
    <n v="5"/>
    <n v="885"/>
    <n v="1210"/>
    <n v="0.66666666666666663"/>
    <n v="0.66666666666666663"/>
    <n v="48"/>
    <n v="42480"/>
    <s v="High"/>
    <s v="Sep"/>
    <n v="116160"/>
    <n v="96"/>
    <n v="1"/>
  </r>
  <r>
    <s v="ORD275"/>
    <d v="2024-07-29T00:00:00"/>
    <x v="1"/>
    <x v="2"/>
    <s v="Urban Wear Co"/>
    <n v="23"/>
    <n v="94"/>
    <n v="117"/>
    <n v="5"/>
    <n v="57"/>
    <n v="6"/>
    <n v="1819"/>
    <n v="2549"/>
    <n v="0.80341880341880345"/>
    <n v="0.80341880341880345"/>
    <n v="23"/>
    <n v="41837"/>
    <s v="High"/>
    <s v="Jul"/>
    <n v="239606"/>
    <n v="70"/>
    <n v="1.3428571428571427"/>
  </r>
  <r>
    <s v="ORD276"/>
    <d v="2024-12-13T00:00:00"/>
    <x v="2"/>
    <x v="2"/>
    <s v="StyleStreet"/>
    <n v="10"/>
    <n v="29"/>
    <n v="39"/>
    <n v="249"/>
    <n v="55"/>
    <n v="13"/>
    <n v="2000"/>
    <n v="2776"/>
    <n v="0.74358974358974361"/>
    <n v="0.74358974358974361"/>
    <n v="10"/>
    <n v="20000"/>
    <s v="High"/>
    <s v="Dec"/>
    <n v="80504"/>
    <n v="24.5"/>
    <n v="1.1836734693877551"/>
  </r>
  <r>
    <s v="ORD277"/>
    <d v="2024-02-18T00:00:00"/>
    <x v="2"/>
    <x v="1"/>
    <s v="StyleStreet"/>
    <n v="58"/>
    <n v="86"/>
    <n v="144"/>
    <n v="287"/>
    <n v="67"/>
    <n v="6"/>
    <n v="1278"/>
    <n v="2007"/>
    <n v="0.59722222222222221"/>
    <n v="0.59722222222222221"/>
    <n v="58"/>
    <n v="74124"/>
    <s v="Avg"/>
    <s v="Feb"/>
    <n v="172602"/>
    <n v="101"/>
    <n v="0.85148514851485146"/>
  </r>
  <r>
    <s v="ORD278"/>
    <d v="2024-06-26T00:00:00"/>
    <x v="7"/>
    <x v="0"/>
    <s v="Urban Wear Co"/>
    <n v="73"/>
    <n v="77"/>
    <n v="150"/>
    <n v="229"/>
    <n v="54"/>
    <n v="9"/>
    <n v="228"/>
    <n v="1593"/>
    <n v="0.51333333333333331"/>
    <n v="0.51333333333333331"/>
    <n v="73"/>
    <n v="16644"/>
    <s v="Avg"/>
    <s v="Jun"/>
    <n v="122661"/>
    <n v="111.5"/>
    <n v="0.6905829596412556"/>
  </r>
  <r>
    <s v="ORD279"/>
    <d v="2024-12-09T00:00:00"/>
    <x v="2"/>
    <x v="2"/>
    <s v="StyleStreet"/>
    <n v="120"/>
    <n v="12"/>
    <n v="132"/>
    <n v="9"/>
    <n v="42"/>
    <n v="15"/>
    <n v="994"/>
    <n v="1861"/>
    <n v="9.0909090909090912E-2"/>
    <n v="9.0909090909090912E-2"/>
    <n v="120"/>
    <n v="119280"/>
    <s v="Dead Stock"/>
    <s v="Dec"/>
    <n v="22332"/>
    <n v="126"/>
    <n v="9.5238095238095233E-2"/>
  </r>
  <r>
    <s v="ORD280"/>
    <d v="2024-05-23T00:00:00"/>
    <x v="5"/>
    <x v="2"/>
    <s v="Fashion Hub Ltd"/>
    <n v="14"/>
    <n v="91"/>
    <n v="105"/>
    <n v="220"/>
    <n v="77"/>
    <n v="6"/>
    <n v="1730"/>
    <n v="2116"/>
    <n v="0.8666666666666667"/>
    <n v="0.8666666666666667"/>
    <n v="14"/>
    <n v="24220"/>
    <s v="High"/>
    <s v="May"/>
    <n v="192556"/>
    <n v="59.5"/>
    <n v="1.5294117647058822"/>
  </r>
  <r>
    <s v="ORD281"/>
    <d v="2024-05-02T00:00:00"/>
    <x v="2"/>
    <x v="0"/>
    <s v="Fashion Hub Ltd"/>
    <n v="59"/>
    <n v="51"/>
    <n v="110"/>
    <n v="180"/>
    <n v="64"/>
    <n v="8"/>
    <n v="232"/>
    <n v="1307"/>
    <n v="0.46363636363636362"/>
    <n v="0.46363636363636362"/>
    <n v="59"/>
    <n v="13688"/>
    <s v="Avg"/>
    <s v="May"/>
    <n v="66657"/>
    <n v="84.5"/>
    <n v="0.60355029585798814"/>
  </r>
  <r>
    <s v="ORD282"/>
    <d v="2024-04-06T00:00:00"/>
    <x v="6"/>
    <x v="0"/>
    <s v="Urban Wear Co"/>
    <n v="102"/>
    <n v="34"/>
    <n v="136"/>
    <n v="4"/>
    <n v="35"/>
    <n v="10"/>
    <n v="1115"/>
    <n v="1908"/>
    <n v="0.25"/>
    <n v="0.25"/>
    <n v="102"/>
    <n v="113730"/>
    <s v="Dead Stock"/>
    <s v="Apr"/>
    <n v="64872"/>
    <n v="119"/>
    <n v="0.2857142857142857"/>
  </r>
  <r>
    <s v="ORD283"/>
    <d v="2024-04-12T00:00:00"/>
    <x v="1"/>
    <x v="2"/>
    <s v="Urban Wear Co"/>
    <n v="16"/>
    <n v="17"/>
    <n v="33"/>
    <n v="74"/>
    <n v="46"/>
    <n v="2"/>
    <n v="1913"/>
    <n v="2613"/>
    <n v="0.51515151515151514"/>
    <n v="0.51515151515151514"/>
    <n v="16"/>
    <n v="30608"/>
    <s v="Avg"/>
    <s v="Apr"/>
    <n v="44421"/>
    <n v="24.5"/>
    <n v="0.69387755102040816"/>
  </r>
  <r>
    <s v="ORD284"/>
    <d v="2024-06-16T00:00:00"/>
    <x v="3"/>
    <x v="2"/>
    <s v="StyleStreet"/>
    <n v="62"/>
    <n v="80"/>
    <n v="142"/>
    <n v="193"/>
    <n v="72"/>
    <n v="2"/>
    <n v="490"/>
    <n v="1768"/>
    <n v="0.56338028169014087"/>
    <n v="0.56338028169014087"/>
    <n v="62"/>
    <n v="30380"/>
    <s v="Avg"/>
    <s v="Jun"/>
    <n v="141440"/>
    <n v="102"/>
    <n v="0.78431372549019607"/>
  </r>
  <r>
    <s v="ORD285"/>
    <d v="2024-09-01T00:00:00"/>
    <x v="0"/>
    <x v="0"/>
    <s v="Fashion Hub Ltd"/>
    <n v="96"/>
    <n v="39"/>
    <n v="135"/>
    <n v="132"/>
    <n v="65"/>
    <n v="13"/>
    <n v="378"/>
    <n v="1195"/>
    <n v="0.28888888888888886"/>
    <n v="0.28888888888888886"/>
    <n v="96"/>
    <n v="36288"/>
    <s v="Dead Stock"/>
    <s v="Sep"/>
    <n v="46605"/>
    <n v="115.5"/>
    <n v="0.33766233766233766"/>
  </r>
  <r>
    <s v="ORD286"/>
    <d v="2024-03-29T00:00:00"/>
    <x v="4"/>
    <x v="1"/>
    <s v="Clothify"/>
    <n v="127"/>
    <n v="15"/>
    <n v="142"/>
    <n v="83"/>
    <n v="64"/>
    <n v="13"/>
    <n v="991"/>
    <n v="2331"/>
    <n v="0.10563380281690141"/>
    <n v="0.10563380281690141"/>
    <n v="127"/>
    <n v="125857"/>
    <s v="Dead Stock"/>
    <s v="Mar"/>
    <n v="34965"/>
    <n v="134.5"/>
    <n v="0.11152416356877323"/>
  </r>
  <r>
    <s v="ORD287"/>
    <d v="2024-08-19T00:00:00"/>
    <x v="3"/>
    <x v="2"/>
    <s v="Clothify"/>
    <n v="116"/>
    <n v="81"/>
    <n v="197"/>
    <n v="207"/>
    <n v="36"/>
    <n v="2"/>
    <n v="827"/>
    <n v="1920"/>
    <n v="0.41116751269035534"/>
    <n v="0.41116751269035534"/>
    <n v="116"/>
    <n v="95932"/>
    <s v="Avg"/>
    <s v="Aug"/>
    <n v="155520"/>
    <n v="156.5"/>
    <n v="0.51757188498402551"/>
  </r>
  <r>
    <s v="ORD288"/>
    <d v="2024-05-03T00:00:00"/>
    <x v="3"/>
    <x v="2"/>
    <s v="Fashion Hub Ltd"/>
    <n v="75"/>
    <n v="84"/>
    <n v="159"/>
    <n v="125"/>
    <n v="69"/>
    <n v="11"/>
    <n v="957"/>
    <n v="2216"/>
    <n v="0.52830188679245282"/>
    <n v="0.52830188679245282"/>
    <n v="75"/>
    <n v="71775"/>
    <s v="Avg"/>
    <s v="May"/>
    <n v="186144"/>
    <n v="117"/>
    <n v="0.71794871794871795"/>
  </r>
  <r>
    <s v="ORD289"/>
    <d v="2024-07-10T00:00:00"/>
    <x v="6"/>
    <x v="0"/>
    <s v="Fashion Hub Ltd"/>
    <n v="90"/>
    <n v="42"/>
    <n v="132"/>
    <n v="126"/>
    <n v="47"/>
    <n v="14"/>
    <n v="1347"/>
    <n v="2833"/>
    <n v="0.31818181818181818"/>
    <n v="0.31818181818181818"/>
    <n v="90"/>
    <n v="121230"/>
    <s v="Avg"/>
    <s v="Jul"/>
    <n v="118986"/>
    <n v="111"/>
    <n v="0.3783783783783784"/>
  </r>
  <r>
    <s v="ORD290"/>
    <d v="2024-08-04T00:00:00"/>
    <x v="6"/>
    <x v="1"/>
    <s v="Fashion Hub Ltd"/>
    <n v="32"/>
    <n v="116"/>
    <n v="148"/>
    <n v="62"/>
    <n v="40"/>
    <n v="11"/>
    <n v="1576"/>
    <n v="2774"/>
    <n v="0.78378378378378377"/>
    <n v="0.78378378378378377"/>
    <n v="32"/>
    <n v="50432"/>
    <s v="High"/>
    <s v="Aug"/>
    <n v="321784"/>
    <n v="90"/>
    <n v="1.288888888888889"/>
  </r>
  <r>
    <s v="ORD291"/>
    <d v="2024-08-23T00:00:00"/>
    <x v="7"/>
    <x v="1"/>
    <s v="Urban Wear Co"/>
    <n v="131"/>
    <n v="21"/>
    <n v="152"/>
    <n v="1"/>
    <n v="58"/>
    <n v="9"/>
    <n v="591"/>
    <n v="1121"/>
    <n v="0.13815789473684212"/>
    <n v="0.13815789473684212"/>
    <n v="131"/>
    <n v="77421"/>
    <s v="Dead Stock"/>
    <s v="Aug"/>
    <n v="23541"/>
    <n v="141.5"/>
    <n v="0.14840989399293286"/>
  </r>
  <r>
    <s v="ORD292"/>
    <d v="2024-07-31T00:00:00"/>
    <x v="2"/>
    <x v="2"/>
    <s v="Clothify"/>
    <n v="82"/>
    <n v="23"/>
    <n v="105"/>
    <n v="285"/>
    <n v="52"/>
    <n v="8"/>
    <n v="604"/>
    <n v="719"/>
    <n v="0.21904761904761905"/>
    <n v="0.21904761904761905"/>
    <n v="82"/>
    <n v="49528"/>
    <s v="Dead Stock"/>
    <s v="Jul"/>
    <n v="16537"/>
    <n v="93.5"/>
    <n v="0.24598930481283424"/>
  </r>
  <r>
    <s v="ORD293"/>
    <d v="2024-08-16T00:00:00"/>
    <x v="6"/>
    <x v="0"/>
    <s v="Clothify"/>
    <n v="106"/>
    <n v="41"/>
    <n v="147"/>
    <n v="37"/>
    <n v="70"/>
    <n v="6"/>
    <n v="1527"/>
    <n v="1671"/>
    <n v="0.27891156462585032"/>
    <n v="0.27891156462585032"/>
    <n v="106"/>
    <n v="161862"/>
    <s v="Dead Stock"/>
    <s v="Aug"/>
    <n v="68511"/>
    <n v="126.5"/>
    <n v="0.32411067193675891"/>
  </r>
  <r>
    <s v="ORD294"/>
    <d v="2024-08-17T00:00:00"/>
    <x v="6"/>
    <x v="1"/>
    <s v="Fashion Hub Ltd"/>
    <n v="148"/>
    <n v="69"/>
    <n v="217"/>
    <n v="23"/>
    <n v="70"/>
    <n v="2"/>
    <n v="1853"/>
    <n v="3193"/>
    <n v="0.31797235023041476"/>
    <n v="0.31797235023041476"/>
    <n v="148"/>
    <n v="274244"/>
    <s v="Avg"/>
    <s v="Aug"/>
    <n v="220317"/>
    <n v="182.5"/>
    <n v="0.37808219178082192"/>
  </r>
  <r>
    <s v="ORD295"/>
    <d v="2024-06-08T00:00:00"/>
    <x v="7"/>
    <x v="2"/>
    <s v="StyleStreet"/>
    <n v="33"/>
    <n v="77"/>
    <n v="110"/>
    <n v="264"/>
    <n v="72"/>
    <n v="15"/>
    <n v="1954"/>
    <n v="2210"/>
    <n v="0.7"/>
    <n v="0.7"/>
    <n v="33"/>
    <n v="64482"/>
    <s v="High"/>
    <s v="Jun"/>
    <n v="170170"/>
    <n v="71.5"/>
    <n v="1.0769230769230769"/>
  </r>
  <r>
    <s v="ORD296"/>
    <d v="2024-01-20T00:00:00"/>
    <x v="1"/>
    <x v="1"/>
    <s v="StyleStreet"/>
    <n v="22"/>
    <n v="58"/>
    <n v="80"/>
    <n v="258"/>
    <n v="30"/>
    <n v="2"/>
    <n v="676"/>
    <n v="1456"/>
    <n v="0.72499999999999998"/>
    <n v="0.72499999999999998"/>
    <n v="22"/>
    <n v="14872"/>
    <s v="High"/>
    <s v="Jan"/>
    <n v="84448"/>
    <n v="51"/>
    <n v="1.1372549019607843"/>
  </r>
  <r>
    <s v="ORD297"/>
    <d v="2024-07-11T00:00:00"/>
    <x v="7"/>
    <x v="2"/>
    <s v="Not Available"/>
    <n v="87"/>
    <n v="52"/>
    <n v="139"/>
    <n v="15"/>
    <n v="72"/>
    <n v="4"/>
    <n v="1125"/>
    <n v="2478"/>
    <n v="0.37410071942446044"/>
    <n v="0.37410071942446044"/>
    <n v="87"/>
    <n v="97875"/>
    <s v="Avg"/>
    <s v="Jul"/>
    <n v="128856"/>
    <n v="113"/>
    <n v="0.46017699115044247"/>
  </r>
  <r>
    <s v="ORD298"/>
    <d v="2024-12-27T00:00:00"/>
    <x v="1"/>
    <x v="2"/>
    <s v="Clothify"/>
    <n v="93"/>
    <n v="76"/>
    <n v="169"/>
    <n v="242"/>
    <n v="56"/>
    <n v="4"/>
    <n v="1981"/>
    <n v="3243"/>
    <n v="0.44970414201183434"/>
    <n v="0.44970414201183434"/>
    <n v="93"/>
    <n v="184233"/>
    <s v="Avg"/>
    <s v="Dec"/>
    <n v="246468"/>
    <n v="131"/>
    <n v="0.58015267175572516"/>
  </r>
  <r>
    <s v="ORD299"/>
    <d v="2024-09-17T00:00:00"/>
    <x v="7"/>
    <x v="0"/>
    <s v="Urban Wear Co"/>
    <n v="110"/>
    <n v="7"/>
    <n v="117"/>
    <n v="84"/>
    <n v="59"/>
    <n v="14"/>
    <n v="528"/>
    <n v="847"/>
    <n v="5.9829059829059832E-2"/>
    <n v="5.9829059829059832E-2"/>
    <n v="110"/>
    <n v="58080"/>
    <s v="Dead Stock"/>
    <s v="Sep"/>
    <n v="5929"/>
    <n v="113.5"/>
    <n v="6.1674008810572688E-2"/>
  </r>
  <r>
    <s v="ORD300"/>
    <d v="2024-06-30T00:00:00"/>
    <x v="2"/>
    <x v="0"/>
    <s v="Fashion Hub Ltd"/>
    <n v="118"/>
    <n v="67"/>
    <n v="185"/>
    <n v="279"/>
    <n v="33"/>
    <n v="11"/>
    <n v="1651"/>
    <n v="2186"/>
    <n v="0.36216216216216218"/>
    <n v="0.36216216216216218"/>
    <n v="118"/>
    <n v="194818"/>
    <s v="Avg"/>
    <s v="Jun"/>
    <n v="146462"/>
    <n v="151.5"/>
    <n v="0.44224422442244227"/>
  </r>
  <r>
    <s v="ORD301"/>
    <d v="2024-12-19T00:00:00"/>
    <x v="6"/>
    <x v="1"/>
    <s v="Fashion Hub Ltd"/>
    <n v="94"/>
    <n v="115"/>
    <n v="209"/>
    <n v="91"/>
    <n v="65"/>
    <n v="5"/>
    <n v="1586"/>
    <n v="1954"/>
    <n v="0.55023923444976075"/>
    <n v="0.55023923444976075"/>
    <n v="94"/>
    <n v="149084"/>
    <s v="Avg"/>
    <s v="Dec"/>
    <n v="224710"/>
    <n v="151.5"/>
    <n v="0.75907590759075905"/>
  </r>
  <r>
    <s v="ORD302"/>
    <d v="2024-01-30T00:00:00"/>
    <x v="4"/>
    <x v="1"/>
    <s v="StyleStreet"/>
    <n v="118"/>
    <n v="54"/>
    <n v="172"/>
    <n v="185"/>
    <n v="56"/>
    <n v="7"/>
    <n v="1207"/>
    <n v="1837"/>
    <n v="0.31395348837209303"/>
    <n v="0.31395348837209303"/>
    <n v="118"/>
    <n v="142426"/>
    <s v="Avg"/>
    <s v="Jan"/>
    <n v="99198"/>
    <n v="145"/>
    <n v="0.3724137931034483"/>
  </r>
  <r>
    <s v="ORD303"/>
    <d v="2024-02-19T00:00:00"/>
    <x v="0"/>
    <x v="0"/>
    <s v="StyleStreet"/>
    <n v="28"/>
    <n v="23"/>
    <n v="51"/>
    <n v="97"/>
    <n v="67"/>
    <n v="15"/>
    <n v="244"/>
    <n v="1365"/>
    <n v="0.45098039215686275"/>
    <n v="0.45098039215686275"/>
    <n v="28"/>
    <n v="6832"/>
    <s v="Avg"/>
    <s v="Feb"/>
    <n v="31395"/>
    <n v="39.5"/>
    <n v="0.58227848101265822"/>
  </r>
  <r>
    <s v="ORD304"/>
    <d v="2024-05-05T00:00:00"/>
    <x v="4"/>
    <x v="0"/>
    <s v="Clothify"/>
    <n v="62"/>
    <n v="114"/>
    <n v="176"/>
    <n v="27"/>
    <n v="79"/>
    <n v="15"/>
    <n v="871"/>
    <n v="1599"/>
    <n v="0.64772727272727271"/>
    <n v="0.64772727272727271"/>
    <n v="62"/>
    <n v="54002"/>
    <s v="High"/>
    <s v="May"/>
    <n v="182286"/>
    <n v="119"/>
    <n v="0.95798319327731096"/>
  </r>
  <r>
    <s v="ORD305"/>
    <d v="2024-07-07T00:00:00"/>
    <x v="7"/>
    <x v="2"/>
    <s v="Urban Wear Co"/>
    <n v="68"/>
    <n v="31"/>
    <n v="99"/>
    <n v="206"/>
    <n v="68"/>
    <n v="13"/>
    <n v="1162"/>
    <n v="2627"/>
    <n v="0.31313131313131315"/>
    <n v="0.31313131313131315"/>
    <n v="68"/>
    <n v="79016"/>
    <s v="Avg"/>
    <s v="Jul"/>
    <n v="81437"/>
    <n v="83.5"/>
    <n v="0.3712574850299401"/>
  </r>
  <r>
    <s v="ORD306"/>
    <d v="2024-12-19T00:00:00"/>
    <x v="6"/>
    <x v="0"/>
    <s v="StyleStreet"/>
    <n v="117"/>
    <n v="94"/>
    <n v="211"/>
    <n v="205"/>
    <n v="42"/>
    <n v="10"/>
    <n v="1668"/>
    <n v="2127"/>
    <n v="0.44549763033175355"/>
    <n v="0.44549763033175355"/>
    <n v="117"/>
    <n v="195156"/>
    <s v="Avg"/>
    <s v="Dec"/>
    <n v="199938"/>
    <n v="164"/>
    <n v="0.57317073170731703"/>
  </r>
  <r>
    <s v="ORD307"/>
    <d v="2024-09-25T00:00:00"/>
    <x v="0"/>
    <x v="0"/>
    <s v="Clothify"/>
    <n v="51"/>
    <n v="3"/>
    <n v="54"/>
    <n v="253"/>
    <n v="52"/>
    <n v="3"/>
    <n v="1145"/>
    <n v="2439"/>
    <n v="5.5555555555555552E-2"/>
    <n v="5.5555555555555552E-2"/>
    <n v="51"/>
    <n v="58395"/>
    <s v="Dead Stock"/>
    <s v="Sep"/>
    <n v="7317"/>
    <n v="52.5"/>
    <n v="5.7142857142857141E-2"/>
  </r>
  <r>
    <s v="ORD308"/>
    <d v="2024-03-18T00:00:00"/>
    <x v="2"/>
    <x v="2"/>
    <s v="Not Available"/>
    <n v="142"/>
    <n v="81"/>
    <n v="223"/>
    <n v="210"/>
    <n v="75"/>
    <n v="7"/>
    <n v="637"/>
    <n v="1112"/>
    <n v="0.3632286995515695"/>
    <n v="0.3632286995515695"/>
    <n v="142"/>
    <n v="90454"/>
    <s v="Avg"/>
    <s v="Mar"/>
    <n v="90072"/>
    <n v="182.5"/>
    <n v="0.44383561643835617"/>
  </r>
  <r>
    <s v="ORD309"/>
    <d v="2024-07-21T00:00:00"/>
    <x v="5"/>
    <x v="1"/>
    <s v="Clothify"/>
    <n v="45"/>
    <n v="84"/>
    <n v="129"/>
    <n v="192"/>
    <n v="39"/>
    <n v="10"/>
    <n v="968"/>
    <n v="2276"/>
    <n v="0.65116279069767447"/>
    <n v="0.65116279069767447"/>
    <n v="45"/>
    <n v="43560"/>
    <s v="High"/>
    <s v="Jul"/>
    <n v="191184"/>
    <n v="87"/>
    <n v="0.96551724137931039"/>
  </r>
  <r>
    <s v="ORD310"/>
    <d v="2024-12-20T00:00:00"/>
    <x v="0"/>
    <x v="0"/>
    <s v="Urban Wear Co"/>
    <n v="11"/>
    <n v="56"/>
    <n v="67"/>
    <n v="285"/>
    <n v="71"/>
    <n v="9"/>
    <n v="594"/>
    <n v="767"/>
    <n v="0.83582089552238803"/>
    <n v="0.83582089552238803"/>
    <n v="11"/>
    <n v="6534"/>
    <s v="High"/>
    <s v="Dec"/>
    <n v="42952"/>
    <n v="39"/>
    <n v="1.4358974358974359"/>
  </r>
  <r>
    <s v="ORD311"/>
    <d v="2024-11-06T00:00:00"/>
    <x v="7"/>
    <x v="2"/>
    <s v="Fashion Hub Ltd"/>
    <n v="99"/>
    <n v="83"/>
    <n v="182"/>
    <n v="289"/>
    <n v="36"/>
    <n v="4"/>
    <n v="484"/>
    <n v="1141"/>
    <n v="0.45604395604395603"/>
    <n v="0.45604395604395603"/>
    <n v="99"/>
    <n v="47916"/>
    <s v="Avg"/>
    <s v="Nov"/>
    <n v="94703"/>
    <n v="140.5"/>
    <n v="0.59074733096085408"/>
  </r>
  <r>
    <s v="ORD312"/>
    <d v="2024-06-27T00:00:00"/>
    <x v="4"/>
    <x v="2"/>
    <s v="Fashion Hub Ltd"/>
    <n v="122"/>
    <n v="56"/>
    <n v="178"/>
    <n v="52"/>
    <n v="58"/>
    <n v="15"/>
    <n v="270"/>
    <n v="1706"/>
    <n v="0.3146067415730337"/>
    <n v="0.3146067415730337"/>
    <n v="122"/>
    <n v="32940"/>
    <s v="Avg"/>
    <s v="Jun"/>
    <n v="95536"/>
    <n v="150"/>
    <n v="0.37333333333333335"/>
  </r>
  <r>
    <s v="ORD313"/>
    <d v="2024-08-20T00:00:00"/>
    <x v="2"/>
    <x v="0"/>
    <s v="Fashion Hub Ltd"/>
    <n v="46"/>
    <n v="100"/>
    <n v="146"/>
    <n v="201"/>
    <n v="38"/>
    <n v="13"/>
    <n v="212"/>
    <n v="357"/>
    <n v="0.68493150684931503"/>
    <n v="0.68493150684931503"/>
    <n v="46"/>
    <n v="9752"/>
    <s v="High"/>
    <s v="Aug"/>
    <n v="35700"/>
    <n v="96"/>
    <n v="1.0416666666666667"/>
  </r>
  <r>
    <s v="ORD314"/>
    <d v="2024-06-23T00:00:00"/>
    <x v="4"/>
    <x v="1"/>
    <s v="Clothify"/>
    <n v="147"/>
    <n v="61"/>
    <n v="208"/>
    <n v="37"/>
    <n v="55"/>
    <n v="9"/>
    <n v="1346"/>
    <n v="2252"/>
    <n v="0.29326923076923078"/>
    <n v="0.29326923076923078"/>
    <n v="147"/>
    <n v="197862"/>
    <s v="Dead Stock"/>
    <s v="Jun"/>
    <n v="137372"/>
    <n v="177.5"/>
    <n v="0.3436619718309859"/>
  </r>
  <r>
    <s v="ORD315"/>
    <d v="2024-12-19T00:00:00"/>
    <x v="7"/>
    <x v="1"/>
    <s v="Not Available"/>
    <n v="65"/>
    <n v="17"/>
    <n v="82"/>
    <n v="201"/>
    <n v="43"/>
    <n v="4"/>
    <n v="1906"/>
    <n v="2098"/>
    <n v="0.2073170731707317"/>
    <n v="0.2073170731707317"/>
    <n v="65"/>
    <n v="123890"/>
    <s v="Dead Stock"/>
    <s v="Dec"/>
    <n v="35666"/>
    <n v="73.5"/>
    <n v="0.23129251700680273"/>
  </r>
  <r>
    <s v="ORD316"/>
    <d v="2024-12-19T00:00:00"/>
    <x v="1"/>
    <x v="0"/>
    <s v="Fashion Hub Ltd"/>
    <n v="102"/>
    <n v="82"/>
    <n v="184"/>
    <n v="51"/>
    <n v="34"/>
    <n v="9"/>
    <n v="700"/>
    <n v="1962"/>
    <n v="0.44565217391304346"/>
    <n v="0.44565217391304346"/>
    <n v="102"/>
    <n v="71400"/>
    <s v="Avg"/>
    <s v="Dec"/>
    <n v="160884"/>
    <n v="143"/>
    <n v="0.57342657342657344"/>
  </r>
  <r>
    <s v="ORD317"/>
    <d v="2024-01-05T00:00:00"/>
    <x v="1"/>
    <x v="1"/>
    <s v="Not Available"/>
    <s v="Not Available"/>
    <n v="13"/>
    <s v="-"/>
    <n v="198"/>
    <n v="76"/>
    <n v="15"/>
    <n v="1968"/>
    <n v="2630"/>
    <e v="#VALUE!"/>
    <s v="incomplete"/>
    <s v="Not Available"/>
    <n v="0"/>
    <s v="High"/>
    <s v="Jan"/>
    <n v="34190"/>
    <s v="-"/>
    <s v="-"/>
  </r>
  <r>
    <s v="ORD318"/>
    <d v="2024-06-02T00:00:00"/>
    <x v="3"/>
    <x v="1"/>
    <s v="Fashion Hub Ltd"/>
    <n v="24"/>
    <n v="39"/>
    <n v="63"/>
    <n v="198"/>
    <n v="53"/>
    <n v="9"/>
    <n v="1723"/>
    <n v="2221"/>
    <n v="0.61904761904761907"/>
    <n v="0.61904761904761907"/>
    <n v="24"/>
    <n v="41352"/>
    <s v="High"/>
    <s v="Jun"/>
    <n v="86619"/>
    <n v="43.5"/>
    <n v="0.89655172413793105"/>
  </r>
  <r>
    <s v="ORD319"/>
    <d v="2024-02-13T00:00:00"/>
    <x v="7"/>
    <x v="0"/>
    <s v="StyleStreet"/>
    <n v="65"/>
    <n v="110"/>
    <n v="175"/>
    <n v="28"/>
    <n v="48"/>
    <n v="3"/>
    <n v="1558"/>
    <n v="1689"/>
    <n v="0.62857142857142856"/>
    <n v="0.62857142857142856"/>
    <n v="65"/>
    <n v="101270"/>
    <s v="High"/>
    <s v="Feb"/>
    <n v="185790"/>
    <n v="120"/>
    <n v="0.91666666666666663"/>
  </r>
  <r>
    <s v="ORD320"/>
    <d v="2024-11-01T00:00:00"/>
    <x v="5"/>
    <x v="2"/>
    <s v="StyleStreet"/>
    <n v="103"/>
    <n v="48"/>
    <n v="151"/>
    <n v="42"/>
    <n v="32"/>
    <n v="11"/>
    <n v="724"/>
    <n v="992"/>
    <n v="0.31788079470198677"/>
    <n v="0.31788079470198677"/>
    <n v="103"/>
    <n v="74572"/>
    <s v="Avg"/>
    <s v="Nov"/>
    <n v="47616"/>
    <n v="127"/>
    <n v="0.37795275590551181"/>
  </r>
  <r>
    <s v="ORD321"/>
    <d v="2024-06-28T00:00:00"/>
    <x v="5"/>
    <x v="1"/>
    <s v="Clothify"/>
    <n v="106"/>
    <n v="117"/>
    <n v="223"/>
    <n v="208"/>
    <n v="34"/>
    <n v="11"/>
    <n v="1749"/>
    <n v="2225"/>
    <n v="0.5246636771300448"/>
    <n v="0.5246636771300448"/>
    <n v="106"/>
    <n v="185394"/>
    <s v="Avg"/>
    <s v="Jun"/>
    <n v="260325"/>
    <n v="164.5"/>
    <n v="0.71124620060790278"/>
  </r>
  <r>
    <s v="ORD322"/>
    <d v="2024-06-27T00:00:00"/>
    <x v="0"/>
    <x v="0"/>
    <s v="Urban Wear Co"/>
    <n v="117"/>
    <n v="67"/>
    <n v="184"/>
    <n v="181"/>
    <n v="67"/>
    <n v="11"/>
    <n v="1842"/>
    <n v="3128"/>
    <n v="0.3641304347826087"/>
    <n v="0.3641304347826087"/>
    <n v="117"/>
    <n v="215514"/>
    <s v="Avg"/>
    <s v="Jun"/>
    <n v="209576"/>
    <n v="150.5"/>
    <n v="0.44518272425249167"/>
  </r>
  <r>
    <s v="ORD323"/>
    <d v="2024-08-29T00:00:00"/>
    <x v="2"/>
    <x v="2"/>
    <s v="Fashion Hub Ltd"/>
    <n v="136"/>
    <n v="7"/>
    <n v="143"/>
    <n v="169"/>
    <n v="37"/>
    <n v="14"/>
    <n v="1426"/>
    <n v="1720"/>
    <n v="4.8951048951048952E-2"/>
    <n v="4.8951048951048952E-2"/>
    <n v="136"/>
    <n v="193936"/>
    <s v="Dead Stock"/>
    <s v="Aug"/>
    <n v="12040"/>
    <n v="139.5"/>
    <n v="5.0179211469534052E-2"/>
  </r>
  <r>
    <s v="ORD324"/>
    <d v="2024-05-16T00:00:00"/>
    <x v="3"/>
    <x v="1"/>
    <s v="Urban Wear Co"/>
    <n v="7"/>
    <n v="64"/>
    <n v="71"/>
    <n v="288"/>
    <n v="77"/>
    <n v="15"/>
    <n v="1028"/>
    <n v="1439"/>
    <n v="0.90140845070422537"/>
    <n v="0.90140845070422537"/>
    <n v="7"/>
    <n v="7196"/>
    <s v="High"/>
    <s v="May"/>
    <n v="92096"/>
    <n v="39"/>
    <n v="1.641025641025641"/>
  </r>
  <r>
    <s v="ORD325"/>
    <d v="2024-11-05T00:00:00"/>
    <x v="2"/>
    <x v="2"/>
    <s v="Clothify"/>
    <n v="95"/>
    <n v="27"/>
    <n v="122"/>
    <n v="54"/>
    <n v="40"/>
    <n v="13"/>
    <n v="1566"/>
    <n v="2047"/>
    <n v="0.22131147540983606"/>
    <n v="0.22131147540983606"/>
    <n v="95"/>
    <n v="148770"/>
    <s v="Dead Stock"/>
    <s v="Nov"/>
    <n v="55269"/>
    <n v="108.5"/>
    <n v="0.24884792626728111"/>
  </r>
  <r>
    <s v="ORD326"/>
    <d v="2024-03-18T00:00:00"/>
    <x v="5"/>
    <x v="1"/>
    <s v="Fashion Hub Ltd"/>
    <n v="119"/>
    <n v="36"/>
    <n v="155"/>
    <n v="221"/>
    <n v="78"/>
    <n v="14"/>
    <n v="402"/>
    <n v="795"/>
    <n v="0.23225806451612904"/>
    <n v="0.23225806451612904"/>
    <n v="119"/>
    <n v="47838"/>
    <s v="Dead Stock"/>
    <s v="Mar"/>
    <n v="28620"/>
    <n v="137"/>
    <n v="0.26277372262773724"/>
  </r>
  <r>
    <s v="ORD327"/>
    <d v="2024-08-26T00:00:00"/>
    <x v="2"/>
    <x v="0"/>
    <s v="StyleStreet"/>
    <n v="107"/>
    <n v="36"/>
    <n v="143"/>
    <n v="11"/>
    <n v="66"/>
    <n v="12"/>
    <n v="1893"/>
    <n v="3007"/>
    <n v="0.25174825174825177"/>
    <n v="0.25174825174825177"/>
    <n v="107"/>
    <n v="202551"/>
    <s v="Dead Stock"/>
    <s v="Aug"/>
    <n v="108252"/>
    <n v="125"/>
    <n v="0.28799999999999998"/>
  </r>
  <r>
    <s v="ORD328"/>
    <d v="2024-07-21T00:00:00"/>
    <x v="7"/>
    <x v="2"/>
    <s v="Urban Wear Co"/>
    <n v="53"/>
    <n v="42"/>
    <n v="95"/>
    <n v="275"/>
    <n v="40"/>
    <n v="2"/>
    <n v="471"/>
    <n v="1551"/>
    <n v="0.44210526315789472"/>
    <n v="0.44210526315789472"/>
    <n v="53"/>
    <n v="24963"/>
    <s v="Avg"/>
    <s v="Jul"/>
    <n v="65142"/>
    <n v="74"/>
    <n v="0.56756756756756754"/>
  </r>
  <r>
    <s v="ORD329"/>
    <d v="2024-05-15T00:00:00"/>
    <x v="6"/>
    <x v="0"/>
    <s v="Urban Wear Co"/>
    <n v="149"/>
    <n v="51"/>
    <n v="200"/>
    <n v="100"/>
    <n v="41"/>
    <n v="9"/>
    <n v="920"/>
    <n v="2308"/>
    <n v="0.255"/>
    <n v="0.255"/>
    <n v="149"/>
    <n v="137080"/>
    <s v="Dead Stock"/>
    <s v="May"/>
    <n v="117708"/>
    <n v="174.5"/>
    <n v="0.29226361031518627"/>
  </r>
  <r>
    <s v="ORD330"/>
    <d v="2024-06-03T00:00:00"/>
    <x v="2"/>
    <x v="1"/>
    <s v="Fashion Hub Ltd"/>
    <n v="112"/>
    <n v="48"/>
    <n v="160"/>
    <n v="183"/>
    <n v="32"/>
    <n v="7"/>
    <n v="570"/>
    <n v="1039"/>
    <n v="0.3"/>
    <n v="0.3"/>
    <n v="112"/>
    <n v="63840"/>
    <s v="Avg"/>
    <s v="Jun"/>
    <n v="49872"/>
    <n v="136"/>
    <n v="0.35294117647058826"/>
  </r>
  <r>
    <s v="ORD331"/>
    <d v="2024-06-06T00:00:00"/>
    <x v="7"/>
    <x v="0"/>
    <s v="Urban Wear Co"/>
    <s v="Not Available"/>
    <n v="64"/>
    <s v="-"/>
    <n v="102"/>
    <n v="65"/>
    <n v="15"/>
    <n v="237"/>
    <n v="1207"/>
    <e v="#VALUE!"/>
    <s v="incomplete"/>
    <s v="Not Available"/>
    <n v="0"/>
    <s v="High"/>
    <s v="Jun"/>
    <n v="77248"/>
    <s v="-"/>
    <s v="-"/>
  </r>
  <r>
    <s v="ORD332"/>
    <d v="2024-05-30T00:00:00"/>
    <x v="0"/>
    <x v="2"/>
    <s v="Urban Wear Co"/>
    <s v="Not Available"/>
    <n v="37"/>
    <s v="-"/>
    <n v="110"/>
    <n v="59"/>
    <n v="9"/>
    <n v="1146"/>
    <n v="1339"/>
    <e v="#VALUE!"/>
    <s v="incomplete"/>
    <s v="Not Available"/>
    <n v="0"/>
    <s v="High"/>
    <s v="May"/>
    <n v="49543"/>
    <s v="-"/>
    <s v="-"/>
  </r>
  <r>
    <s v="ORD333"/>
    <d v="2024-07-08T00:00:00"/>
    <x v="4"/>
    <x v="0"/>
    <s v="Urban Wear Co"/>
    <n v="67"/>
    <n v="76"/>
    <n v="143"/>
    <n v="282"/>
    <n v="38"/>
    <n v="13"/>
    <n v="1028"/>
    <n v="2115"/>
    <n v="0.53146853146853146"/>
    <n v="0.53146853146853146"/>
    <n v="67"/>
    <n v="68876"/>
    <s v="Avg"/>
    <s v="Jul"/>
    <n v="160740"/>
    <n v="105"/>
    <n v="0.72380952380952379"/>
  </r>
  <r>
    <s v="ORD334"/>
    <d v="2024-08-22T00:00:00"/>
    <x v="0"/>
    <x v="0"/>
    <s v="Urban Wear Co"/>
    <n v="99"/>
    <n v="77"/>
    <n v="176"/>
    <n v="148"/>
    <n v="32"/>
    <n v="12"/>
    <n v="296"/>
    <n v="810"/>
    <n v="0.4375"/>
    <n v="0.4375"/>
    <n v="99"/>
    <n v="29304"/>
    <s v="Avg"/>
    <s v="Aug"/>
    <n v="62370"/>
    <n v="137.5"/>
    <n v="0.56000000000000005"/>
  </r>
  <r>
    <s v="ORD335"/>
    <d v="2024-03-04T00:00:00"/>
    <x v="2"/>
    <x v="2"/>
    <s v="Clothify"/>
    <n v="17"/>
    <n v="66"/>
    <n v="83"/>
    <n v="239"/>
    <n v="33"/>
    <n v="7"/>
    <n v="685"/>
    <n v="1918"/>
    <n v="0.79518072289156627"/>
    <n v="0.79518072289156627"/>
    <n v="17"/>
    <n v="11645"/>
    <s v="High"/>
    <s v="Mar"/>
    <n v="126588"/>
    <n v="50"/>
    <n v="1.32"/>
  </r>
  <r>
    <s v="ORD336"/>
    <d v="2024-12-16T00:00:00"/>
    <x v="2"/>
    <x v="2"/>
    <s v="Urban Wear Co"/>
    <n v="6"/>
    <n v="3"/>
    <n v="9"/>
    <n v="100"/>
    <n v="76"/>
    <n v="8"/>
    <n v="480"/>
    <n v="810"/>
    <n v="0.33333333333333331"/>
    <n v="0.33333333333333331"/>
    <n v="6"/>
    <n v="2880"/>
    <s v="Avg"/>
    <s v="Dec"/>
    <n v="2430"/>
    <n v="7.5"/>
    <n v="0.4"/>
  </r>
  <r>
    <s v="ORD337"/>
    <d v="2024-07-13T00:00:00"/>
    <x v="0"/>
    <x v="2"/>
    <s v="Urban Wear Co"/>
    <n v="111"/>
    <n v="31"/>
    <n v="142"/>
    <n v="300"/>
    <n v="69"/>
    <n v="7"/>
    <n v="1652"/>
    <n v="2181"/>
    <n v="0.21830985915492956"/>
    <n v="0.21830985915492956"/>
    <n v="111"/>
    <n v="183372"/>
    <s v="Dead Stock"/>
    <s v="Jul"/>
    <n v="67611"/>
    <n v="126.5"/>
    <n v="0.24505928853754941"/>
  </r>
  <r>
    <s v="ORD338"/>
    <d v="2024-08-06T00:00:00"/>
    <x v="7"/>
    <x v="0"/>
    <s v="Urban Wear Co"/>
    <n v="5"/>
    <n v="97"/>
    <n v="102"/>
    <n v="53"/>
    <n v="54"/>
    <n v="4"/>
    <n v="1130"/>
    <n v="2286"/>
    <n v="0.9509803921568627"/>
    <n v="0.9509803921568627"/>
    <n v="5"/>
    <n v="5650"/>
    <s v="High"/>
    <s v="Aug"/>
    <n v="221742"/>
    <n v="53.5"/>
    <n v="1.8130841121495327"/>
  </r>
  <r>
    <s v="ORD339"/>
    <d v="2024-11-28T00:00:00"/>
    <x v="2"/>
    <x v="0"/>
    <s v="Not Available"/>
    <n v="118"/>
    <n v="62"/>
    <n v="180"/>
    <n v="86"/>
    <n v="70"/>
    <n v="4"/>
    <n v="1893"/>
    <n v="3354"/>
    <n v="0.34444444444444444"/>
    <n v="0.34444444444444444"/>
    <n v="118"/>
    <n v="223374"/>
    <s v="Avg"/>
    <s v="Nov"/>
    <n v="207948"/>
    <n v="149"/>
    <n v="0.41610738255033558"/>
  </r>
  <r>
    <s v="ORD340"/>
    <d v="2024-02-05T00:00:00"/>
    <x v="3"/>
    <x v="1"/>
    <s v="Fashion Hub Ltd"/>
    <n v="89"/>
    <n v="48"/>
    <n v="137"/>
    <n v="72"/>
    <n v="47"/>
    <n v="14"/>
    <n v="686"/>
    <n v="923"/>
    <n v="0.35036496350364965"/>
    <n v="0.35036496350364965"/>
    <n v="89"/>
    <n v="61054"/>
    <s v="Avg"/>
    <s v="Feb"/>
    <n v="44304"/>
    <n v="113"/>
    <n v="0.4247787610619469"/>
  </r>
  <r>
    <s v="ORD341"/>
    <d v="2024-10-31T00:00:00"/>
    <x v="2"/>
    <x v="0"/>
    <s v="Fashion Hub Ltd"/>
    <n v="146"/>
    <n v="48"/>
    <n v="194"/>
    <n v="78"/>
    <n v="48"/>
    <n v="5"/>
    <n v="1859"/>
    <n v="2411"/>
    <n v="0.24742268041237114"/>
    <n v="0.24742268041237114"/>
    <n v="146"/>
    <n v="271414"/>
    <s v="Dead Stock"/>
    <s v="Oct"/>
    <n v="115728"/>
    <n v="170"/>
    <n v="0.28235294117647058"/>
  </r>
  <r>
    <s v="ORD342"/>
    <d v="2024-05-02T00:00:00"/>
    <x v="0"/>
    <x v="1"/>
    <s v="Clothify"/>
    <n v="77"/>
    <n v="33"/>
    <n v="110"/>
    <n v="115"/>
    <n v="76"/>
    <n v="10"/>
    <n v="764"/>
    <n v="1388"/>
    <n v="0.3"/>
    <n v="0.3"/>
    <n v="77"/>
    <n v="58828"/>
    <s v="Avg"/>
    <s v="May"/>
    <n v="45804"/>
    <n v="93.5"/>
    <n v="0.35294117647058826"/>
  </r>
  <r>
    <s v="ORD343"/>
    <d v="2024-11-04T00:00:00"/>
    <x v="7"/>
    <x v="1"/>
    <s v="Urban Wear Co"/>
    <n v="140"/>
    <n v="13"/>
    <n v="153"/>
    <n v="244"/>
    <n v="73"/>
    <n v="8"/>
    <n v="1195"/>
    <n v="2464"/>
    <n v="8.4967320261437912E-2"/>
    <n v="8.4967320261437912E-2"/>
    <n v="140"/>
    <n v="167300"/>
    <s v="Dead Stock"/>
    <s v="Nov"/>
    <n v="32032"/>
    <n v="146.5"/>
    <n v="8.8737201365187715E-2"/>
  </r>
  <r>
    <s v="ORD344"/>
    <d v="2024-12-19T00:00:00"/>
    <x v="5"/>
    <x v="2"/>
    <s v="Fashion Hub Ltd"/>
    <n v="135"/>
    <n v="76"/>
    <n v="211"/>
    <n v="86"/>
    <n v="32"/>
    <n v="11"/>
    <n v="677"/>
    <n v="1849"/>
    <n v="0.36018957345971564"/>
    <n v="0.36018957345971564"/>
    <n v="135"/>
    <n v="91395"/>
    <s v="Avg"/>
    <s v="Dec"/>
    <n v="140524"/>
    <n v="173"/>
    <n v="0.43930635838150289"/>
  </r>
  <r>
    <s v="ORD345"/>
    <d v="2024-09-13T00:00:00"/>
    <x v="0"/>
    <x v="0"/>
    <s v="StyleStreet"/>
    <n v="105"/>
    <n v="108"/>
    <n v="213"/>
    <n v="159"/>
    <n v="35"/>
    <n v="7"/>
    <n v="613"/>
    <n v="1471"/>
    <n v="0.50704225352112675"/>
    <n v="0.50704225352112675"/>
    <n v="105"/>
    <n v="64365"/>
    <s v="Avg"/>
    <s v="Sep"/>
    <n v="158868"/>
    <n v="159"/>
    <n v="0.67924528301886788"/>
  </r>
  <r>
    <s v="ORD346"/>
    <d v="2024-12-18T00:00:00"/>
    <x v="1"/>
    <x v="1"/>
    <s v="Clothify"/>
    <n v="9"/>
    <n v="62"/>
    <n v="71"/>
    <n v="99"/>
    <n v="37"/>
    <n v="8"/>
    <n v="1284"/>
    <n v="2402"/>
    <n v="0.87323943661971826"/>
    <n v="0.87323943661971826"/>
    <n v="9"/>
    <n v="11556"/>
    <s v="High"/>
    <s v="Dec"/>
    <n v="148924"/>
    <n v="40"/>
    <n v="1.55"/>
  </r>
  <r>
    <s v="ORD347"/>
    <d v="2024-09-19T00:00:00"/>
    <x v="7"/>
    <x v="2"/>
    <s v="Urban Wear Co"/>
    <n v="116"/>
    <n v="36"/>
    <n v="152"/>
    <n v="262"/>
    <n v="77"/>
    <n v="15"/>
    <n v="1218"/>
    <n v="2670"/>
    <n v="0.23684210526315788"/>
    <n v="0.23684210526315788"/>
    <n v="116"/>
    <n v="141288"/>
    <s v="Dead Stock"/>
    <s v="Sep"/>
    <n v="96120"/>
    <n v="134"/>
    <n v="0.26865671641791045"/>
  </r>
  <r>
    <s v="ORD348"/>
    <d v="2024-08-01T00:00:00"/>
    <x v="0"/>
    <x v="0"/>
    <s v="Clothify"/>
    <n v="109"/>
    <n v="49"/>
    <n v="158"/>
    <n v="229"/>
    <n v="79"/>
    <n v="15"/>
    <n v="1307"/>
    <n v="1810"/>
    <n v="0.310126582278481"/>
    <n v="0.310126582278481"/>
    <n v="109"/>
    <n v="142463"/>
    <s v="Avg"/>
    <s v="Aug"/>
    <n v="88690"/>
    <n v="133.5"/>
    <n v="0.36704119850187267"/>
  </r>
  <r>
    <s v="ORD349"/>
    <d v="2024-07-25T00:00:00"/>
    <x v="6"/>
    <x v="0"/>
    <s v="Fashion Hub Ltd"/>
    <n v="136"/>
    <n v="18"/>
    <n v="154"/>
    <n v="21"/>
    <n v="55"/>
    <n v="4"/>
    <n v="1777"/>
    <n v="2868"/>
    <n v="0.11688311688311688"/>
    <n v="0.11688311688311688"/>
    <n v="136"/>
    <n v="241672"/>
    <s v="Dead Stock"/>
    <s v="Jul"/>
    <n v="51624"/>
    <n v="145"/>
    <n v="0.12413793103448276"/>
  </r>
  <r>
    <s v="ORD350"/>
    <d v="2024-12-04T00:00:00"/>
    <x v="2"/>
    <x v="0"/>
    <s v="Urban Wear Co"/>
    <n v="68"/>
    <n v="116"/>
    <n v="184"/>
    <n v="53"/>
    <n v="58"/>
    <n v="2"/>
    <n v="1682"/>
    <n v="2843"/>
    <n v="0.63043478260869568"/>
    <n v="0.63043478260869568"/>
    <n v="68"/>
    <n v="114376"/>
    <s v="High"/>
    <s v="Dec"/>
    <n v="329788"/>
    <n v="126"/>
    <n v="0.92063492063492058"/>
  </r>
  <r>
    <s v="ORD351"/>
    <d v="2024-08-02T00:00:00"/>
    <x v="5"/>
    <x v="2"/>
    <s v="StyleStreet"/>
    <n v="68"/>
    <n v="99"/>
    <n v="167"/>
    <n v="69"/>
    <n v="62"/>
    <n v="9"/>
    <n v="1419"/>
    <n v="2074"/>
    <n v="0.59281437125748504"/>
    <n v="0.59281437125748504"/>
    <n v="68"/>
    <n v="96492"/>
    <s v="Avg"/>
    <s v="Aug"/>
    <n v="205326"/>
    <n v="117.5"/>
    <n v="0.8425531914893617"/>
  </r>
  <r>
    <s v="ORD352"/>
    <d v="2024-03-18T00:00:00"/>
    <x v="1"/>
    <x v="1"/>
    <s v="Fashion Hub Ltd"/>
    <n v="82"/>
    <n v="32"/>
    <n v="114"/>
    <n v="253"/>
    <n v="67"/>
    <n v="2"/>
    <n v="1750"/>
    <n v="3162"/>
    <n v="0.2807017543859649"/>
    <n v="0.2807017543859649"/>
    <n v="82"/>
    <n v="143500"/>
    <s v="Dead Stock"/>
    <s v="Mar"/>
    <n v="101184"/>
    <n v="98"/>
    <n v="0.32653061224489793"/>
  </r>
  <r>
    <s v="ORD353"/>
    <d v="2024-08-23T00:00:00"/>
    <x v="5"/>
    <x v="2"/>
    <s v="StyleStreet"/>
    <n v="40"/>
    <n v="15"/>
    <n v="55"/>
    <n v="30"/>
    <n v="52"/>
    <n v="7"/>
    <n v="1667"/>
    <n v="2069"/>
    <n v="0.27272727272727271"/>
    <n v="0.27272727272727271"/>
    <n v="40"/>
    <n v="66680"/>
    <s v="Dead Stock"/>
    <s v="Aug"/>
    <n v="31035"/>
    <n v="47.5"/>
    <n v="0.31578947368421051"/>
  </r>
  <r>
    <s v="ORD354"/>
    <d v="2024-07-23T00:00:00"/>
    <x v="7"/>
    <x v="2"/>
    <s v="Clothify"/>
    <n v="19"/>
    <n v="53"/>
    <n v="72"/>
    <n v="38"/>
    <n v="63"/>
    <n v="8"/>
    <n v="546"/>
    <n v="746"/>
    <n v="0.73611111111111116"/>
    <n v="0.73611111111111116"/>
    <n v="19"/>
    <n v="10374"/>
    <s v="High"/>
    <s v="Jul"/>
    <n v="39538"/>
    <n v="45.5"/>
    <n v="1.1648351648351649"/>
  </r>
  <r>
    <s v="ORD355"/>
    <d v="2024-07-08T00:00:00"/>
    <x v="6"/>
    <x v="1"/>
    <s v="Urban Wear Co"/>
    <n v="141"/>
    <n v="34"/>
    <n v="175"/>
    <n v="243"/>
    <n v="37"/>
    <n v="2"/>
    <n v="1460"/>
    <n v="1891"/>
    <n v="0.19428571428571428"/>
    <n v="0.19428571428571428"/>
    <n v="141"/>
    <n v="205860"/>
    <s v="Dead Stock"/>
    <s v="Jul"/>
    <n v="64294"/>
    <n v="158"/>
    <n v="0.21518987341772153"/>
  </r>
  <r>
    <s v="ORD356"/>
    <d v="2024-08-19T00:00:00"/>
    <x v="2"/>
    <x v="2"/>
    <s v="Fashion Hub Ltd"/>
    <s v="Not Available"/>
    <n v="5"/>
    <s v="-"/>
    <n v="216"/>
    <n v="41"/>
    <n v="11"/>
    <n v="719"/>
    <n v="1875"/>
    <e v="#VALUE!"/>
    <s v="incomplete"/>
    <s v="Not Available"/>
    <n v="0"/>
    <s v="High"/>
    <s v="Aug"/>
    <n v="9375"/>
    <s v="-"/>
    <s v="-"/>
  </r>
  <r>
    <s v="ORD357"/>
    <d v="2024-07-12T00:00:00"/>
    <x v="4"/>
    <x v="0"/>
    <s v="Urban Wear Co"/>
    <n v="121"/>
    <n v="58"/>
    <n v="179"/>
    <n v="169"/>
    <n v="67"/>
    <n v="9"/>
    <n v="1648"/>
    <n v="3109"/>
    <n v="0.32402234636871508"/>
    <n v="0.32402234636871508"/>
    <n v="121"/>
    <n v="199408"/>
    <s v="Avg"/>
    <s v="Jul"/>
    <n v="180322"/>
    <n v="150"/>
    <n v="0.38666666666666666"/>
  </r>
  <r>
    <s v="ORD358"/>
    <d v="2024-03-05T00:00:00"/>
    <x v="4"/>
    <x v="1"/>
    <s v="Clothify"/>
    <n v="36"/>
    <n v="90"/>
    <n v="126"/>
    <n v="94"/>
    <n v="40"/>
    <n v="8"/>
    <n v="1858"/>
    <n v="2528"/>
    <n v="0.7142857142857143"/>
    <n v="0.7142857142857143"/>
    <n v="36"/>
    <n v="66888"/>
    <s v="High"/>
    <s v="Mar"/>
    <n v="227520"/>
    <n v="81"/>
    <n v="1.1111111111111112"/>
  </r>
  <r>
    <s v="ORD359"/>
    <d v="2024-04-30T00:00:00"/>
    <x v="1"/>
    <x v="0"/>
    <s v="StyleStreet"/>
    <n v="74"/>
    <n v="43"/>
    <n v="117"/>
    <n v="239"/>
    <n v="68"/>
    <n v="12"/>
    <n v="1324"/>
    <n v="1632"/>
    <n v="0.36752136752136755"/>
    <n v="0.36752136752136755"/>
    <n v="74"/>
    <n v="97976"/>
    <s v="Avg"/>
    <s v="Apr"/>
    <n v="70176"/>
    <n v="95.5"/>
    <n v="0.45026178010471202"/>
  </r>
  <r>
    <s v="ORD360"/>
    <d v="2024-04-19T00:00:00"/>
    <x v="5"/>
    <x v="2"/>
    <s v="StyleStreet"/>
    <n v="56"/>
    <n v="48"/>
    <n v="104"/>
    <n v="215"/>
    <n v="62"/>
    <n v="9"/>
    <n v="1645"/>
    <n v="2818"/>
    <n v="0.46153846153846156"/>
    <n v="0.46153846153846156"/>
    <n v="56"/>
    <n v="92120"/>
    <s v="Avg"/>
    <s v="Apr"/>
    <n v="135264"/>
    <n v="80"/>
    <n v="0.6"/>
  </r>
  <r>
    <s v="ORD361"/>
    <d v="2024-04-08T00:00:00"/>
    <x v="5"/>
    <x v="1"/>
    <s v="Clothify"/>
    <n v="128"/>
    <n v="88"/>
    <n v="216"/>
    <n v="37"/>
    <n v="79"/>
    <n v="14"/>
    <n v="1931"/>
    <n v="2887"/>
    <n v="0.40740740740740738"/>
    <n v="0.40740740740740738"/>
    <n v="128"/>
    <n v="247168"/>
    <s v="Avg"/>
    <s v="Apr"/>
    <n v="254056"/>
    <n v="172"/>
    <n v="0.51162790697674421"/>
  </r>
  <r>
    <s v="ORD362"/>
    <d v="2024-10-19T00:00:00"/>
    <x v="0"/>
    <x v="0"/>
    <s v="Urban Wear Co"/>
    <n v="89"/>
    <n v="46"/>
    <n v="135"/>
    <n v="224"/>
    <n v="47"/>
    <n v="5"/>
    <n v="771"/>
    <n v="1057"/>
    <n v="0.34074074074074073"/>
    <n v="0.34074074074074073"/>
    <n v="89"/>
    <n v="68619"/>
    <s v="Avg"/>
    <s v="Oct"/>
    <n v="48622"/>
    <n v="112"/>
    <n v="0.4107142857142857"/>
  </r>
  <r>
    <s v="ORD363"/>
    <d v="2024-12-01T00:00:00"/>
    <x v="2"/>
    <x v="1"/>
    <s v="Clothify"/>
    <n v="40"/>
    <n v="10"/>
    <n v="50"/>
    <n v="224"/>
    <n v="54"/>
    <n v="8"/>
    <n v="350"/>
    <n v="1354"/>
    <n v="0.2"/>
    <n v="0.2"/>
    <n v="40"/>
    <n v="14000"/>
    <s v="Dead Stock"/>
    <s v="Dec"/>
    <n v="13540"/>
    <n v="45"/>
    <n v="0.22222222222222221"/>
  </r>
  <r>
    <s v="ORD364"/>
    <d v="2024-03-29T00:00:00"/>
    <x v="2"/>
    <x v="1"/>
    <s v="Fashion Hub Ltd"/>
    <n v="147"/>
    <n v="111"/>
    <n v="258"/>
    <n v="197"/>
    <n v="65"/>
    <n v="5"/>
    <n v="511"/>
    <n v="1496"/>
    <n v="0.43023255813953487"/>
    <n v="0.43023255813953487"/>
    <n v="147"/>
    <n v="75117"/>
    <s v="Avg"/>
    <s v="Mar"/>
    <n v="166056"/>
    <n v="202.5"/>
    <n v="0.54814814814814816"/>
  </r>
  <r>
    <s v="ORD365"/>
    <d v="2024-02-25T00:00:00"/>
    <x v="5"/>
    <x v="2"/>
    <s v="StyleStreet"/>
    <n v="41"/>
    <n v="27"/>
    <n v="68"/>
    <n v="40"/>
    <n v="72"/>
    <n v="14"/>
    <n v="863"/>
    <n v="2103"/>
    <n v="0.39705882352941174"/>
    <n v="0.39705882352941174"/>
    <n v="41"/>
    <n v="35383"/>
    <s v="Avg"/>
    <s v="Feb"/>
    <n v="56781"/>
    <n v="54.5"/>
    <n v="0.49541284403669728"/>
  </r>
  <r>
    <s v="ORD366"/>
    <d v="2024-11-15T00:00:00"/>
    <x v="5"/>
    <x v="2"/>
    <s v="Fashion Hub Ltd"/>
    <n v="146"/>
    <n v="18"/>
    <n v="164"/>
    <n v="40"/>
    <n v="51"/>
    <n v="6"/>
    <n v="1868"/>
    <n v="2725"/>
    <n v="0.10975609756097561"/>
    <n v="0.10975609756097561"/>
    <n v="146"/>
    <n v="272728"/>
    <s v="Dead Stock"/>
    <s v="Nov"/>
    <n v="49050"/>
    <n v="155"/>
    <n v="0.11612903225806452"/>
  </r>
  <r>
    <s v="ORD367"/>
    <d v="2024-09-28T00:00:00"/>
    <x v="1"/>
    <x v="2"/>
    <s v="Fashion Hub Ltd"/>
    <n v="89"/>
    <n v="29"/>
    <n v="118"/>
    <n v="269"/>
    <n v="35"/>
    <n v="13"/>
    <n v="1240"/>
    <n v="2164"/>
    <n v="0.24576271186440679"/>
    <n v="0.24576271186440679"/>
    <n v="89"/>
    <n v="110360"/>
    <s v="Dead Stock"/>
    <s v="Sep"/>
    <n v="62756"/>
    <n v="103.5"/>
    <n v="0.28019323671497587"/>
  </r>
  <r>
    <s v="ORD368"/>
    <d v="2024-05-12T00:00:00"/>
    <x v="2"/>
    <x v="1"/>
    <s v="Urban Wear Co"/>
    <n v="14"/>
    <n v="78"/>
    <n v="92"/>
    <n v="62"/>
    <n v="73"/>
    <n v="2"/>
    <n v="1000"/>
    <n v="2407"/>
    <n v="0.84782608695652173"/>
    <n v="0.84782608695652173"/>
    <n v="14"/>
    <n v="14000"/>
    <s v="High"/>
    <s v="May"/>
    <n v="187746"/>
    <n v="53"/>
    <n v="1.4716981132075471"/>
  </r>
  <r>
    <s v="ORD369"/>
    <d v="2024-09-17T00:00:00"/>
    <x v="5"/>
    <x v="1"/>
    <s v="Urban Wear Co"/>
    <s v="Not Available"/>
    <n v="72"/>
    <s v="-"/>
    <n v="210"/>
    <n v="63"/>
    <n v="12"/>
    <n v="1703"/>
    <n v="2273"/>
    <e v="#VALUE!"/>
    <s v="incomplete"/>
    <s v="Not Available"/>
    <n v="0"/>
    <s v="High"/>
    <s v="Sep"/>
    <n v="163656"/>
    <s v="-"/>
    <s v="-"/>
  </r>
  <r>
    <s v="ORD370"/>
    <d v="2024-01-04T00:00:00"/>
    <x v="1"/>
    <x v="0"/>
    <s v="StyleStreet"/>
    <n v="134"/>
    <n v="87"/>
    <n v="221"/>
    <n v="21"/>
    <n v="75"/>
    <n v="3"/>
    <n v="1108"/>
    <n v="1316"/>
    <n v="0.39366515837104071"/>
    <n v="0.39366515837104071"/>
    <n v="134"/>
    <n v="148472"/>
    <s v="Avg"/>
    <s v="Jan"/>
    <n v="114492"/>
    <n v="177.5"/>
    <n v="0.49014084507042255"/>
  </r>
  <r>
    <s v="ORD371"/>
    <d v="2024-10-23T00:00:00"/>
    <x v="7"/>
    <x v="2"/>
    <s v="StyleStreet"/>
    <n v="11"/>
    <n v="88"/>
    <n v="99"/>
    <n v="32"/>
    <n v="75"/>
    <n v="6"/>
    <n v="1453"/>
    <n v="2567"/>
    <n v="0.88888888888888884"/>
    <n v="0.88888888888888884"/>
    <n v="11"/>
    <n v="15983"/>
    <s v="High"/>
    <s v="Oct"/>
    <n v="225896"/>
    <n v="55"/>
    <n v="1.6"/>
  </r>
  <r>
    <s v="ORD372"/>
    <d v="2024-08-25T00:00:00"/>
    <x v="5"/>
    <x v="0"/>
    <s v="Clothify"/>
    <n v="104"/>
    <n v="36"/>
    <n v="140"/>
    <n v="250"/>
    <n v="39"/>
    <n v="11"/>
    <n v="709"/>
    <n v="991"/>
    <n v="0.25714285714285712"/>
    <n v="0.25714285714285712"/>
    <n v="104"/>
    <n v="73736"/>
    <s v="Dead Stock"/>
    <s v="Aug"/>
    <n v="35676"/>
    <n v="122"/>
    <n v="0.29508196721311475"/>
  </r>
  <r>
    <s v="ORD373"/>
    <d v="2024-10-11T00:00:00"/>
    <x v="7"/>
    <x v="2"/>
    <s v="Not Available"/>
    <n v="126"/>
    <n v="107"/>
    <n v="233"/>
    <n v="275"/>
    <n v="45"/>
    <n v="14"/>
    <n v="1379"/>
    <n v="1966"/>
    <n v="0.45922746781115881"/>
    <n v="0.45922746781115881"/>
    <n v="126"/>
    <n v="173754"/>
    <s v="Avg"/>
    <s v="Oct"/>
    <n v="210362"/>
    <n v="179.5"/>
    <n v="0.59610027855153203"/>
  </r>
  <r>
    <s v="ORD374"/>
    <d v="2024-11-03T00:00:00"/>
    <x v="7"/>
    <x v="2"/>
    <s v="Clothify"/>
    <n v="114"/>
    <n v="71"/>
    <n v="185"/>
    <n v="149"/>
    <n v="40"/>
    <n v="8"/>
    <n v="1611"/>
    <n v="2798"/>
    <n v="0.38378378378378381"/>
    <n v="0.38378378378378381"/>
    <n v="114"/>
    <n v="183654"/>
    <s v="Avg"/>
    <s v="Nov"/>
    <n v="198658"/>
    <n v="149.5"/>
    <n v="0.47491638795986624"/>
  </r>
  <r>
    <s v="ORD375"/>
    <d v="2024-11-03T00:00:00"/>
    <x v="4"/>
    <x v="1"/>
    <s v="Clothify"/>
    <n v="12"/>
    <n v="32"/>
    <n v="44"/>
    <n v="88"/>
    <n v="67"/>
    <n v="2"/>
    <n v="599"/>
    <n v="954"/>
    <n v="0.72727272727272729"/>
    <n v="0.72727272727272729"/>
    <n v="12"/>
    <n v="7188"/>
    <s v="High"/>
    <s v="Nov"/>
    <n v="30528"/>
    <n v="28"/>
    <n v="1.1428571428571428"/>
  </r>
  <r>
    <s v="ORD376"/>
    <d v="2024-02-20T00:00:00"/>
    <x v="7"/>
    <x v="1"/>
    <s v="Urban Wear Co"/>
    <n v="26"/>
    <n v="25"/>
    <n v="51"/>
    <n v="56"/>
    <n v="41"/>
    <n v="13"/>
    <n v="1309"/>
    <n v="1485"/>
    <n v="0.49019607843137253"/>
    <n v="0.49019607843137253"/>
    <n v="26"/>
    <n v="34034"/>
    <s v="Avg"/>
    <s v="Feb"/>
    <n v="37125"/>
    <n v="38.5"/>
    <n v="0.64935064935064934"/>
  </r>
  <r>
    <s v="ORD377"/>
    <d v="2024-01-31T00:00:00"/>
    <x v="4"/>
    <x v="2"/>
    <s v="StyleStreet"/>
    <n v="60"/>
    <n v="97"/>
    <n v="157"/>
    <n v="194"/>
    <n v="74"/>
    <n v="2"/>
    <n v="529"/>
    <n v="934"/>
    <n v="0.61783439490445857"/>
    <n v="0.61783439490445857"/>
    <n v="60"/>
    <n v="31740"/>
    <s v="High"/>
    <s v="Jan"/>
    <n v="90598"/>
    <n v="108.5"/>
    <n v="0.89400921658986177"/>
  </r>
  <r>
    <s v="ORD378"/>
    <d v="2024-01-04T00:00:00"/>
    <x v="2"/>
    <x v="0"/>
    <s v="Clothify"/>
    <n v="29"/>
    <n v="13"/>
    <n v="42"/>
    <n v="204"/>
    <n v="48"/>
    <n v="13"/>
    <n v="581"/>
    <n v="805"/>
    <n v="0.30952380952380953"/>
    <n v="0.30952380952380953"/>
    <n v="29"/>
    <n v="16849"/>
    <s v="Avg"/>
    <s v="Jan"/>
    <n v="10465"/>
    <n v="35.5"/>
    <n v="0.36619718309859156"/>
  </r>
  <r>
    <s v="ORD379"/>
    <d v="2024-05-31T00:00:00"/>
    <x v="1"/>
    <x v="2"/>
    <s v="Urban Wear Co"/>
    <n v="78"/>
    <n v="30"/>
    <n v="108"/>
    <n v="292"/>
    <n v="52"/>
    <n v="3"/>
    <n v="416"/>
    <n v="1080"/>
    <n v="0.27777777777777779"/>
    <n v="0.27777777777777779"/>
    <n v="78"/>
    <n v="32448"/>
    <s v="Dead Stock"/>
    <s v="May"/>
    <n v="32400"/>
    <n v="93"/>
    <n v="0.32258064516129031"/>
  </r>
  <r>
    <s v="ORD380"/>
    <d v="2024-06-16T00:00:00"/>
    <x v="5"/>
    <x v="2"/>
    <s v="Urban Wear Co"/>
    <n v="142"/>
    <n v="84"/>
    <n v="226"/>
    <n v="193"/>
    <n v="77"/>
    <n v="7"/>
    <n v="920"/>
    <n v="1426"/>
    <n v="0.37168141592920356"/>
    <n v="0.37168141592920356"/>
    <n v="142"/>
    <n v="130640"/>
    <s v="Avg"/>
    <s v="Jun"/>
    <n v="119784"/>
    <n v="184"/>
    <n v="0.45652173913043476"/>
  </r>
  <r>
    <s v="ORD381"/>
    <d v="2024-01-14T00:00:00"/>
    <x v="1"/>
    <x v="2"/>
    <s v="Not Available"/>
    <n v="15"/>
    <n v="81"/>
    <n v="96"/>
    <n v="261"/>
    <n v="44"/>
    <n v="3"/>
    <n v="598"/>
    <n v="1359"/>
    <n v="0.84375"/>
    <n v="0.84375"/>
    <n v="15"/>
    <n v="8970"/>
    <s v="High"/>
    <s v="Jan"/>
    <n v="110079"/>
    <n v="55.5"/>
    <n v="1.4594594594594594"/>
  </r>
  <r>
    <s v="ORD382"/>
    <d v="2024-07-30T00:00:00"/>
    <x v="0"/>
    <x v="2"/>
    <s v="StyleStreet"/>
    <n v="116"/>
    <n v="51"/>
    <n v="167"/>
    <n v="246"/>
    <n v="68"/>
    <n v="7"/>
    <n v="765"/>
    <n v="2192"/>
    <n v="0.30538922155688625"/>
    <n v="0.30538922155688625"/>
    <n v="116"/>
    <n v="88740"/>
    <s v="Avg"/>
    <s v="Jul"/>
    <n v="111792"/>
    <n v="141.5"/>
    <n v="0.36042402826855124"/>
  </r>
  <r>
    <s v="ORD383"/>
    <d v="2024-09-28T00:00:00"/>
    <x v="4"/>
    <x v="2"/>
    <s v="StyleStreet"/>
    <n v="150"/>
    <n v="84"/>
    <n v="234"/>
    <n v="49"/>
    <n v="40"/>
    <n v="2"/>
    <n v="234"/>
    <n v="994"/>
    <n v="0.35897435897435898"/>
    <n v="0.35897435897435898"/>
    <n v="150"/>
    <n v="35100"/>
    <s v="Avg"/>
    <s v="Sep"/>
    <n v="83496"/>
    <n v="192"/>
    <n v="0.4375"/>
  </r>
  <r>
    <s v="ORD384"/>
    <d v="2024-09-18T00:00:00"/>
    <x v="6"/>
    <x v="0"/>
    <s v="StyleStreet"/>
    <n v="112"/>
    <n v="119"/>
    <n v="231"/>
    <n v="29"/>
    <n v="64"/>
    <n v="12"/>
    <n v="566"/>
    <n v="1254"/>
    <n v="0.51515151515151514"/>
    <n v="0.51515151515151514"/>
    <n v="112"/>
    <n v="63392"/>
    <s v="Avg"/>
    <s v="Sep"/>
    <n v="149226"/>
    <n v="171.5"/>
    <n v="0.69387755102040816"/>
  </r>
  <r>
    <s v="ORD385"/>
    <d v="2024-01-19T00:00:00"/>
    <x v="0"/>
    <x v="1"/>
    <s v="Not Available"/>
    <n v="110"/>
    <n v="10"/>
    <n v="120"/>
    <n v="185"/>
    <n v="56"/>
    <n v="11"/>
    <n v="1081"/>
    <n v="1541"/>
    <n v="8.3333333333333329E-2"/>
    <n v="8.3333333333333329E-2"/>
    <n v="110"/>
    <n v="118910"/>
    <s v="Dead Stock"/>
    <s v="Jan"/>
    <n v="15410"/>
    <n v="115"/>
    <n v="8.6956521739130432E-2"/>
  </r>
  <r>
    <s v="ORD386"/>
    <d v="2024-08-28T00:00:00"/>
    <x v="1"/>
    <x v="1"/>
    <s v="StyleStreet"/>
    <n v="28"/>
    <n v="31"/>
    <n v="59"/>
    <n v="120"/>
    <n v="65"/>
    <n v="6"/>
    <n v="1501"/>
    <n v="2323"/>
    <n v="0.52542372881355937"/>
    <n v="0.52542372881355937"/>
    <n v="28"/>
    <n v="42028"/>
    <s v="Avg"/>
    <s v="Aug"/>
    <n v="72013"/>
    <n v="43.5"/>
    <n v="0.71264367816091956"/>
  </r>
  <r>
    <s v="ORD387"/>
    <d v="2024-06-26T00:00:00"/>
    <x v="6"/>
    <x v="1"/>
    <s v="Fashion Hub Ltd"/>
    <n v="22"/>
    <n v="1"/>
    <n v="23"/>
    <n v="155"/>
    <n v="62"/>
    <n v="2"/>
    <n v="609"/>
    <n v="1240"/>
    <n v="4.3478260869565216E-2"/>
    <n v="4.3478260869565216E-2"/>
    <n v="22"/>
    <n v="13398"/>
    <s v="Dead Stock"/>
    <s v="Jun"/>
    <n v="1240"/>
    <n v="22.5"/>
    <n v="4.4444444444444446E-2"/>
  </r>
  <r>
    <s v="ORD388"/>
    <d v="2024-02-06T00:00:00"/>
    <x v="6"/>
    <x v="2"/>
    <s v="Urban Wear Co"/>
    <n v="59"/>
    <n v="114"/>
    <n v="173"/>
    <n v="33"/>
    <n v="37"/>
    <n v="11"/>
    <n v="1554"/>
    <n v="1870"/>
    <n v="0.65895953757225434"/>
    <n v="0.65895953757225434"/>
    <n v="59"/>
    <n v="91686"/>
    <s v="High"/>
    <s v="Feb"/>
    <n v="213180"/>
    <n v="116"/>
    <n v="0.98275862068965514"/>
  </r>
  <r>
    <s v="ORD389"/>
    <d v="2024-09-07T00:00:00"/>
    <x v="2"/>
    <x v="1"/>
    <s v="Not Available"/>
    <n v="110"/>
    <n v="2"/>
    <n v="112"/>
    <n v="80"/>
    <n v="30"/>
    <n v="4"/>
    <n v="1170"/>
    <n v="2248"/>
    <n v="1.7857142857142856E-2"/>
    <n v="1.7857142857142856E-2"/>
    <n v="110"/>
    <n v="128700"/>
    <s v="Dead Stock"/>
    <s v="Sep"/>
    <n v="4496"/>
    <n v="111"/>
    <n v="1.8018018018018018E-2"/>
  </r>
  <r>
    <s v="ORD390"/>
    <d v="2024-08-24T00:00:00"/>
    <x v="6"/>
    <x v="2"/>
    <s v="Clothify"/>
    <n v="35"/>
    <n v="9"/>
    <n v="44"/>
    <n v="31"/>
    <n v="53"/>
    <n v="3"/>
    <n v="375"/>
    <n v="1572"/>
    <n v="0.20454545454545456"/>
    <n v="0.20454545454545456"/>
    <n v="35"/>
    <n v="13125"/>
    <s v="Dead Stock"/>
    <s v="Aug"/>
    <n v="14148"/>
    <n v="39.5"/>
    <n v="0.22784810126582278"/>
  </r>
  <r>
    <s v="ORD391"/>
    <d v="2024-09-13T00:00:00"/>
    <x v="7"/>
    <x v="0"/>
    <s v="Not Available"/>
    <n v="12"/>
    <n v="53"/>
    <n v="65"/>
    <n v="106"/>
    <n v="41"/>
    <n v="5"/>
    <n v="874"/>
    <n v="1308"/>
    <n v="0.81538461538461537"/>
    <n v="0.81538461538461537"/>
    <n v="12"/>
    <n v="10488"/>
    <s v="High"/>
    <s v="Sep"/>
    <n v="69324"/>
    <n v="38.5"/>
    <n v="1.3766233766233766"/>
  </r>
  <r>
    <s v="ORD392"/>
    <d v="2024-02-26T00:00:00"/>
    <x v="7"/>
    <x v="1"/>
    <s v="StyleStreet"/>
    <n v="112"/>
    <n v="47"/>
    <n v="159"/>
    <n v="25"/>
    <n v="73"/>
    <n v="13"/>
    <n v="433"/>
    <n v="802"/>
    <n v="0.29559748427672955"/>
    <n v="0.29559748427672955"/>
    <n v="112"/>
    <n v="48496"/>
    <s v="Dead Stock"/>
    <s v="Feb"/>
    <n v="37694"/>
    <n v="135.5"/>
    <n v="0.34686346863468637"/>
  </r>
  <r>
    <s v="ORD393"/>
    <d v="2024-06-29T00:00:00"/>
    <x v="4"/>
    <x v="2"/>
    <s v="StyleStreet"/>
    <s v="Not Available"/>
    <n v="95"/>
    <s v="-"/>
    <n v="200"/>
    <n v="76"/>
    <n v="3"/>
    <n v="1469"/>
    <n v="1974"/>
    <e v="#VALUE!"/>
    <s v="incomplete"/>
    <s v="Not Available"/>
    <n v="0"/>
    <s v="High"/>
    <s v="Jun"/>
    <n v="187530"/>
    <s v="-"/>
    <s v="-"/>
  </r>
  <r>
    <s v="ORD394"/>
    <d v="2024-10-13T00:00:00"/>
    <x v="5"/>
    <x v="1"/>
    <s v="Urban Wear Co"/>
    <n v="92"/>
    <n v="4"/>
    <n v="96"/>
    <n v="286"/>
    <n v="35"/>
    <n v="12"/>
    <n v="769"/>
    <n v="1363"/>
    <n v="4.1666666666666664E-2"/>
    <n v="4.1666666666666664E-2"/>
    <n v="92"/>
    <n v="70748"/>
    <s v="Dead Stock"/>
    <s v="Oct"/>
    <n v="5452"/>
    <n v="94"/>
    <n v="4.2553191489361701E-2"/>
  </r>
  <r>
    <s v="ORD395"/>
    <d v="2024-07-12T00:00:00"/>
    <x v="2"/>
    <x v="1"/>
    <s v="Not Available"/>
    <n v="31"/>
    <n v="70"/>
    <n v="101"/>
    <n v="154"/>
    <n v="39"/>
    <n v="7"/>
    <n v="295"/>
    <n v="1156"/>
    <n v="0.69306930693069302"/>
    <n v="0.69306930693069302"/>
    <n v="31"/>
    <n v="9145"/>
    <s v="High"/>
    <s v="Jul"/>
    <n v="80920"/>
    <n v="66"/>
    <n v="1.0606060606060606"/>
  </r>
  <r>
    <s v="ORD396"/>
    <d v="2024-12-11T00:00:00"/>
    <x v="6"/>
    <x v="0"/>
    <s v="StyleStreet"/>
    <n v="126"/>
    <n v="84"/>
    <n v="210"/>
    <n v="32"/>
    <n v="41"/>
    <n v="2"/>
    <n v="1016"/>
    <n v="2349"/>
    <n v="0.4"/>
    <n v="0.4"/>
    <n v="126"/>
    <n v="128016"/>
    <s v="Avg"/>
    <s v="Dec"/>
    <n v="197316"/>
    <n v="168"/>
    <n v="0.5"/>
  </r>
  <r>
    <s v="ORD397"/>
    <d v="2024-10-12T00:00:00"/>
    <x v="6"/>
    <x v="1"/>
    <s v="Clothify"/>
    <n v="77"/>
    <n v="69"/>
    <n v="146"/>
    <n v="148"/>
    <n v="38"/>
    <n v="10"/>
    <n v="860"/>
    <n v="2294"/>
    <n v="0.4726027397260274"/>
    <n v="0.4726027397260274"/>
    <n v="77"/>
    <n v="66220"/>
    <s v="Avg"/>
    <s v="Oct"/>
    <n v="158286"/>
    <n v="111.5"/>
    <n v="0.6188340807174888"/>
  </r>
  <r>
    <s v="ORD398"/>
    <d v="2024-01-26T00:00:00"/>
    <x v="0"/>
    <x v="0"/>
    <s v="Urban Wear Co"/>
    <n v="50"/>
    <n v="2"/>
    <n v="52"/>
    <n v="57"/>
    <n v="48"/>
    <n v="12"/>
    <n v="320"/>
    <n v="1128"/>
    <n v="3.8461538461538464E-2"/>
    <n v="3.8461538461538464E-2"/>
    <n v="50"/>
    <n v="16000"/>
    <s v="Dead Stock"/>
    <s v="Jan"/>
    <n v="2256"/>
    <n v="51"/>
    <n v="3.9215686274509803E-2"/>
  </r>
  <r>
    <s v="ORD399"/>
    <d v="2024-03-19T00:00:00"/>
    <x v="3"/>
    <x v="2"/>
    <s v="Urban Wear Co"/>
    <n v="73"/>
    <n v="75"/>
    <n v="148"/>
    <n v="248"/>
    <n v="30"/>
    <n v="3"/>
    <n v="1121"/>
    <n v="2543"/>
    <n v="0.5067567567567568"/>
    <n v="0.5067567567567568"/>
    <n v="73"/>
    <n v="81833"/>
    <s v="Avg"/>
    <s v="Mar"/>
    <n v="190725"/>
    <n v="110.5"/>
    <n v="0.67873303167420818"/>
  </r>
  <r>
    <s v="ORD400"/>
    <d v="2024-03-18T00:00:00"/>
    <x v="2"/>
    <x v="1"/>
    <s v="StyleStreet"/>
    <n v="132"/>
    <n v="5"/>
    <n v="137"/>
    <n v="102"/>
    <n v="44"/>
    <n v="2"/>
    <n v="1140"/>
    <n v="2145"/>
    <n v="3.6496350364963501E-2"/>
    <n v="3.6496350364963501E-2"/>
    <n v="132"/>
    <n v="150480"/>
    <s v="Dead Stock"/>
    <s v="Mar"/>
    <n v="10725"/>
    <n v="134.5"/>
    <n v="3.717472118959108E-2"/>
  </r>
  <r>
    <s v="ORD401"/>
    <d v="2024-11-14T00:00:00"/>
    <x v="4"/>
    <x v="0"/>
    <s v="Fashion Hub Ltd"/>
    <s v="Not Available"/>
    <n v="49"/>
    <s v="-"/>
    <n v="32"/>
    <n v="68"/>
    <n v="10"/>
    <n v="1308"/>
    <n v="1842"/>
    <e v="#VALUE!"/>
    <s v="incomplete"/>
    <s v="Not Available"/>
    <n v="0"/>
    <s v="High"/>
    <s v="Nov"/>
    <n v="90258"/>
    <s v="-"/>
    <s v="-"/>
  </r>
  <r>
    <s v="ORD402"/>
    <d v="2024-09-18T00:00:00"/>
    <x v="5"/>
    <x v="1"/>
    <s v="StyleStreet"/>
    <n v="27"/>
    <n v="99"/>
    <n v="126"/>
    <n v="182"/>
    <n v="69"/>
    <n v="3"/>
    <n v="1754"/>
    <n v="2581"/>
    <n v="0.7857142857142857"/>
    <n v="0.7857142857142857"/>
    <n v="27"/>
    <n v="47358"/>
    <s v="High"/>
    <s v="Sep"/>
    <n v="255519"/>
    <n v="76.5"/>
    <n v="1.2941176470588236"/>
  </r>
  <r>
    <s v="ORD403"/>
    <d v="2024-12-30T00:00:00"/>
    <x v="5"/>
    <x v="0"/>
    <s v="Clothify"/>
    <n v="13"/>
    <n v="64"/>
    <n v="77"/>
    <n v="201"/>
    <n v="54"/>
    <n v="4"/>
    <n v="1341"/>
    <n v="1553"/>
    <n v="0.83116883116883122"/>
    <n v="0.83116883116883122"/>
    <n v="13"/>
    <n v="17433"/>
    <s v="High"/>
    <s v="Dec"/>
    <n v="99392"/>
    <n v="45"/>
    <n v="1.4222222222222223"/>
  </r>
  <r>
    <s v="ORD404"/>
    <d v="2024-12-29T00:00:00"/>
    <x v="7"/>
    <x v="0"/>
    <s v="Urban Wear Co"/>
    <n v="75"/>
    <n v="62"/>
    <n v="137"/>
    <n v="79"/>
    <n v="49"/>
    <n v="6"/>
    <n v="692"/>
    <n v="1737"/>
    <n v="0.45255474452554745"/>
    <n v="0.45255474452554745"/>
    <n v="75"/>
    <n v="51900"/>
    <s v="Avg"/>
    <s v="Dec"/>
    <n v="107694"/>
    <n v="106"/>
    <n v="0.58490566037735847"/>
  </r>
  <r>
    <s v="ORD405"/>
    <d v="2024-09-24T00:00:00"/>
    <x v="0"/>
    <x v="0"/>
    <s v="Urban Wear Co"/>
    <n v="33"/>
    <n v="32"/>
    <n v="65"/>
    <n v="268"/>
    <n v="49"/>
    <n v="5"/>
    <n v="698"/>
    <n v="1939"/>
    <n v="0.49230769230769234"/>
    <n v="0.49230769230769234"/>
    <n v="33"/>
    <n v="23034"/>
    <s v="Avg"/>
    <s v="Sep"/>
    <n v="62048"/>
    <n v="49"/>
    <n v="0.65306122448979587"/>
  </r>
  <r>
    <s v="ORD406"/>
    <d v="2024-07-16T00:00:00"/>
    <x v="5"/>
    <x v="1"/>
    <s v="Urban Wear Co"/>
    <n v="147"/>
    <n v="97"/>
    <n v="244"/>
    <n v="146"/>
    <n v="78"/>
    <n v="7"/>
    <n v="706"/>
    <n v="1549"/>
    <n v="0.39754098360655737"/>
    <n v="0.39754098360655737"/>
    <n v="147"/>
    <n v="103782"/>
    <s v="Avg"/>
    <s v="Jul"/>
    <n v="150253"/>
    <n v="195.5"/>
    <n v="0.49616368286445012"/>
  </r>
  <r>
    <s v="ORD407"/>
    <d v="2024-12-14T00:00:00"/>
    <x v="6"/>
    <x v="0"/>
    <s v="StyleStreet"/>
    <n v="8"/>
    <n v="1"/>
    <n v="9"/>
    <n v="98"/>
    <n v="71"/>
    <n v="10"/>
    <n v="389"/>
    <n v="521"/>
    <n v="0.1111111111111111"/>
    <n v="0.1111111111111111"/>
    <n v="8"/>
    <n v="3112"/>
    <s v="Dead Stock"/>
    <s v="Dec"/>
    <n v="521"/>
    <n v="8.5"/>
    <n v="0.11764705882352941"/>
  </r>
  <r>
    <s v="ORD408"/>
    <d v="2024-05-14T00:00:00"/>
    <x v="7"/>
    <x v="2"/>
    <s v="Urban Wear Co"/>
    <n v="111"/>
    <n v="56"/>
    <n v="167"/>
    <n v="43"/>
    <n v="65"/>
    <n v="14"/>
    <n v="1207"/>
    <n v="1931"/>
    <n v="0.33532934131736525"/>
    <n v="0.33532934131736525"/>
    <n v="111"/>
    <n v="133977"/>
    <s v="Avg"/>
    <s v="May"/>
    <n v="108136"/>
    <n v="139"/>
    <n v="0.40287769784172661"/>
  </r>
  <r>
    <s v="ORD409"/>
    <d v="2024-10-30T00:00:00"/>
    <x v="0"/>
    <x v="1"/>
    <s v="StyleStreet"/>
    <n v="118"/>
    <n v="48"/>
    <n v="166"/>
    <n v="282"/>
    <n v="51"/>
    <n v="15"/>
    <n v="649"/>
    <n v="1681"/>
    <n v="0.28915662650602408"/>
    <n v="0.28915662650602408"/>
    <n v="118"/>
    <n v="76582"/>
    <s v="Dead Stock"/>
    <s v="Oct"/>
    <n v="80688"/>
    <n v="142"/>
    <n v="0.3380281690140845"/>
  </r>
  <r>
    <s v="ORD410"/>
    <d v="2024-07-02T00:00:00"/>
    <x v="2"/>
    <x v="2"/>
    <s v="Urban Wear Co"/>
    <n v="100"/>
    <n v="37"/>
    <n v="137"/>
    <n v="271"/>
    <n v="34"/>
    <n v="4"/>
    <n v="232"/>
    <n v="1606"/>
    <n v="0.27007299270072993"/>
    <n v="0.27007299270072993"/>
    <n v="100"/>
    <n v="23200"/>
    <s v="Dead Stock"/>
    <s v="Jul"/>
    <n v="59422"/>
    <n v="118.5"/>
    <n v="0.31223628691983124"/>
  </r>
  <r>
    <s v="ORD411"/>
    <d v="2024-04-15T00:00:00"/>
    <x v="6"/>
    <x v="0"/>
    <s v="Urban Wear Co"/>
    <n v="71"/>
    <n v="56"/>
    <n v="127"/>
    <n v="199"/>
    <n v="62"/>
    <n v="14"/>
    <n v="1664"/>
    <n v="1769"/>
    <n v="0.44094488188976377"/>
    <n v="0.44094488188976377"/>
    <n v="71"/>
    <n v="118144"/>
    <s v="Avg"/>
    <s v="Apr"/>
    <n v="99064"/>
    <n v="99"/>
    <n v="0.56565656565656564"/>
  </r>
  <r>
    <s v="ORD412"/>
    <d v="2024-04-14T00:00:00"/>
    <x v="3"/>
    <x v="1"/>
    <s v="StyleStreet"/>
    <n v="69"/>
    <n v="31"/>
    <n v="100"/>
    <n v="96"/>
    <n v="60"/>
    <n v="12"/>
    <n v="1958"/>
    <n v="3252"/>
    <n v="0.31"/>
    <n v="0.31"/>
    <n v="69"/>
    <n v="135102"/>
    <s v="Avg"/>
    <s v="Apr"/>
    <n v="100812"/>
    <n v="84.5"/>
    <n v="0.36686390532544377"/>
  </r>
  <r>
    <s v="ORD413"/>
    <d v="2024-11-12T00:00:00"/>
    <x v="6"/>
    <x v="2"/>
    <s v="StyleStreet"/>
    <n v="129"/>
    <n v="81"/>
    <n v="210"/>
    <n v="73"/>
    <n v="40"/>
    <n v="11"/>
    <n v="314"/>
    <n v="439"/>
    <n v="0.38571428571428573"/>
    <n v="0.38571428571428573"/>
    <n v="129"/>
    <n v="40506"/>
    <s v="Avg"/>
    <s v="Nov"/>
    <n v="35559"/>
    <n v="169.5"/>
    <n v="0.47787610619469029"/>
  </r>
  <r>
    <s v="ORD414"/>
    <d v="2024-10-03T00:00:00"/>
    <x v="5"/>
    <x v="2"/>
    <s v="Urban Wear Co"/>
    <n v="40"/>
    <n v="36"/>
    <n v="76"/>
    <n v="185"/>
    <n v="50"/>
    <n v="2"/>
    <n v="1468"/>
    <n v="2486"/>
    <n v="0.47368421052631576"/>
    <n v="0.47368421052631576"/>
    <n v="40"/>
    <n v="58720"/>
    <s v="Avg"/>
    <s v="Oct"/>
    <n v="89496"/>
    <n v="58"/>
    <n v="0.62068965517241381"/>
  </r>
  <r>
    <s v="ORD415"/>
    <d v="2024-12-04T00:00:00"/>
    <x v="5"/>
    <x v="1"/>
    <s v="Urban Wear Co"/>
    <n v="88"/>
    <n v="109"/>
    <n v="197"/>
    <n v="296"/>
    <n v="35"/>
    <n v="9"/>
    <n v="1581"/>
    <n v="2723"/>
    <n v="0.5532994923857868"/>
    <n v="0.5532994923857868"/>
    <n v="88"/>
    <n v="139128"/>
    <s v="Avg"/>
    <s v="Dec"/>
    <n v="296807"/>
    <n v="142.5"/>
    <n v="0.76491228070175443"/>
  </r>
  <r>
    <s v="ORD416"/>
    <d v="2024-05-17T00:00:00"/>
    <x v="6"/>
    <x v="1"/>
    <s v="StyleStreet"/>
    <n v="49"/>
    <n v="45"/>
    <n v="94"/>
    <n v="91"/>
    <n v="61"/>
    <n v="6"/>
    <n v="655"/>
    <n v="931"/>
    <n v="0.47872340425531917"/>
    <n v="0.47872340425531917"/>
    <n v="49"/>
    <n v="32095"/>
    <s v="Avg"/>
    <s v="May"/>
    <n v="41895"/>
    <n v="71.5"/>
    <n v="0.62937062937062938"/>
  </r>
  <r>
    <s v="ORD417"/>
    <d v="2024-11-04T00:00:00"/>
    <x v="6"/>
    <x v="2"/>
    <s v="Fashion Hub Ltd"/>
    <n v="44"/>
    <n v="110"/>
    <n v="154"/>
    <n v="105"/>
    <n v="66"/>
    <n v="2"/>
    <n v="425"/>
    <n v="1099"/>
    <n v="0.7142857142857143"/>
    <n v="0.7142857142857143"/>
    <n v="44"/>
    <n v="18700"/>
    <s v="High"/>
    <s v="Nov"/>
    <n v="120890"/>
    <n v="99"/>
    <n v="1.1111111111111112"/>
  </r>
  <r>
    <s v="ORD418"/>
    <d v="2024-05-20T00:00:00"/>
    <x v="1"/>
    <x v="0"/>
    <s v="Urban Wear Co"/>
    <n v="86"/>
    <n v="113"/>
    <n v="199"/>
    <n v="55"/>
    <n v="35"/>
    <n v="12"/>
    <n v="843"/>
    <n v="2249"/>
    <n v="0.56783919597989951"/>
    <n v="0.56783919597989951"/>
    <n v="86"/>
    <n v="72498"/>
    <s v="Avg"/>
    <s v="May"/>
    <n v="254137"/>
    <n v="142.5"/>
    <n v="0.7929824561403509"/>
  </r>
  <r>
    <s v="ORD419"/>
    <d v="2024-09-16T00:00:00"/>
    <x v="5"/>
    <x v="0"/>
    <s v="Clothify"/>
    <n v="147"/>
    <n v="105"/>
    <n v="252"/>
    <n v="206"/>
    <n v="66"/>
    <n v="3"/>
    <n v="832"/>
    <n v="1324"/>
    <n v="0.41666666666666669"/>
    <n v="0.41666666666666669"/>
    <n v="147"/>
    <n v="122304"/>
    <s v="Avg"/>
    <s v="Sep"/>
    <n v="139020"/>
    <n v="199.5"/>
    <n v="0.52631578947368418"/>
  </r>
  <r>
    <s v="ORD420"/>
    <d v="2024-06-20T00:00:00"/>
    <x v="0"/>
    <x v="1"/>
    <s v="Fashion Hub Ltd"/>
    <n v="63"/>
    <n v="12"/>
    <n v="75"/>
    <n v="296"/>
    <n v="40"/>
    <n v="6"/>
    <n v="1004"/>
    <n v="2138"/>
    <n v="0.16"/>
    <n v="0.16"/>
    <n v="63"/>
    <n v="63252"/>
    <s v="Dead Stock"/>
    <s v="Jun"/>
    <n v="25656"/>
    <n v="69"/>
    <n v="0.17391304347826086"/>
  </r>
  <r>
    <s v="ORD421"/>
    <d v="2024-11-27T00:00:00"/>
    <x v="6"/>
    <x v="2"/>
    <s v="StyleStreet"/>
    <n v="50"/>
    <n v="81"/>
    <n v="131"/>
    <n v="142"/>
    <n v="79"/>
    <n v="9"/>
    <n v="637"/>
    <n v="1058"/>
    <n v="0.61832061068702293"/>
    <n v="0.61832061068702293"/>
    <n v="50"/>
    <n v="31850"/>
    <s v="High"/>
    <s v="Nov"/>
    <n v="85698"/>
    <n v="90.5"/>
    <n v="0.89502762430939231"/>
  </r>
  <r>
    <s v="ORD422"/>
    <d v="2024-08-26T00:00:00"/>
    <x v="4"/>
    <x v="2"/>
    <s v="Clothify"/>
    <n v="130"/>
    <n v="57"/>
    <n v="187"/>
    <n v="288"/>
    <n v="52"/>
    <n v="12"/>
    <n v="614"/>
    <n v="1324"/>
    <n v="0.30481283422459893"/>
    <n v="0.30481283422459893"/>
    <n v="130"/>
    <n v="79820"/>
    <s v="Avg"/>
    <s v="Aug"/>
    <n v="75468"/>
    <n v="158.5"/>
    <n v="0.35962145110410093"/>
  </r>
  <r>
    <s v="ORD423"/>
    <d v="2024-03-03T00:00:00"/>
    <x v="2"/>
    <x v="0"/>
    <s v="Urban Wear Co"/>
    <n v="141"/>
    <n v="103"/>
    <n v="244"/>
    <n v="92"/>
    <n v="75"/>
    <n v="14"/>
    <n v="1097"/>
    <n v="1343"/>
    <n v="0.42213114754098363"/>
    <n v="0.42213114754098363"/>
    <n v="141"/>
    <n v="154677"/>
    <s v="Avg"/>
    <s v="Mar"/>
    <n v="138329"/>
    <n v="192.5"/>
    <n v="0.53506493506493502"/>
  </r>
  <r>
    <s v="ORD424"/>
    <d v="2024-02-05T00:00:00"/>
    <x v="2"/>
    <x v="1"/>
    <s v="Fashion Hub Ltd"/>
    <n v="51"/>
    <n v="61"/>
    <n v="112"/>
    <n v="180"/>
    <n v="77"/>
    <n v="5"/>
    <n v="629"/>
    <n v="1113"/>
    <n v="0.5446428571428571"/>
    <n v="0.5446428571428571"/>
    <n v="51"/>
    <n v="32079"/>
    <s v="Avg"/>
    <s v="Feb"/>
    <n v="67893"/>
    <n v="81.5"/>
    <n v="0.74846625766871167"/>
  </r>
  <r>
    <s v="ORD425"/>
    <d v="2024-06-10T00:00:00"/>
    <x v="3"/>
    <x v="1"/>
    <s v="Clothify"/>
    <n v="33"/>
    <n v="12"/>
    <n v="45"/>
    <n v="128"/>
    <n v="64"/>
    <n v="13"/>
    <n v="1811"/>
    <n v="2202"/>
    <n v="0.26666666666666666"/>
    <n v="0.26666666666666666"/>
    <n v="33"/>
    <n v="59763"/>
    <s v="Dead Stock"/>
    <s v="Jun"/>
    <n v="26424"/>
    <n v="39"/>
    <n v="0.30769230769230771"/>
  </r>
  <r>
    <s v="ORD426"/>
    <d v="2024-03-08T00:00:00"/>
    <x v="1"/>
    <x v="2"/>
    <s v="StyleStreet"/>
    <n v="27"/>
    <n v="114"/>
    <n v="141"/>
    <n v="231"/>
    <n v="32"/>
    <n v="7"/>
    <n v="1423"/>
    <n v="1595"/>
    <n v="0.80851063829787229"/>
    <n v="0.80851063829787229"/>
    <n v="27"/>
    <n v="38421"/>
    <s v="High"/>
    <s v="Mar"/>
    <n v="181830"/>
    <n v="84"/>
    <n v="1.3571428571428572"/>
  </r>
  <r>
    <s v="ORD427"/>
    <d v="2024-05-16T00:00:00"/>
    <x v="3"/>
    <x v="1"/>
    <s v="Not Available"/>
    <n v="117"/>
    <n v="109"/>
    <n v="226"/>
    <n v="238"/>
    <n v="61"/>
    <n v="4"/>
    <n v="1055"/>
    <n v="1991"/>
    <n v="0.48230088495575218"/>
    <n v="0.48230088495575218"/>
    <n v="117"/>
    <n v="123435"/>
    <s v="Avg"/>
    <s v="May"/>
    <n v="217019"/>
    <n v="171.5"/>
    <n v="0.63556851311953355"/>
  </r>
  <r>
    <s v="ORD428"/>
    <d v="2024-02-04T00:00:00"/>
    <x v="3"/>
    <x v="0"/>
    <s v="Clothify"/>
    <n v="60"/>
    <n v="31"/>
    <n v="91"/>
    <n v="20"/>
    <n v="43"/>
    <n v="9"/>
    <n v="629"/>
    <n v="1112"/>
    <n v="0.34065934065934067"/>
    <n v="0.34065934065934067"/>
    <n v="60"/>
    <n v="37740"/>
    <s v="Avg"/>
    <s v="Feb"/>
    <n v="34472"/>
    <n v="75.5"/>
    <n v="0.41059602649006621"/>
  </r>
  <r>
    <s v="ORD429"/>
    <d v="2024-11-22T00:00:00"/>
    <x v="2"/>
    <x v="0"/>
    <s v="Clothify"/>
    <n v="39"/>
    <n v="54"/>
    <n v="93"/>
    <n v="218"/>
    <n v="36"/>
    <n v="5"/>
    <n v="1425"/>
    <n v="2035"/>
    <n v="0.58064516129032262"/>
    <n v="0.58064516129032262"/>
    <n v="39"/>
    <n v="55575"/>
    <s v="Avg"/>
    <s v="Nov"/>
    <n v="109890"/>
    <n v="66"/>
    <n v="0.81818181818181823"/>
  </r>
  <r>
    <s v="ORD430"/>
    <d v="2024-09-21T00:00:00"/>
    <x v="4"/>
    <x v="1"/>
    <s v="Clothify"/>
    <n v="66"/>
    <n v="84"/>
    <n v="150"/>
    <n v="55"/>
    <n v="49"/>
    <n v="5"/>
    <n v="1642"/>
    <n v="1825"/>
    <n v="0.56000000000000005"/>
    <n v="0.56000000000000005"/>
    <n v="66"/>
    <n v="108372"/>
    <s v="Avg"/>
    <s v="Sep"/>
    <n v="153300"/>
    <n v="108"/>
    <n v="0.77777777777777779"/>
  </r>
  <r>
    <s v="ORD431"/>
    <d v="2024-10-03T00:00:00"/>
    <x v="0"/>
    <x v="0"/>
    <s v="Clothify"/>
    <n v="112"/>
    <n v="104"/>
    <n v="216"/>
    <n v="22"/>
    <n v="32"/>
    <n v="5"/>
    <n v="1463"/>
    <n v="2440"/>
    <n v="0.48148148148148145"/>
    <n v="0.48148148148148145"/>
    <n v="112"/>
    <n v="163856"/>
    <s v="Avg"/>
    <s v="Oct"/>
    <n v="253760"/>
    <n v="164"/>
    <n v="0.63414634146341464"/>
  </r>
  <r>
    <s v="ORD432"/>
    <d v="2024-05-20T00:00:00"/>
    <x v="7"/>
    <x v="1"/>
    <s v="Clothify"/>
    <n v="58"/>
    <n v="46"/>
    <n v="104"/>
    <n v="137"/>
    <n v="42"/>
    <n v="13"/>
    <n v="721"/>
    <n v="1536"/>
    <n v="0.44230769230769229"/>
    <n v="0.44230769230769229"/>
    <n v="58"/>
    <n v="41818"/>
    <s v="Avg"/>
    <s v="May"/>
    <n v="70656"/>
    <n v="81"/>
    <n v="0.5679012345679012"/>
  </r>
  <r>
    <s v="ORD433"/>
    <d v="2024-04-03T00:00:00"/>
    <x v="4"/>
    <x v="1"/>
    <s v="StyleStreet"/>
    <n v="22"/>
    <n v="47"/>
    <n v="69"/>
    <n v="51"/>
    <n v="73"/>
    <n v="12"/>
    <n v="1779"/>
    <n v="2952"/>
    <n v="0.6811594202898551"/>
    <n v="0.6811594202898551"/>
    <n v="22"/>
    <n v="39138"/>
    <s v="High"/>
    <s v="Apr"/>
    <n v="138744"/>
    <n v="45.5"/>
    <n v="1.0329670329670331"/>
  </r>
  <r>
    <s v="ORD434"/>
    <d v="2024-03-09T00:00:00"/>
    <x v="1"/>
    <x v="1"/>
    <s v="Clothify"/>
    <n v="51"/>
    <n v="80"/>
    <n v="131"/>
    <n v="246"/>
    <n v="49"/>
    <n v="3"/>
    <n v="1591"/>
    <n v="2783"/>
    <n v="0.61068702290076338"/>
    <n v="0.61068702290076338"/>
    <n v="51"/>
    <n v="81141"/>
    <s v="High"/>
    <s v="Mar"/>
    <n v="222640"/>
    <n v="91"/>
    <n v="0.87912087912087911"/>
  </r>
  <r>
    <s v="ORD435"/>
    <d v="2024-08-02T00:00:00"/>
    <x v="7"/>
    <x v="2"/>
    <s v="Urban Wear Co"/>
    <n v="38"/>
    <n v="66"/>
    <n v="104"/>
    <n v="62"/>
    <n v="78"/>
    <n v="4"/>
    <n v="313"/>
    <n v="1135"/>
    <n v="0.63461538461538458"/>
    <n v="0.63461538461538458"/>
    <n v="38"/>
    <n v="11894"/>
    <s v="High"/>
    <s v="Aug"/>
    <n v="74910"/>
    <n v="71"/>
    <n v="0.92957746478873238"/>
  </r>
  <r>
    <s v="ORD436"/>
    <d v="2024-02-22T00:00:00"/>
    <x v="0"/>
    <x v="1"/>
    <s v="Clothify"/>
    <n v="116"/>
    <n v="41"/>
    <n v="157"/>
    <n v="273"/>
    <n v="80"/>
    <n v="5"/>
    <n v="286"/>
    <n v="755"/>
    <n v="0.26114649681528662"/>
    <n v="0.26114649681528662"/>
    <n v="116"/>
    <n v="33176"/>
    <s v="Dead Stock"/>
    <s v="Feb"/>
    <n v="30955"/>
    <n v="136.5"/>
    <n v="0.30036630036630035"/>
  </r>
  <r>
    <s v="ORD437"/>
    <d v="2024-08-29T00:00:00"/>
    <x v="5"/>
    <x v="2"/>
    <s v="Clothify"/>
    <n v="130"/>
    <n v="99"/>
    <n v="229"/>
    <n v="71"/>
    <n v="70"/>
    <n v="2"/>
    <n v="321"/>
    <n v="790"/>
    <n v="0.43231441048034935"/>
    <n v="0.43231441048034935"/>
    <n v="130"/>
    <n v="41730"/>
    <s v="Avg"/>
    <s v="Aug"/>
    <n v="78210"/>
    <n v="179.5"/>
    <n v="0.55153203342618384"/>
  </r>
  <r>
    <s v="ORD438"/>
    <d v="2024-12-26T00:00:00"/>
    <x v="0"/>
    <x v="1"/>
    <s v="StyleStreet"/>
    <n v="30"/>
    <n v="115"/>
    <n v="145"/>
    <n v="91"/>
    <n v="43"/>
    <n v="7"/>
    <n v="1891"/>
    <n v="2257"/>
    <n v="0.7931034482758621"/>
    <n v="0.7931034482758621"/>
    <n v="30"/>
    <n v="56730"/>
    <s v="High"/>
    <s v="Dec"/>
    <n v="259555"/>
    <n v="87.5"/>
    <n v="1.3142857142857143"/>
  </r>
  <r>
    <s v="ORD439"/>
    <d v="2024-11-10T00:00:00"/>
    <x v="4"/>
    <x v="1"/>
    <s v="Fashion Hub Ltd"/>
    <n v="111"/>
    <n v="16"/>
    <n v="127"/>
    <n v="207"/>
    <n v="65"/>
    <n v="9"/>
    <n v="478"/>
    <n v="953"/>
    <n v="0.12598425196850394"/>
    <n v="0.12598425196850394"/>
    <n v="111"/>
    <n v="53058"/>
    <s v="Dead Stock"/>
    <s v="Nov"/>
    <n v="15248"/>
    <n v="119"/>
    <n v="0.13445378151260504"/>
  </r>
  <r>
    <s v="ORD440"/>
    <d v="2024-01-16T00:00:00"/>
    <x v="0"/>
    <x v="1"/>
    <s v="Fashion Hub Ltd"/>
    <n v="141"/>
    <n v="70"/>
    <n v="211"/>
    <n v="231"/>
    <n v="36"/>
    <n v="5"/>
    <n v="1504"/>
    <n v="2815"/>
    <n v="0.33175355450236965"/>
    <n v="0.33175355450236965"/>
    <n v="141"/>
    <n v="212064"/>
    <s v="Avg"/>
    <s v="Jan"/>
    <n v="197050"/>
    <n v="176"/>
    <n v="0.39772727272727271"/>
  </r>
  <r>
    <s v="ORD441"/>
    <d v="2024-11-22T00:00:00"/>
    <x v="4"/>
    <x v="0"/>
    <s v="StyleStreet"/>
    <n v="112"/>
    <n v="15"/>
    <n v="127"/>
    <n v="92"/>
    <n v="50"/>
    <n v="8"/>
    <n v="1151"/>
    <n v="2037"/>
    <n v="0.11811023622047244"/>
    <n v="0.11811023622047244"/>
    <n v="112"/>
    <n v="128912"/>
    <s v="Dead Stock"/>
    <s v="Nov"/>
    <n v="30555"/>
    <n v="119.5"/>
    <n v="0.12552301255230125"/>
  </r>
  <r>
    <s v="ORD442"/>
    <d v="2024-05-27T00:00:00"/>
    <x v="5"/>
    <x v="0"/>
    <s v="Fashion Hub Ltd"/>
    <n v="9"/>
    <n v="42"/>
    <n v="51"/>
    <n v="201"/>
    <n v="57"/>
    <n v="6"/>
    <n v="413"/>
    <n v="1136"/>
    <n v="0.82352941176470584"/>
    <n v="0.82352941176470584"/>
    <n v="9"/>
    <n v="3717"/>
    <s v="High"/>
    <s v="May"/>
    <n v="47712"/>
    <n v="30"/>
    <n v="1.4"/>
  </r>
  <r>
    <s v="ORD443"/>
    <d v="2024-02-01T00:00:00"/>
    <x v="6"/>
    <x v="2"/>
    <s v="Fashion Hub Ltd"/>
    <n v="63"/>
    <n v="86"/>
    <n v="149"/>
    <n v="77"/>
    <n v="36"/>
    <n v="5"/>
    <n v="1137"/>
    <n v="1508"/>
    <n v="0.57718120805369133"/>
    <n v="0.57718120805369133"/>
    <n v="63"/>
    <n v="71631"/>
    <s v="Avg"/>
    <s v="Feb"/>
    <n v="129688"/>
    <n v="106"/>
    <n v="0.81132075471698117"/>
  </r>
  <r>
    <s v="ORD444"/>
    <d v="2024-05-09T00:00:00"/>
    <x v="0"/>
    <x v="0"/>
    <s v="StyleStreet"/>
    <n v="150"/>
    <n v="31"/>
    <n v="181"/>
    <n v="24"/>
    <n v="77"/>
    <n v="6"/>
    <n v="420"/>
    <n v="1536"/>
    <n v="0.17127071823204421"/>
    <n v="0.17127071823204421"/>
    <n v="150"/>
    <n v="63000"/>
    <s v="Dead Stock"/>
    <s v="May"/>
    <n v="47616"/>
    <n v="165.5"/>
    <n v="0.18731117824773413"/>
  </r>
  <r>
    <s v="ORD445"/>
    <d v="2024-03-29T00:00:00"/>
    <x v="2"/>
    <x v="2"/>
    <s v="Urban Wear Co"/>
    <n v="114"/>
    <n v="53"/>
    <n v="167"/>
    <n v="68"/>
    <n v="66"/>
    <n v="2"/>
    <n v="955"/>
    <n v="1143"/>
    <n v="0.31736526946107785"/>
    <n v="0.31736526946107785"/>
    <n v="114"/>
    <n v="108870"/>
    <s v="Avg"/>
    <s v="Mar"/>
    <n v="60579"/>
    <n v="140.5"/>
    <n v="0.37722419928825623"/>
  </r>
  <r>
    <s v="ORD446"/>
    <d v="2024-10-06T00:00:00"/>
    <x v="0"/>
    <x v="1"/>
    <s v="Urban Wear Co"/>
    <n v="30"/>
    <n v="92"/>
    <n v="122"/>
    <n v="47"/>
    <n v="73"/>
    <n v="6"/>
    <n v="494"/>
    <n v="1834"/>
    <n v="0.75409836065573765"/>
    <n v="0.75409836065573765"/>
    <n v="30"/>
    <n v="14820"/>
    <s v="High"/>
    <s v="Oct"/>
    <n v="168728"/>
    <n v="76"/>
    <n v="1.2105263157894737"/>
  </r>
  <r>
    <s v="ORD447"/>
    <d v="2024-06-01T00:00:00"/>
    <x v="0"/>
    <x v="1"/>
    <s v="Fashion Hub Ltd"/>
    <s v="Not Available"/>
    <n v="65"/>
    <s v="-"/>
    <n v="214"/>
    <n v="59"/>
    <n v="13"/>
    <n v="1556"/>
    <n v="2404"/>
    <e v="#VALUE!"/>
    <s v="incomplete"/>
    <s v="Not Available"/>
    <n v="0"/>
    <s v="High"/>
    <s v="Jun"/>
    <n v="156260"/>
    <s v="-"/>
    <s v="-"/>
  </r>
  <r>
    <s v="ORD448"/>
    <d v="2024-12-26T00:00:00"/>
    <x v="6"/>
    <x v="0"/>
    <s v="Urban Wear Co"/>
    <n v="139"/>
    <n v="80"/>
    <n v="219"/>
    <n v="99"/>
    <n v="51"/>
    <n v="14"/>
    <n v="326"/>
    <n v="767"/>
    <n v="0.36529680365296802"/>
    <n v="0.36529680365296802"/>
    <n v="139"/>
    <n v="45314"/>
    <s v="Avg"/>
    <s v="Dec"/>
    <n v="61360"/>
    <n v="179"/>
    <n v="0.44692737430167595"/>
  </r>
  <r>
    <s v="ORD449"/>
    <d v="2024-12-21T00:00:00"/>
    <x v="0"/>
    <x v="0"/>
    <s v="Clothify"/>
    <n v="48"/>
    <n v="77"/>
    <n v="125"/>
    <n v="267"/>
    <n v="68"/>
    <n v="8"/>
    <n v="865"/>
    <n v="1878"/>
    <n v="0.61599999999999999"/>
    <n v="0.61599999999999999"/>
    <n v="48"/>
    <n v="41520"/>
    <s v="High"/>
    <s v="Dec"/>
    <n v="144606"/>
    <n v="86.5"/>
    <n v="0.89017341040462428"/>
  </r>
  <r>
    <s v="ORD450"/>
    <d v="2024-04-27T00:00:00"/>
    <x v="5"/>
    <x v="0"/>
    <s v="Clothify"/>
    <n v="125"/>
    <n v="81"/>
    <n v="206"/>
    <n v="55"/>
    <n v="55"/>
    <n v="2"/>
    <n v="695"/>
    <n v="948"/>
    <n v="0.39320388349514562"/>
    <n v="0.39320388349514562"/>
    <n v="125"/>
    <n v="86875"/>
    <s v="Avg"/>
    <s v="Apr"/>
    <n v="76788"/>
    <n v="165.5"/>
    <n v="0.48942598187311176"/>
  </r>
  <r>
    <s v="ORD451"/>
    <d v="2024-08-03T00:00:00"/>
    <x v="1"/>
    <x v="2"/>
    <s v="Urban Wear Co"/>
    <n v="114"/>
    <n v="86"/>
    <n v="200"/>
    <n v="205"/>
    <n v="38"/>
    <n v="8"/>
    <n v="716"/>
    <n v="1907"/>
    <n v="0.43"/>
    <n v="0.43"/>
    <n v="114"/>
    <n v="81624"/>
    <s v="Avg"/>
    <s v="Aug"/>
    <n v="164002"/>
    <n v="157"/>
    <n v="0.54777070063694266"/>
  </r>
  <r>
    <s v="ORD452"/>
    <d v="2024-05-09T00:00:00"/>
    <x v="0"/>
    <x v="2"/>
    <s v="StyleStreet"/>
    <n v="140"/>
    <n v="29"/>
    <n v="169"/>
    <n v="125"/>
    <n v="61"/>
    <n v="7"/>
    <n v="1759"/>
    <n v="1987"/>
    <n v="0.17159763313609466"/>
    <n v="0.17159763313609466"/>
    <n v="140"/>
    <n v="246260"/>
    <s v="Dead Stock"/>
    <s v="May"/>
    <n v="57623"/>
    <n v="154.5"/>
    <n v="0.18770226537216828"/>
  </r>
  <r>
    <s v="ORD453"/>
    <d v="2024-10-04T00:00:00"/>
    <x v="2"/>
    <x v="0"/>
    <s v="Urban Wear Co"/>
    <n v="136"/>
    <n v="66"/>
    <n v="202"/>
    <n v="133"/>
    <n v="58"/>
    <n v="14"/>
    <n v="1883"/>
    <n v="2758"/>
    <n v="0.32673267326732675"/>
    <n v="0.32673267326732675"/>
    <n v="136"/>
    <n v="256088"/>
    <s v="Avg"/>
    <s v="Oct"/>
    <n v="182028"/>
    <n v="169"/>
    <n v="0.39053254437869822"/>
  </r>
  <r>
    <s v="ORD454"/>
    <d v="2024-02-19T00:00:00"/>
    <x v="7"/>
    <x v="1"/>
    <s v="Urban Wear Co"/>
    <n v="38"/>
    <n v="22"/>
    <n v="60"/>
    <n v="28"/>
    <n v="31"/>
    <n v="12"/>
    <n v="1348"/>
    <n v="2745"/>
    <n v="0.36666666666666664"/>
    <n v="0.36666666666666664"/>
    <n v="38"/>
    <n v="51224"/>
    <s v="Avg"/>
    <s v="Feb"/>
    <n v="60390"/>
    <n v="49"/>
    <n v="0.44897959183673469"/>
  </r>
  <r>
    <s v="ORD455"/>
    <d v="2024-06-19T00:00:00"/>
    <x v="3"/>
    <x v="0"/>
    <s v="Urban Wear Co"/>
    <n v="8"/>
    <n v="117"/>
    <n v="125"/>
    <n v="252"/>
    <n v="39"/>
    <n v="8"/>
    <n v="1955"/>
    <n v="2406"/>
    <n v="0.93600000000000005"/>
    <n v="0.93600000000000005"/>
    <n v="8"/>
    <n v="15640"/>
    <s v="High"/>
    <s v="Jun"/>
    <n v="281502"/>
    <n v="66.5"/>
    <n v="1.7593984962406015"/>
  </r>
  <r>
    <s v="ORD456"/>
    <d v="2024-07-17T00:00:00"/>
    <x v="0"/>
    <x v="2"/>
    <s v="StyleStreet"/>
    <n v="115"/>
    <n v="92"/>
    <n v="207"/>
    <n v="97"/>
    <n v="53"/>
    <n v="5"/>
    <n v="752"/>
    <n v="1826"/>
    <n v="0.44444444444444442"/>
    <n v="0.44444444444444442"/>
    <n v="115"/>
    <n v="86480"/>
    <s v="Avg"/>
    <s v="Jul"/>
    <n v="167992"/>
    <n v="161"/>
    <n v="0.5714285714285714"/>
  </r>
  <r>
    <s v="ORD457"/>
    <d v="2024-08-02T00:00:00"/>
    <x v="5"/>
    <x v="0"/>
    <s v="StyleStreet"/>
    <n v="5"/>
    <n v="22"/>
    <n v="27"/>
    <n v="129"/>
    <n v="67"/>
    <n v="6"/>
    <n v="360"/>
    <n v="639"/>
    <n v="0.81481481481481477"/>
    <n v="0.81481481481481477"/>
    <n v="5"/>
    <n v="1800"/>
    <s v="High"/>
    <s v="Aug"/>
    <n v="14058"/>
    <n v="16"/>
    <n v="1.375"/>
  </r>
  <r>
    <s v="ORD458"/>
    <d v="2024-08-15T00:00:00"/>
    <x v="5"/>
    <x v="2"/>
    <s v="StyleStreet"/>
    <n v="113"/>
    <n v="68"/>
    <n v="181"/>
    <n v="22"/>
    <n v="43"/>
    <n v="10"/>
    <n v="1715"/>
    <n v="1817"/>
    <n v="0.37569060773480661"/>
    <n v="0.37569060773480661"/>
    <n v="113"/>
    <n v="193795"/>
    <s v="Avg"/>
    <s v="Aug"/>
    <n v="123556"/>
    <n v="147"/>
    <n v="0.46258503401360546"/>
  </r>
  <r>
    <s v="ORD459"/>
    <d v="2024-07-21T00:00:00"/>
    <x v="1"/>
    <x v="1"/>
    <s v="Clothify"/>
    <n v="107"/>
    <n v="88"/>
    <n v="195"/>
    <n v="20"/>
    <n v="44"/>
    <n v="8"/>
    <n v="361"/>
    <n v="855"/>
    <n v="0.45128205128205129"/>
    <n v="0.45128205128205129"/>
    <n v="107"/>
    <n v="38627"/>
    <s v="Avg"/>
    <s v="Jul"/>
    <n v="75240"/>
    <n v="151"/>
    <n v="0.58278145695364236"/>
  </r>
  <r>
    <s v="ORD460"/>
    <d v="2024-03-26T00:00:00"/>
    <x v="2"/>
    <x v="2"/>
    <s v="Urban Wear Co"/>
    <n v="81"/>
    <n v="9"/>
    <n v="90"/>
    <n v="116"/>
    <n v="79"/>
    <n v="2"/>
    <n v="660"/>
    <n v="1277"/>
    <n v="0.1"/>
    <n v="0.1"/>
    <n v="81"/>
    <n v="53460"/>
    <s v="Dead Stock"/>
    <s v="Mar"/>
    <n v="11493"/>
    <n v="85.5"/>
    <n v="0.10526315789473684"/>
  </r>
  <r>
    <s v="ORD461"/>
    <d v="2024-08-04T00:00:00"/>
    <x v="2"/>
    <x v="0"/>
    <s v="Clothify"/>
    <n v="147"/>
    <n v="24"/>
    <n v="171"/>
    <n v="45"/>
    <n v="70"/>
    <n v="15"/>
    <n v="1918"/>
    <n v="2648"/>
    <n v="0.14035087719298245"/>
    <n v="0.14035087719298245"/>
    <n v="147"/>
    <n v="281946"/>
    <s v="Dead Stock"/>
    <s v="Aug"/>
    <n v="63552"/>
    <n v="159"/>
    <n v="0.15094339622641509"/>
  </r>
  <r>
    <s v="ORD462"/>
    <d v="2024-01-21T00:00:00"/>
    <x v="7"/>
    <x v="2"/>
    <s v="Clothify"/>
    <n v="72"/>
    <n v="104"/>
    <n v="176"/>
    <n v="1"/>
    <n v="47"/>
    <n v="13"/>
    <n v="559"/>
    <n v="1119"/>
    <n v="0.59090909090909094"/>
    <n v="0.59090909090909094"/>
    <n v="72"/>
    <n v="40248"/>
    <s v="Avg"/>
    <s v="Jan"/>
    <n v="116376"/>
    <n v="124"/>
    <n v="0.83870967741935487"/>
  </r>
  <r>
    <s v="ORD463"/>
    <d v="2024-12-20T00:00:00"/>
    <x v="5"/>
    <x v="2"/>
    <s v="Clothify"/>
    <n v="140"/>
    <n v="61"/>
    <n v="201"/>
    <n v="242"/>
    <n v="50"/>
    <n v="15"/>
    <n v="1879"/>
    <n v="2875"/>
    <n v="0.30348258706467662"/>
    <n v="0.30348258706467662"/>
    <n v="140"/>
    <n v="263060"/>
    <s v="Avg"/>
    <s v="Dec"/>
    <n v="175375"/>
    <n v="170.5"/>
    <n v="0.35777126099706746"/>
  </r>
  <r>
    <s v="ORD464"/>
    <d v="2024-10-19T00:00:00"/>
    <x v="3"/>
    <x v="0"/>
    <s v="Fashion Hub Ltd"/>
    <n v="31"/>
    <n v="101"/>
    <n v="132"/>
    <n v="115"/>
    <n v="43"/>
    <n v="15"/>
    <n v="1835"/>
    <n v="3327"/>
    <n v="0.76515151515151514"/>
    <n v="0.76515151515151514"/>
    <n v="31"/>
    <n v="56885"/>
    <s v="High"/>
    <s v="Oct"/>
    <n v="336027"/>
    <n v="81.5"/>
    <n v="1.2392638036809815"/>
  </r>
  <r>
    <s v="ORD465"/>
    <d v="2024-05-08T00:00:00"/>
    <x v="2"/>
    <x v="2"/>
    <s v="Fashion Hub Ltd"/>
    <n v="44"/>
    <n v="31"/>
    <n v="75"/>
    <n v="205"/>
    <n v="45"/>
    <n v="2"/>
    <n v="334"/>
    <n v="776"/>
    <n v="0.41333333333333333"/>
    <n v="0.41333333333333333"/>
    <n v="44"/>
    <n v="14696"/>
    <s v="Avg"/>
    <s v="May"/>
    <n v="24056"/>
    <n v="59.5"/>
    <n v="0.52100840336134457"/>
  </r>
  <r>
    <s v="ORD466"/>
    <d v="2024-02-17T00:00:00"/>
    <x v="6"/>
    <x v="2"/>
    <s v="Clothify"/>
    <n v="130"/>
    <n v="5"/>
    <n v="135"/>
    <n v="117"/>
    <n v="32"/>
    <n v="10"/>
    <n v="1518"/>
    <n v="2889"/>
    <n v="3.7037037037037035E-2"/>
    <n v="3.7037037037037035E-2"/>
    <n v="130"/>
    <n v="197340"/>
    <s v="Dead Stock"/>
    <s v="Feb"/>
    <n v="14445"/>
    <n v="132.5"/>
    <n v="3.7735849056603772E-2"/>
  </r>
  <r>
    <s v="ORD467"/>
    <d v="2024-03-14T00:00:00"/>
    <x v="2"/>
    <x v="2"/>
    <s v="Clothify"/>
    <n v="59"/>
    <n v="53"/>
    <n v="112"/>
    <n v="183"/>
    <n v="61"/>
    <n v="2"/>
    <n v="1783"/>
    <n v="2716"/>
    <n v="0.4732142857142857"/>
    <n v="0.4732142857142857"/>
    <n v="59"/>
    <n v="105197"/>
    <s v="Avg"/>
    <s v="Mar"/>
    <n v="143948"/>
    <n v="85.5"/>
    <n v="0.61988304093567248"/>
  </r>
  <r>
    <s v="ORD468"/>
    <d v="2024-12-07T00:00:00"/>
    <x v="3"/>
    <x v="2"/>
    <s v="Clothify"/>
    <n v="56"/>
    <n v="106"/>
    <n v="162"/>
    <n v="91"/>
    <n v="41"/>
    <n v="7"/>
    <n v="1452"/>
    <n v="2386"/>
    <n v="0.65432098765432101"/>
    <n v="0.65432098765432101"/>
    <n v="56"/>
    <n v="81312"/>
    <s v="High"/>
    <s v="Dec"/>
    <n v="252916"/>
    <n v="109"/>
    <n v="0.97247706422018354"/>
  </r>
  <r>
    <s v="ORD469"/>
    <d v="2024-12-31T00:00:00"/>
    <x v="2"/>
    <x v="0"/>
    <s v="Clothify"/>
    <n v="132"/>
    <n v="18"/>
    <n v="150"/>
    <n v="156"/>
    <n v="46"/>
    <n v="14"/>
    <n v="1192"/>
    <n v="1832"/>
    <n v="0.12"/>
    <n v="0.12"/>
    <n v="132"/>
    <n v="157344"/>
    <s v="Dead Stock"/>
    <s v="Dec"/>
    <n v="32976"/>
    <n v="141"/>
    <n v="0.1276595744680851"/>
  </r>
  <r>
    <s v="ORD470"/>
    <d v="2024-08-05T00:00:00"/>
    <x v="5"/>
    <x v="2"/>
    <s v="StyleStreet"/>
    <n v="116"/>
    <n v="93"/>
    <n v="209"/>
    <n v="21"/>
    <n v="36"/>
    <n v="6"/>
    <n v="1660"/>
    <n v="2634"/>
    <n v="0.44497607655502391"/>
    <n v="0.44497607655502391"/>
    <n v="116"/>
    <n v="192560"/>
    <s v="Avg"/>
    <s v="Aug"/>
    <n v="244962"/>
    <n v="162.5"/>
    <n v="0.5723076923076923"/>
  </r>
  <r>
    <s v="ORD471"/>
    <d v="2024-01-10T00:00:00"/>
    <x v="4"/>
    <x v="2"/>
    <s v="Fashion Hub Ltd"/>
    <n v="130"/>
    <n v="81"/>
    <n v="211"/>
    <n v="139"/>
    <n v="40"/>
    <n v="15"/>
    <n v="1577"/>
    <n v="2429"/>
    <n v="0.38388625592417064"/>
    <n v="0.38388625592417064"/>
    <n v="130"/>
    <n v="205010"/>
    <s v="Avg"/>
    <s v="Jan"/>
    <n v="196749"/>
    <n v="170.5"/>
    <n v="0.47507331378299122"/>
  </r>
  <r>
    <s v="ORD472"/>
    <d v="2024-01-13T00:00:00"/>
    <x v="6"/>
    <x v="2"/>
    <s v="StyleStreet"/>
    <n v="93"/>
    <n v="21"/>
    <n v="114"/>
    <n v="99"/>
    <n v="31"/>
    <n v="3"/>
    <n v="1957"/>
    <n v="3349"/>
    <n v="0.18421052631578946"/>
    <n v="0.18421052631578946"/>
    <n v="93"/>
    <n v="182001"/>
    <s v="Dead Stock"/>
    <s v="Jan"/>
    <n v="70329"/>
    <n v="103.5"/>
    <n v="0.20289855072463769"/>
  </r>
  <r>
    <s v="ORD473"/>
    <d v="2024-02-09T00:00:00"/>
    <x v="5"/>
    <x v="0"/>
    <s v="Clothify"/>
    <s v="Not Available"/>
    <n v="103"/>
    <s v="-"/>
    <n v="197"/>
    <n v="39"/>
    <n v="12"/>
    <n v="857"/>
    <n v="1147"/>
    <e v="#VALUE!"/>
    <s v="incomplete"/>
    <s v="Not Available"/>
    <n v="0"/>
    <s v="High"/>
    <s v="Feb"/>
    <n v="118141"/>
    <s v="-"/>
    <s v="-"/>
  </r>
  <r>
    <s v="ORD474"/>
    <d v="2024-08-09T00:00:00"/>
    <x v="3"/>
    <x v="1"/>
    <s v="Urban Wear Co"/>
    <n v="51"/>
    <n v="12"/>
    <n v="63"/>
    <n v="141"/>
    <n v="69"/>
    <n v="2"/>
    <n v="1101"/>
    <n v="1202"/>
    <n v="0.19047619047619047"/>
    <n v="0.19047619047619047"/>
    <n v="51"/>
    <n v="56151"/>
    <s v="Dead Stock"/>
    <s v="Aug"/>
    <n v="14424"/>
    <n v="57"/>
    <n v="0.21052631578947367"/>
  </r>
  <r>
    <s v="ORD475"/>
    <d v="2024-07-16T00:00:00"/>
    <x v="5"/>
    <x v="2"/>
    <s v="Clothify"/>
    <n v="7"/>
    <n v="85"/>
    <n v="92"/>
    <n v="232"/>
    <n v="70"/>
    <n v="13"/>
    <n v="845"/>
    <n v="1532"/>
    <n v="0.92391304347826086"/>
    <n v="0.92391304347826086"/>
    <n v="7"/>
    <n v="5915"/>
    <s v="High"/>
    <s v="Jul"/>
    <n v="130220"/>
    <n v="49.5"/>
    <n v="1.7171717171717171"/>
  </r>
  <r>
    <s v="ORD476"/>
    <d v="2024-07-29T00:00:00"/>
    <x v="3"/>
    <x v="1"/>
    <s v="Urban Wear Co"/>
    <n v="45"/>
    <n v="1"/>
    <n v="46"/>
    <n v="2"/>
    <n v="59"/>
    <n v="8"/>
    <n v="1551"/>
    <n v="1824"/>
    <n v="2.1739130434782608E-2"/>
    <n v="2.1739130434782608E-2"/>
    <n v="45"/>
    <n v="69795"/>
    <s v="Dead Stock"/>
    <s v="Jul"/>
    <n v="1824"/>
    <n v="45.5"/>
    <n v="2.197802197802198E-2"/>
  </r>
  <r>
    <s v="ORD477"/>
    <d v="2024-06-07T00:00:00"/>
    <x v="7"/>
    <x v="0"/>
    <s v="Not Available"/>
    <n v="30"/>
    <n v="115"/>
    <n v="145"/>
    <n v="234"/>
    <n v="34"/>
    <n v="6"/>
    <n v="254"/>
    <n v="1001"/>
    <n v="0.7931034482758621"/>
    <n v="0.7931034482758621"/>
    <n v="30"/>
    <n v="7620"/>
    <s v="High"/>
    <s v="Jun"/>
    <n v="115115"/>
    <n v="87.5"/>
    <n v="1.3142857142857143"/>
  </r>
  <r>
    <s v="ORD478"/>
    <d v="2024-02-16T00:00:00"/>
    <x v="3"/>
    <x v="0"/>
    <s v="Clothify"/>
    <n v="74"/>
    <n v="13"/>
    <n v="87"/>
    <n v="42"/>
    <n v="75"/>
    <n v="3"/>
    <n v="1203"/>
    <n v="2048"/>
    <n v="0.14942528735632185"/>
    <n v="0.14942528735632185"/>
    <n v="74"/>
    <n v="89022"/>
    <s v="Dead Stock"/>
    <s v="Feb"/>
    <n v="26624"/>
    <n v="80.5"/>
    <n v="0.16149068322981366"/>
  </r>
  <r>
    <s v="ORD479"/>
    <d v="2024-06-21T00:00:00"/>
    <x v="2"/>
    <x v="0"/>
    <s v="Clothify"/>
    <n v="88"/>
    <n v="66"/>
    <n v="154"/>
    <n v="300"/>
    <n v="31"/>
    <n v="4"/>
    <n v="401"/>
    <n v="1411"/>
    <n v="0.42857142857142855"/>
    <n v="0.42857142857142855"/>
    <n v="88"/>
    <n v="35288"/>
    <s v="Avg"/>
    <s v="Jun"/>
    <n v="93126"/>
    <n v="121"/>
    <n v="0.54545454545454541"/>
  </r>
  <r>
    <s v="ORD480"/>
    <d v="2024-05-23T00:00:00"/>
    <x v="0"/>
    <x v="0"/>
    <s v="Fashion Hub Ltd"/>
    <n v="78"/>
    <n v="70"/>
    <n v="148"/>
    <n v="135"/>
    <n v="46"/>
    <n v="11"/>
    <n v="675"/>
    <n v="1881"/>
    <n v="0.47297297297297297"/>
    <n v="0.47297297297297297"/>
    <n v="78"/>
    <n v="52650"/>
    <s v="Avg"/>
    <s v="May"/>
    <n v="131670"/>
    <n v="113"/>
    <n v="0.61946902654867253"/>
  </r>
  <r>
    <s v="ORD481"/>
    <d v="2024-02-23T00:00:00"/>
    <x v="4"/>
    <x v="0"/>
    <s v="Urban Wear Co"/>
    <n v="139"/>
    <n v="91"/>
    <n v="230"/>
    <n v="250"/>
    <n v="74"/>
    <n v="5"/>
    <n v="1242"/>
    <n v="1498"/>
    <n v="0.39565217391304347"/>
    <n v="0.39565217391304347"/>
    <n v="139"/>
    <n v="172638"/>
    <s v="Avg"/>
    <s v="Feb"/>
    <n v="136318"/>
    <n v="184.5"/>
    <n v="0.49322493224932251"/>
  </r>
  <r>
    <s v="ORD482"/>
    <d v="2024-11-24T00:00:00"/>
    <x v="6"/>
    <x v="1"/>
    <s v="StyleStreet"/>
    <n v="70"/>
    <n v="43"/>
    <n v="113"/>
    <n v="33"/>
    <n v="48"/>
    <n v="7"/>
    <n v="1371"/>
    <n v="2192"/>
    <n v="0.38053097345132741"/>
    <n v="0.38053097345132741"/>
    <n v="70"/>
    <n v="95970"/>
    <s v="Avg"/>
    <s v="Nov"/>
    <n v="94256"/>
    <n v="91.5"/>
    <n v="0.46994535519125685"/>
  </r>
  <r>
    <s v="ORD483"/>
    <d v="2024-12-30T00:00:00"/>
    <x v="3"/>
    <x v="0"/>
    <s v="Clothify"/>
    <n v="138"/>
    <n v="87"/>
    <n v="225"/>
    <n v="286"/>
    <n v="60"/>
    <n v="9"/>
    <n v="1042"/>
    <n v="2473"/>
    <n v="0.38666666666666666"/>
    <n v="0.38666666666666666"/>
    <n v="138"/>
    <n v="143796"/>
    <s v="Avg"/>
    <s v="Dec"/>
    <n v="215151"/>
    <n v="181.5"/>
    <n v="0.47933884297520662"/>
  </r>
  <r>
    <s v="ORD484"/>
    <d v="2024-08-08T00:00:00"/>
    <x v="2"/>
    <x v="1"/>
    <s v="Urban Wear Co"/>
    <n v="30"/>
    <n v="115"/>
    <n v="145"/>
    <n v="238"/>
    <n v="48"/>
    <n v="11"/>
    <n v="261"/>
    <n v="1391"/>
    <n v="0.7931034482758621"/>
    <n v="0.7931034482758621"/>
    <n v="30"/>
    <n v="7830"/>
    <s v="High"/>
    <s v="Aug"/>
    <n v="159965"/>
    <n v="87.5"/>
    <n v="1.3142857142857143"/>
  </r>
  <r>
    <s v="ORD485"/>
    <d v="2024-11-10T00:00:00"/>
    <x v="6"/>
    <x v="1"/>
    <s v="StyleStreet"/>
    <n v="91"/>
    <n v="92"/>
    <n v="183"/>
    <n v="137"/>
    <n v="32"/>
    <n v="7"/>
    <n v="1909"/>
    <n v="3079"/>
    <n v="0.50273224043715847"/>
    <n v="0.50273224043715847"/>
    <n v="91"/>
    <n v="173719"/>
    <s v="Avg"/>
    <s v="Nov"/>
    <n v="283268"/>
    <n v="137"/>
    <n v="0.67153284671532842"/>
  </r>
  <r>
    <s v="ORD486"/>
    <d v="2024-08-09T00:00:00"/>
    <x v="3"/>
    <x v="0"/>
    <s v="Urban Wear Co"/>
    <n v="99"/>
    <n v="34"/>
    <n v="133"/>
    <n v="129"/>
    <n v="77"/>
    <n v="2"/>
    <n v="1818"/>
    <n v="2883"/>
    <n v="0.25563909774436089"/>
    <n v="0.25563909774436089"/>
    <n v="99"/>
    <n v="179982"/>
    <s v="Dead Stock"/>
    <s v="Aug"/>
    <n v="98022"/>
    <n v="116"/>
    <n v="0.29310344827586204"/>
  </r>
  <r>
    <s v="ORD487"/>
    <d v="2024-12-12T00:00:00"/>
    <x v="5"/>
    <x v="2"/>
    <s v="StyleStreet"/>
    <n v="70"/>
    <n v="67"/>
    <n v="137"/>
    <n v="120"/>
    <n v="73"/>
    <n v="15"/>
    <n v="487"/>
    <n v="1045"/>
    <n v="0.48905109489051096"/>
    <n v="0.48905109489051096"/>
    <n v="70"/>
    <n v="34090"/>
    <s v="Avg"/>
    <s v="Dec"/>
    <n v="70015"/>
    <n v="103.5"/>
    <n v="0.64734299516908211"/>
  </r>
  <r>
    <s v="ORD488"/>
    <d v="2024-02-23T00:00:00"/>
    <x v="4"/>
    <x v="0"/>
    <s v="StyleStreet"/>
    <n v="49"/>
    <n v="4"/>
    <n v="53"/>
    <n v="283"/>
    <n v="64"/>
    <n v="6"/>
    <n v="1143"/>
    <n v="2543"/>
    <n v="7.5471698113207544E-2"/>
    <n v="7.5471698113207544E-2"/>
    <n v="49"/>
    <n v="56007"/>
    <s v="Dead Stock"/>
    <s v="Feb"/>
    <n v="10172"/>
    <n v="51"/>
    <n v="7.8431372549019607E-2"/>
  </r>
  <r>
    <s v="ORD489"/>
    <d v="2024-03-16T00:00:00"/>
    <x v="3"/>
    <x v="0"/>
    <s v="Urban Wear Co"/>
    <n v="75"/>
    <n v="94"/>
    <n v="169"/>
    <n v="212"/>
    <n v="33"/>
    <n v="11"/>
    <n v="882"/>
    <n v="1664"/>
    <n v="0.55621301775147924"/>
    <n v="0.55621301775147924"/>
    <n v="75"/>
    <n v="66150"/>
    <s v="Avg"/>
    <s v="Mar"/>
    <n v="156416"/>
    <n v="122"/>
    <n v="0.77049180327868849"/>
  </r>
  <r>
    <s v="ORD490"/>
    <d v="2024-09-08T00:00:00"/>
    <x v="0"/>
    <x v="1"/>
    <s v="StyleStreet"/>
    <n v="112"/>
    <n v="42"/>
    <n v="154"/>
    <n v="223"/>
    <n v="66"/>
    <n v="6"/>
    <n v="907"/>
    <n v="2130"/>
    <n v="0.27272727272727271"/>
    <n v="0.27272727272727271"/>
    <n v="112"/>
    <n v="101584"/>
    <s v="Dead Stock"/>
    <s v="Sep"/>
    <n v="89460"/>
    <n v="133"/>
    <n v="0.31578947368421051"/>
  </r>
  <r>
    <s v="ORD491"/>
    <d v="2024-06-02T00:00:00"/>
    <x v="6"/>
    <x v="2"/>
    <s v="Fashion Hub Ltd"/>
    <n v="145"/>
    <n v="90"/>
    <n v="235"/>
    <n v="154"/>
    <n v="71"/>
    <n v="11"/>
    <n v="664"/>
    <n v="1581"/>
    <n v="0.38297872340425532"/>
    <n v="0.38297872340425532"/>
    <n v="145"/>
    <n v="96280"/>
    <s v="Avg"/>
    <s v="Jun"/>
    <n v="142290"/>
    <n v="190"/>
    <n v="0.47368421052631576"/>
  </r>
  <r>
    <s v="ORD492"/>
    <d v="2024-05-11T00:00:00"/>
    <x v="2"/>
    <x v="2"/>
    <s v="Fashion Hub Ltd"/>
    <n v="116"/>
    <n v="110"/>
    <n v="226"/>
    <n v="202"/>
    <n v="31"/>
    <n v="11"/>
    <n v="1216"/>
    <n v="2503"/>
    <n v="0.48672566371681414"/>
    <n v="0.48672566371681414"/>
    <n v="116"/>
    <n v="141056"/>
    <s v="Avg"/>
    <s v="May"/>
    <n v="275330"/>
    <n v="171"/>
    <n v="0.64327485380116955"/>
  </r>
  <r>
    <s v="ORD493"/>
    <d v="2024-01-04T00:00:00"/>
    <x v="7"/>
    <x v="0"/>
    <s v="StyleStreet"/>
    <n v="137"/>
    <n v="112"/>
    <n v="249"/>
    <n v="4"/>
    <n v="72"/>
    <n v="13"/>
    <n v="1540"/>
    <n v="2889"/>
    <n v="0.44979919678714858"/>
    <n v="0.44979919678714858"/>
    <n v="137"/>
    <n v="210980"/>
    <s v="Avg"/>
    <s v="Jan"/>
    <n v="323568"/>
    <n v="193"/>
    <n v="0.5803108808290155"/>
  </r>
  <r>
    <s v="ORD494"/>
    <d v="2024-04-03T00:00:00"/>
    <x v="6"/>
    <x v="1"/>
    <s v="Fashion Hub Ltd"/>
    <n v="113"/>
    <n v="103"/>
    <n v="216"/>
    <n v="119"/>
    <n v="78"/>
    <n v="4"/>
    <n v="881"/>
    <n v="2250"/>
    <n v="0.47685185185185186"/>
    <n v="0.47685185185185186"/>
    <n v="113"/>
    <n v="99553"/>
    <s v="Avg"/>
    <s v="Apr"/>
    <n v="231750"/>
    <n v="164.5"/>
    <n v="0.62613981762917936"/>
  </r>
  <r>
    <s v="ORD495"/>
    <d v="2024-01-31T00:00:00"/>
    <x v="5"/>
    <x v="0"/>
    <s v="Fashion Hub Ltd"/>
    <n v="16"/>
    <n v="28"/>
    <n v="44"/>
    <n v="263"/>
    <n v="73"/>
    <n v="11"/>
    <n v="897"/>
    <n v="1763"/>
    <n v="0.63636363636363635"/>
    <n v="0.63636363636363635"/>
    <n v="16"/>
    <n v="14352"/>
    <s v="High"/>
    <s v="Jan"/>
    <n v="49364"/>
    <n v="30"/>
    <n v="0.93333333333333335"/>
  </r>
  <r>
    <s v="ORD496"/>
    <d v="2024-12-15T00:00:00"/>
    <x v="0"/>
    <x v="2"/>
    <s v="Fashion Hub Ltd"/>
    <n v="58"/>
    <n v="60"/>
    <n v="118"/>
    <n v="210"/>
    <n v="31"/>
    <n v="5"/>
    <n v="1000"/>
    <n v="2479"/>
    <n v="0.50847457627118642"/>
    <n v="0.50847457627118642"/>
    <n v="58"/>
    <n v="58000"/>
    <s v="Avg"/>
    <s v="Dec"/>
    <n v="148740"/>
    <n v="88"/>
    <n v="0.68181818181818177"/>
  </r>
  <r>
    <s v="ORD497"/>
    <d v="2024-08-26T00:00:00"/>
    <x v="3"/>
    <x v="1"/>
    <s v="Clothify"/>
    <n v="16"/>
    <n v="23"/>
    <n v="39"/>
    <n v="154"/>
    <n v="59"/>
    <n v="11"/>
    <n v="923"/>
    <n v="1291"/>
    <n v="0.58974358974358976"/>
    <n v="0.58974358974358976"/>
    <n v="16"/>
    <n v="14768"/>
    <s v="Avg"/>
    <s v="Aug"/>
    <n v="29693"/>
    <n v="27.5"/>
    <n v="0.83636363636363631"/>
  </r>
  <r>
    <s v="ORD498"/>
    <d v="2024-02-20T00:00:00"/>
    <x v="5"/>
    <x v="1"/>
    <s v="Clothify"/>
    <n v="60"/>
    <n v="71"/>
    <n v="131"/>
    <n v="50"/>
    <n v="46"/>
    <n v="15"/>
    <n v="702"/>
    <n v="1906"/>
    <n v="0.5419847328244275"/>
    <n v="0.5419847328244275"/>
    <n v="60"/>
    <n v="42120"/>
    <s v="Avg"/>
    <s v="Feb"/>
    <n v="135326"/>
    <n v="95.5"/>
    <n v="0.74345549738219896"/>
  </r>
  <r>
    <s v="ORD499"/>
    <d v="2024-02-20T00:00:00"/>
    <x v="6"/>
    <x v="2"/>
    <s v="Fashion Hub Ltd"/>
    <n v="24"/>
    <n v="83"/>
    <n v="107"/>
    <n v="20"/>
    <n v="67"/>
    <n v="8"/>
    <n v="599"/>
    <n v="1078"/>
    <n v="0.77570093457943923"/>
    <n v="0.77570093457943923"/>
    <n v="24"/>
    <n v="14376"/>
    <s v="High"/>
    <s v="Feb"/>
    <n v="89474"/>
    <n v="65.5"/>
    <n v="1.2671755725190839"/>
  </r>
  <r>
    <s v="ORD500"/>
    <d v="2024-08-15T00:00:00"/>
    <x v="1"/>
    <x v="2"/>
    <s v="Clothify"/>
    <n v="103"/>
    <n v="14"/>
    <n v="117"/>
    <n v="24"/>
    <n v="52"/>
    <n v="5"/>
    <n v="1454"/>
    <n v="1851"/>
    <n v="0.11965811965811966"/>
    <n v="0.11965811965811966"/>
    <n v="103"/>
    <n v="149762"/>
    <s v="Dead Stock"/>
    <s v="Aug"/>
    <n v="25914"/>
    <n v="110"/>
    <n v="0.12727272727272726"/>
  </r>
  <r>
    <m/>
    <m/>
    <x v="8"/>
    <x v="3"/>
    <m/>
    <n v="36933"/>
    <n v="29962"/>
    <m/>
    <m/>
    <m/>
    <m/>
    <m/>
    <m/>
    <m/>
    <n v="0.44457025975212361"/>
    <n v="18494"/>
    <n v="39859265"/>
    <n v="13037601"/>
    <m/>
    <n v="29045560"/>
    <n v="18466.5"/>
    <n v="1.622505618281753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E8BD89E-7319-4BA0-A7C2-FF12019306B3}" name="PivotTable3"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AX5:AY6" firstHeaderRow="0" firstDataRow="1" firstDataCol="0"/>
  <pivotFields count="2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164" showAll="0"/>
    <pivotField showAll="0"/>
    <pivotField showAll="0">
      <items count="13">
        <item x="6"/>
        <item x="4"/>
        <item x="10"/>
        <item x="9"/>
        <item x="11"/>
        <item x="7"/>
        <item x="2"/>
        <item x="1"/>
        <item x="8"/>
        <item x="5"/>
        <item x="3"/>
        <item x="0"/>
        <item t="default"/>
      </items>
    </pivotField>
    <pivotField dataField="1" numFmtId="164" showAll="0"/>
  </pivotFields>
  <rowItems count="1">
    <i/>
  </rowItems>
  <colFields count="1">
    <field x="-2"/>
  </colFields>
  <colItems count="2">
    <i>
      <x/>
    </i>
    <i i="1">
      <x v="1"/>
    </i>
  </colItems>
  <dataFields count="2">
    <dataField name="Sum of selling value value" fld="19" baseField="0" baseItem="0" numFmtId="164"/>
    <dataField name="Sum of unsold Value " fld="16" baseField="0" baseItem="0" numFmtId="164"/>
  </dataFields>
  <chartFormats count="6">
    <chartFormat chart="15" format="0" series="1">
      <pivotArea type="data" outline="0" fieldPosition="0">
        <references count="1">
          <reference field="4294967294" count="1" selected="0">
            <x v="0"/>
          </reference>
        </references>
      </pivotArea>
    </chartFormat>
    <chartFormat chart="15" format="1" series="1">
      <pivotArea type="data" outline="0" fieldPosition="0">
        <references count="1">
          <reference field="4294967294" count="1" selected="0">
            <x v="1"/>
          </reference>
        </references>
      </pivotArea>
    </chartFormat>
    <chartFormat chart="19" format="4" series="1">
      <pivotArea type="data" outline="0" fieldPosition="0">
        <references count="1">
          <reference field="4294967294" count="1" selected="0">
            <x v="0"/>
          </reference>
        </references>
      </pivotArea>
    </chartFormat>
    <chartFormat chart="19" format="5" series="1">
      <pivotArea type="data" outline="0" fieldPosition="0">
        <references count="1">
          <reference field="4294967294" count="1" selected="0">
            <x v="1"/>
          </reference>
        </references>
      </pivotArea>
    </chartFormat>
    <chartFormat chart="19" format="6">
      <pivotArea type="data" outline="0" fieldPosition="0">
        <references count="1">
          <reference field="4294967294" count="1" selected="0">
            <x v="0"/>
          </reference>
        </references>
      </pivotArea>
    </chartFormat>
    <chartFormat chart="19" format="7">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0491251-0FB7-44F7-9BDD-7892C40EDFB4}" name="PivotTable16"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N23:AO33" firstHeaderRow="1" firstDataRow="1" firstDataCol="1"/>
  <pivotFields count="22">
    <pivotField showAll="0"/>
    <pivotField showAll="0"/>
    <pivotField axis="axisRow" showAll="0">
      <items count="10">
        <item x="4"/>
        <item x="1"/>
        <item x="5"/>
        <item x="0"/>
        <item x="6"/>
        <item x="7"/>
        <item x="2"/>
        <item x="3"/>
        <item x="8"/>
        <item t="default"/>
      </items>
    </pivotField>
    <pivotField showAll="0">
      <items count="5">
        <item h="1" x="0"/>
        <item x="2"/>
        <item h="1" x="1"/>
        <item h="1"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numFmtId="164" showAll="0"/>
    <pivotField showAll="0"/>
    <pivotField dataField="1" showAll="0"/>
  </pivotFields>
  <rowFields count="1">
    <field x="2"/>
  </rowFields>
  <rowItems count="10">
    <i>
      <x/>
    </i>
    <i>
      <x v="1"/>
    </i>
    <i>
      <x v="2"/>
    </i>
    <i>
      <x v="3"/>
    </i>
    <i>
      <x v="4"/>
    </i>
    <i>
      <x v="5"/>
    </i>
    <i>
      <x v="6"/>
    </i>
    <i>
      <x v="7"/>
    </i>
    <i>
      <x v="8"/>
    </i>
    <i t="grand">
      <x/>
    </i>
  </rowItems>
  <colItems count="1">
    <i/>
  </colItems>
  <dataFields count="1">
    <dataField name="Count of Turn Over" fld="2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53B8BC5-7F77-4121-8458-0F48EB922EB2}" name="PivotTable9"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O47:AP56" firstHeaderRow="1" firstDataRow="1" firstDataCol="1" rowPageCount="1" colPageCount="1"/>
  <pivotFields count="20">
    <pivotField showAll="0"/>
    <pivotField showAll="0"/>
    <pivotField axis="axisRow" showAll="0">
      <items count="9">
        <item x="4"/>
        <item x="1"/>
        <item x="5"/>
        <item x="0"/>
        <item x="6"/>
        <item x="7"/>
        <item x="2"/>
        <item x="3"/>
        <item t="default"/>
      </items>
    </pivotField>
    <pivotField showAll="0"/>
    <pivotField showAll="0">
      <items count="6">
        <item x="4"/>
        <item x="3"/>
        <item x="2"/>
        <item x="0"/>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numFmtId="164" showAll="0"/>
    <pivotField axis="axisPage" showAll="0">
      <items count="4">
        <item x="2"/>
        <item x="1"/>
        <item x="0"/>
        <item t="default"/>
      </items>
    </pivotField>
    <pivotField showAll="0">
      <items count="13">
        <item x="6"/>
        <item x="4"/>
        <item x="10"/>
        <item x="9"/>
        <item x="11"/>
        <item x="7"/>
        <item x="2"/>
        <item x="1"/>
        <item x="8"/>
        <item x="5"/>
        <item x="3"/>
        <item x="0"/>
        <item t="default"/>
      </items>
    </pivotField>
    <pivotField numFmtId="164" showAll="0"/>
  </pivotFields>
  <rowFields count="1">
    <field x="2"/>
  </rowFields>
  <rowItems count="9">
    <i>
      <x/>
    </i>
    <i>
      <x v="1"/>
    </i>
    <i>
      <x v="2"/>
    </i>
    <i>
      <x v="3"/>
    </i>
    <i>
      <x v="4"/>
    </i>
    <i>
      <x v="5"/>
    </i>
    <i>
      <x v="6"/>
    </i>
    <i>
      <x v="7"/>
    </i>
    <i t="grand">
      <x/>
    </i>
  </rowItems>
  <colItems count="1">
    <i/>
  </colItems>
  <pageFields count="1">
    <pageField fld="17" item="2" hier="-1"/>
  </pageFields>
  <dataFields count="1">
    <dataField name="Sum of Unsold Quantity" fld="15" baseField="17" baseItem="1"/>
  </dataFields>
  <formats count="1">
    <format dxfId="6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2DC294B-6492-43D6-97CC-564F4B1C5B29}"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N5:AO9" firstHeaderRow="1" firstDataRow="1" firstDataCol="1" rowPageCount="1" colPageCount="1"/>
  <pivotFields count="2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 numFmtId="164" showAll="0"/>
    <pivotField axis="axisPage" showAll="0">
      <items count="4">
        <item x="2"/>
        <item x="1"/>
        <item x="0"/>
        <item t="default"/>
      </items>
    </pivotField>
    <pivotField showAll="0">
      <items count="13">
        <item x="6"/>
        <item x="4"/>
        <item x="10"/>
        <item x="9"/>
        <item x="11"/>
        <item x="7"/>
        <item x="2"/>
        <item x="1"/>
        <item x="8"/>
        <item x="5"/>
        <item x="3"/>
        <item x="0"/>
        <item t="default"/>
      </items>
    </pivotField>
    <pivotField numFmtId="164" showAll="0"/>
  </pivotFields>
  <rowFields count="1">
    <field x="3"/>
  </rowFields>
  <rowItems count="4">
    <i>
      <x/>
    </i>
    <i>
      <x v="1"/>
    </i>
    <i>
      <x v="2"/>
    </i>
    <i t="grand">
      <x/>
    </i>
  </rowItems>
  <colItems count="1">
    <i/>
  </colItems>
  <pageFields count="1">
    <pageField fld="17" item="1" hier="-1"/>
  </pageFields>
  <dataFields count="1">
    <dataField name="Sum of Unsold Quantity" fld="15" baseField="3" baseItem="0"/>
  </dataFields>
  <chartFormats count="6">
    <chartFormat chart="0"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3" format="3" series="1">
      <pivotArea type="data" outline="0" fieldPosition="0">
        <references count="1">
          <reference field="4294967294" count="1" selected="0">
            <x v="0"/>
          </reference>
        </references>
      </pivotArea>
    </chartFormat>
    <chartFormat chart="14"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380C6C1-4CE0-4109-97E7-A79D0CB0BD0E}" name="Stock NO"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T29:AV33" firstHeaderRow="0" firstDataRow="1" firstDataCol="1"/>
  <pivotFields count="2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numFmtId="164" showAll="0"/>
    <pivotField axis="axisRow" showAll="0">
      <items count="4">
        <item x="2"/>
        <item x="1"/>
        <item x="0"/>
        <item t="default"/>
      </items>
    </pivotField>
    <pivotField showAll="0">
      <items count="13">
        <item x="6"/>
        <item x="4"/>
        <item x="10"/>
        <item x="9"/>
        <item x="11"/>
        <item x="7"/>
        <item x="2"/>
        <item x="1"/>
        <item x="8"/>
        <item x="5"/>
        <item x="3"/>
        <item x="0"/>
        <item t="default"/>
      </items>
    </pivotField>
    <pivotField dataField="1" numFmtId="164" showAll="0"/>
  </pivotFields>
  <rowFields count="1">
    <field x="17"/>
  </rowFields>
  <rowItems count="4">
    <i>
      <x/>
    </i>
    <i>
      <x v="1"/>
    </i>
    <i>
      <x v="2"/>
    </i>
    <i t="grand">
      <x/>
    </i>
  </rowItems>
  <colFields count="1">
    <field x="-2"/>
  </colFields>
  <colItems count="2">
    <i>
      <x/>
    </i>
    <i i="1">
      <x v="1"/>
    </i>
  </colItems>
  <dataFields count="2">
    <dataField name="Sum of Unsold Quantity" fld="15" baseField="17" baseItem="1"/>
    <dataField name="Sum of selling value value" fld="19" baseField="0" baseItem="0" numFmtId="164"/>
  </dataFields>
  <formats count="1">
    <format dxfId="7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582326E-0897-4B77-B5C3-1EC863913B31}" name="PivotTable5"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AT5:AU14" firstHeaderRow="1" firstDataRow="1" firstDataCol="1" rowPageCount="1" colPageCount="1"/>
  <pivotFields count="20">
    <pivotField showAll="0"/>
    <pivotField showAll="0"/>
    <pivotField axis="axisRow" showAll="0">
      <items count="9">
        <item x="4"/>
        <item x="1"/>
        <item x="5"/>
        <item x="0"/>
        <item x="6"/>
        <item x="7"/>
        <item x="2"/>
        <item x="3"/>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numFmtId="164" showAll="0"/>
    <pivotField axis="axisPage" showAll="0">
      <items count="4">
        <item x="2"/>
        <item x="1"/>
        <item x="0"/>
        <item t="default"/>
      </items>
    </pivotField>
    <pivotField showAll="0">
      <items count="13">
        <item x="6"/>
        <item x="4"/>
        <item x="10"/>
        <item x="9"/>
        <item x="11"/>
        <item x="7"/>
        <item x="2"/>
        <item x="1"/>
        <item x="8"/>
        <item x="5"/>
        <item x="3"/>
        <item x="0"/>
        <item t="default"/>
      </items>
    </pivotField>
    <pivotField numFmtId="164" showAll="0"/>
  </pivotFields>
  <rowFields count="1">
    <field x="2"/>
  </rowFields>
  <rowItems count="9">
    <i>
      <x/>
    </i>
    <i>
      <x v="1"/>
    </i>
    <i>
      <x v="2"/>
    </i>
    <i>
      <x v="3"/>
    </i>
    <i>
      <x v="4"/>
    </i>
    <i>
      <x v="5"/>
    </i>
    <i>
      <x v="6"/>
    </i>
    <i>
      <x v="7"/>
    </i>
    <i t="grand">
      <x/>
    </i>
  </rowItems>
  <colItems count="1">
    <i/>
  </colItems>
  <pageFields count="1">
    <pageField fld="17" item="1" hier="-1"/>
  </pageFields>
  <dataFields count="1">
    <dataField name="Sum of Sell Through %" fld="14" showDataAs="percentOfTotal" baseField="2" baseItem="0" numFmtId="10"/>
  </dataFields>
  <chartFormats count="2">
    <chartFormat chart="20" format="3" series="1">
      <pivotArea type="data" outline="0" fieldPosition="0">
        <references count="1">
          <reference field="4294967294" count="1" selected="0">
            <x v="0"/>
          </reference>
        </references>
      </pivotArea>
    </chartFormat>
    <chartFormat chart="16"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1860E74-5613-4E4C-BBF7-F3A55C5AC874}" name="PivotTable2"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Q5:AR9" firstHeaderRow="1" firstDataRow="1" firstDataCol="1"/>
  <pivotFields count="20">
    <pivotField showAll="0"/>
    <pivotField showAll="0"/>
    <pivotField showAll="0"/>
    <pivotField showAll="0">
      <items count="4">
        <item x="0"/>
        <item h="1" x="2"/>
        <item x="1"/>
        <item t="default"/>
      </items>
    </pivotField>
    <pivotField showAll="0">
      <items count="6">
        <item x="4"/>
        <item x="3"/>
        <item x="2"/>
        <item x="0"/>
        <item x="1"/>
        <item t="default"/>
      </items>
    </pivotField>
    <pivotField showAll="0"/>
    <pivotField showAll="0"/>
    <pivotField showAll="0"/>
    <pivotField showAll="0"/>
    <pivotField showAll="0"/>
    <pivotField showAll="0"/>
    <pivotField showAll="0"/>
    <pivotField showAll="0"/>
    <pivotField showAll="0"/>
    <pivotField showAll="0"/>
    <pivotField showAll="0"/>
    <pivotField dataField="1" numFmtId="164" showAll="0"/>
    <pivotField axis="axisRow" showAll="0">
      <items count="4">
        <item x="2"/>
        <item x="1"/>
        <item x="0"/>
        <item t="default"/>
      </items>
    </pivotField>
    <pivotField showAll="0">
      <items count="13">
        <item x="6"/>
        <item x="4"/>
        <item x="10"/>
        <item x="9"/>
        <item x="11"/>
        <item x="7"/>
        <item x="2"/>
        <item x="1"/>
        <item x="8"/>
        <item x="5"/>
        <item x="3"/>
        <item x="0"/>
        <item t="default"/>
      </items>
    </pivotField>
    <pivotField numFmtId="164" showAll="0"/>
  </pivotFields>
  <rowFields count="1">
    <field x="17"/>
  </rowFields>
  <rowItems count="4">
    <i>
      <x/>
    </i>
    <i>
      <x v="1"/>
    </i>
    <i>
      <x v="2"/>
    </i>
    <i t="grand">
      <x/>
    </i>
  </rowItems>
  <colItems count="1">
    <i/>
  </colItems>
  <dataFields count="1">
    <dataField name="Sum of unsold Value " fld="16" baseField="0" baseItem="0" numFmtId="164"/>
  </dataFields>
  <chartFormats count="26">
    <chartFormat chart="10" format="0" series="1">
      <pivotArea type="data" outline="0" fieldPosition="0">
        <references count="1">
          <reference field="4294967294" count="1" selected="0">
            <x v="0"/>
          </reference>
        </references>
      </pivotArea>
    </chartFormat>
    <chartFormat chart="10" format="1">
      <pivotArea type="data" outline="0" fieldPosition="0">
        <references count="2">
          <reference field="4294967294" count="1" selected="0">
            <x v="0"/>
          </reference>
          <reference field="17" count="1" selected="0">
            <x v="0"/>
          </reference>
        </references>
      </pivotArea>
    </chartFormat>
    <chartFormat chart="11"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0"/>
          </reference>
        </references>
      </pivotArea>
    </chartFormat>
    <chartFormat chart="12" format="2">
      <pivotArea type="data" outline="0" fieldPosition="0">
        <references count="2">
          <reference field="4294967294" count="1" selected="0">
            <x v="0"/>
          </reference>
          <reference field="17" count="1" selected="0">
            <x v="0"/>
          </reference>
        </references>
      </pivotArea>
    </chartFormat>
    <chartFormat chart="12" format="3">
      <pivotArea type="data" outline="0" fieldPosition="0">
        <references count="2">
          <reference field="4294967294" count="1" selected="0">
            <x v="0"/>
          </reference>
          <reference field="17" count="1" selected="0">
            <x v="1"/>
          </reference>
        </references>
      </pivotArea>
    </chartFormat>
    <chartFormat chart="12" format="4">
      <pivotArea type="data" outline="0" fieldPosition="0">
        <references count="2">
          <reference field="4294967294" count="1" selected="0">
            <x v="0"/>
          </reference>
          <reference field="17" count="1" selected="0">
            <x v="2"/>
          </reference>
        </references>
      </pivotArea>
    </chartFormat>
    <chartFormat chart="13" format="5" series="1">
      <pivotArea type="data" outline="0" fieldPosition="0">
        <references count="1">
          <reference field="4294967294" count="1" selected="0">
            <x v="0"/>
          </reference>
        </references>
      </pivotArea>
    </chartFormat>
    <chartFormat chart="13" format="6">
      <pivotArea type="data" outline="0" fieldPosition="0">
        <references count="2">
          <reference field="4294967294" count="1" selected="0">
            <x v="0"/>
          </reference>
          <reference field="17" count="1" selected="0">
            <x v="0"/>
          </reference>
        </references>
      </pivotArea>
    </chartFormat>
    <chartFormat chart="13" format="7">
      <pivotArea type="data" outline="0" fieldPosition="0">
        <references count="2">
          <reference field="4294967294" count="1" selected="0">
            <x v="0"/>
          </reference>
          <reference field="17" count="1" selected="0">
            <x v="1"/>
          </reference>
        </references>
      </pivotArea>
    </chartFormat>
    <chartFormat chart="13" format="8">
      <pivotArea type="data" outline="0" fieldPosition="0">
        <references count="2">
          <reference field="4294967294" count="1" selected="0">
            <x v="0"/>
          </reference>
          <reference field="17" count="1" selected="0">
            <x v="2"/>
          </reference>
        </references>
      </pivotArea>
    </chartFormat>
    <chartFormat chart="11" format="1">
      <pivotArea type="data" outline="0" fieldPosition="0">
        <references count="2">
          <reference field="4294967294" count="1" selected="0">
            <x v="0"/>
          </reference>
          <reference field="17" count="1" selected="0">
            <x v="0"/>
          </reference>
        </references>
      </pivotArea>
    </chartFormat>
    <chartFormat chart="11" format="2">
      <pivotArea type="data" outline="0" fieldPosition="0">
        <references count="2">
          <reference field="4294967294" count="1" selected="0">
            <x v="0"/>
          </reference>
          <reference field="17" count="1" selected="0">
            <x v="1"/>
          </reference>
        </references>
      </pivotArea>
    </chartFormat>
    <chartFormat chart="11" format="3">
      <pivotArea type="data" outline="0" fieldPosition="0">
        <references count="2">
          <reference field="4294967294" count="1" selected="0">
            <x v="0"/>
          </reference>
          <reference field="17" count="1" selected="0">
            <x v="2"/>
          </reference>
        </references>
      </pivotArea>
    </chartFormat>
    <chartFormat chart="15" format="9" series="1">
      <pivotArea type="data" outline="0" fieldPosition="0">
        <references count="1">
          <reference field="4294967294" count="1" selected="0">
            <x v="0"/>
          </reference>
        </references>
      </pivotArea>
    </chartFormat>
    <chartFormat chart="15" format="10">
      <pivotArea type="data" outline="0" fieldPosition="0">
        <references count="2">
          <reference field="4294967294" count="1" selected="0">
            <x v="0"/>
          </reference>
          <reference field="17" count="1" selected="0">
            <x v="0"/>
          </reference>
        </references>
      </pivotArea>
    </chartFormat>
    <chartFormat chart="15" format="11">
      <pivotArea type="data" outline="0" fieldPosition="0">
        <references count="2">
          <reference field="4294967294" count="1" selected="0">
            <x v="0"/>
          </reference>
          <reference field="17" count="1" selected="0">
            <x v="1"/>
          </reference>
        </references>
      </pivotArea>
    </chartFormat>
    <chartFormat chart="15" format="12">
      <pivotArea type="data" outline="0" fieldPosition="0">
        <references count="2">
          <reference field="4294967294" count="1" selected="0">
            <x v="0"/>
          </reference>
          <reference field="17" count="1" selected="0">
            <x v="2"/>
          </reference>
        </references>
      </pivotArea>
    </chartFormat>
    <chartFormat chart="16" format="13" series="1">
      <pivotArea type="data" outline="0" fieldPosition="0">
        <references count="1">
          <reference field="4294967294" count="1" selected="0">
            <x v="0"/>
          </reference>
        </references>
      </pivotArea>
    </chartFormat>
    <chartFormat chart="16" format="14">
      <pivotArea type="data" outline="0" fieldPosition="0">
        <references count="2">
          <reference field="4294967294" count="1" selected="0">
            <x v="0"/>
          </reference>
          <reference field="17" count="1" selected="0">
            <x v="0"/>
          </reference>
        </references>
      </pivotArea>
    </chartFormat>
    <chartFormat chart="16" format="15">
      <pivotArea type="data" outline="0" fieldPosition="0">
        <references count="2">
          <reference field="4294967294" count="1" selected="0">
            <x v="0"/>
          </reference>
          <reference field="17" count="1" selected="0">
            <x v="1"/>
          </reference>
        </references>
      </pivotArea>
    </chartFormat>
    <chartFormat chart="16" format="16">
      <pivotArea type="data" outline="0" fieldPosition="0">
        <references count="2">
          <reference field="4294967294" count="1" selected="0">
            <x v="0"/>
          </reference>
          <reference field="17" count="1" selected="0">
            <x v="2"/>
          </reference>
        </references>
      </pivotArea>
    </chartFormat>
    <chartFormat chart="17" format="13" series="1">
      <pivotArea type="data" outline="0" fieldPosition="0">
        <references count="1">
          <reference field="4294967294" count="1" selected="0">
            <x v="0"/>
          </reference>
        </references>
      </pivotArea>
    </chartFormat>
    <chartFormat chart="17" format="14">
      <pivotArea type="data" outline="0" fieldPosition="0">
        <references count="2">
          <reference field="4294967294" count="1" selected="0">
            <x v="0"/>
          </reference>
          <reference field="17" count="1" selected="0">
            <x v="0"/>
          </reference>
        </references>
      </pivotArea>
    </chartFormat>
    <chartFormat chart="17" format="15">
      <pivotArea type="data" outline="0" fieldPosition="0">
        <references count="2">
          <reference field="4294967294" count="1" selected="0">
            <x v="0"/>
          </reference>
          <reference field="17" count="1" selected="0">
            <x v="1"/>
          </reference>
        </references>
      </pivotArea>
    </chartFormat>
    <chartFormat chart="17" format="16">
      <pivotArea type="data" outline="0" fieldPosition="0">
        <references count="2">
          <reference field="4294967294" count="1" selected="0">
            <x v="0"/>
          </reference>
          <reference field="1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A49362C-BEA3-49D2-B080-7BA23B869976}" sourceName="Month">
  <pivotTables>
    <pivotTable tabId="2" name="PivotTable1"/>
    <pivotTable tabId="2" name="PivotTable2"/>
    <pivotTable tabId="2" name="PivotTable5"/>
    <pivotTable tabId="2" name="PivotTable3"/>
    <pivotTable tabId="2" name="Stock NO"/>
    <pivotTable tabId="2" name="PivotTable9"/>
  </pivotTables>
  <data>
    <tabular pivotCacheId="1196026214">
      <items count="12">
        <i x="6" s="1"/>
        <i x="4" s="1"/>
        <i x="10" s="1"/>
        <i x="9" s="1"/>
        <i x="11" s="1"/>
        <i x="7" s="1"/>
        <i x="2" s="1"/>
        <i x="1" s="1"/>
        <i x="8" s="1"/>
        <i x="5" s="1"/>
        <i x="3"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pplier" xr10:uid="{786ED957-FB74-43FF-B740-05122BD79127}" sourceName="Supplier">
  <pivotTables>
    <pivotTable tabId="2" name="PivotTable9"/>
    <pivotTable tabId="2" name="PivotTable2"/>
  </pivotTables>
  <data>
    <tabular pivotCacheId="1196026214">
      <items count="5">
        <i x="4" s="1"/>
        <i x="3" s="1"/>
        <i x="2"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2DCF20E9-61DC-4453-8F7A-E4A4825046AE}" sourceName="Category">
  <pivotTables>
    <pivotTable tabId="2" name="PivotTable2"/>
  </pivotTables>
  <data>
    <tabular pivotCacheId="1196026214">
      <items count="3">
        <i x="0" s="1"/>
        <i x="2"/>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8336DCEE-0AB6-460B-B18B-DEE9F925FDCD}" cache="Slicer_Month" caption="Month"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EAED88CA-89D0-4568-8494-8829D0F6D909}" cache="Slicer_Month" caption="Month" style="SlicerStyleDark2"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pplier" xr10:uid="{1C68DADF-47CA-4217-B2BF-45D4072A38F3}" cache="Slicer_Supplier" caption="Supplier" style="Slicer Style 1" rowHeight="247650"/>
  <slicer name="Category" xr10:uid="{AF6D0008-C180-471D-BD39-E8AB0B12185B}" cache="Slicer_Category" caption="Category" style="Slicer Style 1 2"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0A04624-AB10-4CD9-A850-CD8C3E088267}" name="Dead_Stock" displayName="Dead_Stock" ref="AL96:BD212" totalsRowShown="0" headerRowDxfId="68" headerRowBorderDxfId="67" tableBorderDxfId="66" totalsRowBorderDxfId="65">
  <autoFilter ref="AL96:BD212" xr:uid="{10A04624-AB10-4CD9-A850-CD8C3E088267}"/>
  <sortState xmlns:xlrd2="http://schemas.microsoft.com/office/spreadsheetml/2017/richdata2" ref="AL97:BD212">
    <sortCondition descending="1" ref="BB96:BB212"/>
  </sortState>
  <tableColumns count="19">
    <tableColumn id="1" xr3:uid="{360BEB6C-1C14-439D-8DBC-2A325562E3A8}" name="Order_ID" dataDxfId="64"/>
    <tableColumn id="2" xr3:uid="{BBD9A5E1-A63B-4476-83D9-79F971438D8E}" name="Date" dataDxfId="63"/>
    <tableColumn id="3" xr3:uid="{D1F393D8-3396-44D6-819D-DB041FEB632B}" name="Product" dataDxfId="62"/>
    <tableColumn id="4" xr3:uid="{B2519C5B-44CE-4095-92CB-17994C9B1DED}" name="Category" dataDxfId="61"/>
    <tableColumn id="5" xr3:uid="{9D96AD79-3A98-458A-BEFE-F2D27F0B1CD1}" name="Supplier" dataDxfId="60"/>
    <tableColumn id="6" xr3:uid="{097FB1AA-4BF3-4CF1-A40D-24EAC07F6EFA}" name="In Stock or Remaining" dataDxfId="59"/>
    <tableColumn id="7" xr3:uid="{BD0AE242-1030-444F-8705-7344FD68F036}" name="Stock_Out" dataDxfId="58"/>
    <tableColumn id="8" xr3:uid="{A6B6DD80-623C-47FA-9693-2E1C261D671F}" name="Stock In(Total)" dataDxfId="57"/>
    <tableColumn id="9" xr3:uid="{72E46EED-101D-4F94-BA80-17580B7EB6C0}" name="Inventory_Level" dataDxfId="56"/>
    <tableColumn id="10" xr3:uid="{B46C9547-7204-4A38-8490-6DB950253589}" name="Reorder_Level" dataDxfId="55"/>
    <tableColumn id="11" xr3:uid="{6D1852E1-6F86-429C-9681-64347E0EC2CD}" name="Lead_Time_Days" dataDxfId="54"/>
    <tableColumn id="12" xr3:uid="{5F579E02-EBBA-4E01-B474-66E310F8C900}" name="Unit_Cost" dataDxfId="53"/>
    <tableColumn id="13" xr3:uid="{E99868A4-5247-4BC7-805D-2EEA5F73D318}" name="Selling_Price" dataDxfId="52"/>
    <tableColumn id="14" xr3:uid="{3C6EC836-B2DB-4893-8EA4-725361629FF4}" name="sell movement Ratio" dataDxfId="51"/>
    <tableColumn id="15" xr3:uid="{6220F3A8-4C17-41F8-9759-82D6B47D8EE9}" name="Sell Through %" dataDxfId="50"/>
    <tableColumn id="16" xr3:uid="{7F52FBD2-319B-4F05-8F3E-D58AE42FD207}" name="Unsold Quantity" dataDxfId="49"/>
    <tableColumn id="17" xr3:uid="{5717C9C6-4E8B-4DB7-9C5C-D1EA2B0A18E7}" name="unsold Value " dataDxfId="48"/>
    <tableColumn id="18" xr3:uid="{76124632-F2C0-4CCC-9715-069BED86CB10}" name="Decision " dataDxfId="47"/>
    <tableColumn id="19" xr3:uid="{29EFAEFC-84C2-481C-96A3-283919AF4D78}" name="Month" dataDxfId="4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40909A8-7C91-489F-A484-5A4A4E494FE9}" name="high_value" displayName="high_value" ref="AL215:BE351" totalsRowShown="0" dataDxfId="45" tableBorderDxfId="44">
  <autoFilter ref="AL215:BE351" xr:uid="{F9413CB7-60FB-41F1-8012-55660A5219DE}">
    <filterColumn colId="19">
      <top10 val="25" filterVal="221742"/>
    </filterColumn>
  </autoFilter>
  <sortState xmlns:xlrd2="http://schemas.microsoft.com/office/spreadsheetml/2017/richdata2" ref="AL216:BE351">
    <sortCondition descending="1" ref="BE215:BE351"/>
  </sortState>
  <tableColumns count="20">
    <tableColumn id="1" xr3:uid="{439BCE4F-FF09-4CCE-BF97-5FC504A49839}" name="Order_ID" dataDxfId="43"/>
    <tableColumn id="2" xr3:uid="{440E43B1-A838-4172-A375-B64C274F2243}" name="Date" dataDxfId="42"/>
    <tableColumn id="3" xr3:uid="{0BB7FA29-8FFA-4988-82CC-5A8FC2853846}" name="Product" dataDxfId="41"/>
    <tableColumn id="4" xr3:uid="{5845D2D4-F528-4CD9-84DF-9C254B35A160}" name="Category" dataDxfId="40"/>
    <tableColumn id="5" xr3:uid="{B53CEFB5-7AFF-4429-B425-4C921B12D850}" name="Supplier" dataDxfId="39"/>
    <tableColumn id="6" xr3:uid="{7741B504-CF57-4ACA-A6D7-1AFE89726356}" name="In Stock or Remaining" dataDxfId="38"/>
    <tableColumn id="7" xr3:uid="{0FE165D3-B13B-411B-819C-2B2C67623D86}" name="Stock_Out" dataDxfId="37"/>
    <tableColumn id="8" xr3:uid="{344F6AB4-A565-41AE-A248-FAB046215997}" name="Stock In(Total)" dataDxfId="36"/>
    <tableColumn id="9" xr3:uid="{2AE52C0C-B0AD-4DF9-BA06-037D156B2E7C}" name="Inventory_Level" dataDxfId="35"/>
    <tableColumn id="10" xr3:uid="{34179F0C-E316-46B3-B3F9-EA1F21E2E344}" name="Reorder_Level" dataDxfId="34"/>
    <tableColumn id="11" xr3:uid="{E8D5688B-E275-4C85-9896-E1D9C1045770}" name="Lead_Time_Days" dataDxfId="33"/>
    <tableColumn id="12" xr3:uid="{8D144D8F-F80A-4AC1-986B-673F50D853EC}" name="Unit_Cost" dataDxfId="32"/>
    <tableColumn id="13" xr3:uid="{D308CC34-7B7C-4210-8225-A37D32C466A2}" name="Selling_Price" dataDxfId="31"/>
    <tableColumn id="14" xr3:uid="{2854272A-FE84-4CE3-B1D1-77A3935DE441}" name="sell movement Ratio" dataDxfId="30"/>
    <tableColumn id="15" xr3:uid="{8F2F2C59-4C00-4698-A198-5546065DFF42}" name="Sell Through %" dataDxfId="29"/>
    <tableColumn id="16" xr3:uid="{8458AF2F-12EC-48BC-97B2-0B528556754B}" name="Unsold Quantity" dataDxfId="28"/>
    <tableColumn id="17" xr3:uid="{92B0E737-E556-46D1-AD2D-1AEDFB697361}" name="unsold Value " dataDxfId="27"/>
    <tableColumn id="18" xr3:uid="{9FCC4B10-94D0-4A58-805C-0EB51062DA12}" name="Decision " dataDxfId="26"/>
    <tableColumn id="19" xr3:uid="{E324593C-2AF1-4118-BE2E-B8E575B1CD10}" name="Month" dataDxfId="25"/>
    <tableColumn id="20" xr3:uid="{5872A17F-886F-4EE9-8372-AFF0DC8DAC20}" name="selling value value" dataDxfId="2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1CDE182-A9FB-4AC0-8C93-6A55E3A8729C}" name="Table6" displayName="Table6" ref="AL357:BE605" totalsRowShown="0" tableBorderDxfId="23">
  <autoFilter ref="AL357:BE605" xr:uid="{21CDE182-A9FB-4AC0-8C93-6A55E3A8729C}">
    <filterColumn colId="19">
      <top10 val="25" filterVal="231750"/>
    </filterColumn>
  </autoFilter>
  <tableColumns count="20">
    <tableColumn id="1" xr3:uid="{1B1B2DA6-D23B-410B-B9F6-78027981B22F}" name="Order_ID"/>
    <tableColumn id="2" xr3:uid="{9752FF2A-D71D-4467-A294-7A4C0ECFA208}" name="Date"/>
    <tableColumn id="3" xr3:uid="{07AE065D-0297-4358-A74F-61EBDC252D1D}" name="Product"/>
    <tableColumn id="4" xr3:uid="{173AC99F-00FB-4EA5-BC28-79CF720205E1}" name="Category"/>
    <tableColumn id="5" xr3:uid="{B34C6600-C91E-4CC6-A891-16E5520A2175}" name="Supplier"/>
    <tableColumn id="6" xr3:uid="{F652F540-68C7-4A83-B357-90945FCDFDE6}" name="In Stock or Remaining"/>
    <tableColumn id="7" xr3:uid="{5F0F83FF-69BC-43C9-8C3E-3829EAE4D801}" name="Stock_Out"/>
    <tableColumn id="8" xr3:uid="{2D721AF1-A166-4B07-84CA-127D7D7C8A11}" name="Stock In(Total)"/>
    <tableColumn id="9" xr3:uid="{F1B5B8F1-B952-4B0F-8D9B-7D1EC6619F18}" name="Inventory_Level"/>
    <tableColumn id="10" xr3:uid="{8EA6F197-5284-46E6-8DDB-7700A741CCCE}" name="Reorder_Level"/>
    <tableColumn id="11" xr3:uid="{9C109331-67EC-4812-B2FA-CBBD10C41A21}" name="Lead_Time_Days"/>
    <tableColumn id="12" xr3:uid="{3CFC2772-71A2-4D2C-A2A6-222EF25AD05E}" name="Unit_Cost"/>
    <tableColumn id="13" xr3:uid="{641BDCE3-BBF9-4317-85CD-334ABAF8A219}" name="Selling_Price"/>
    <tableColumn id="14" xr3:uid="{0DAE1767-6784-41DC-8190-54D694657440}" name="sell movement Ratio"/>
    <tableColumn id="15" xr3:uid="{E2C0015F-0A0E-4E8E-8FFB-43FDFB0FF208}" name="Sell Through %"/>
    <tableColumn id="16" xr3:uid="{BC74B20D-9E64-4EB5-BCC2-CB292689472D}" name="Unsold Quantity"/>
    <tableColumn id="17" xr3:uid="{456C4D62-0F7F-4AA0-8C6F-8ABBB00DC788}" name="unsold Value "/>
    <tableColumn id="18" xr3:uid="{66C9DCFC-0C83-4BF6-857E-D36F04F2B053}" name="Decision "/>
    <tableColumn id="19" xr3:uid="{5CA5C7B6-3759-43A3-AF84-654F11315588}" name="Month"/>
    <tableColumn id="20" xr3:uid="{0E356295-2797-4372-981C-C503F59BD26A}" name="selling value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E3072B3-E40D-4960-87BD-65FA3EBA0A91}" name="Table7" displayName="Table7" ref="A1:V502" totalsRowShown="0" tableBorderDxfId="22">
  <autoFilter ref="A1:V502" xr:uid="{F9413CB7-60FB-41F1-8012-55660A5219DE}"/>
  <sortState xmlns:xlrd2="http://schemas.microsoft.com/office/spreadsheetml/2017/richdata2" ref="A4:V499">
    <sortCondition ref="V1:V502"/>
  </sortState>
  <tableColumns count="22">
    <tableColumn id="1" xr3:uid="{68C9E40B-96D5-49EF-BE60-0F2ACDC82931}" name="Order_ID"/>
    <tableColumn id="2" xr3:uid="{AB408677-994E-4BD2-9366-41F94D5AAA29}" name="Date"/>
    <tableColumn id="3" xr3:uid="{F705D35E-5F96-43F7-83FC-4FDE07A69849}" name="Product"/>
    <tableColumn id="4" xr3:uid="{F0CA44CA-88F4-4A11-AE96-BC82F9A09CAA}" name="Category"/>
    <tableColumn id="5" xr3:uid="{B3EDF1DF-6801-4206-A2B3-D1A8FB46986C}" name="Supplier"/>
    <tableColumn id="6" xr3:uid="{64AF5584-BE8F-47FE-9EA8-49AB00713CD0}" name="In Stock or Remaining" dataDxfId="21"/>
    <tableColumn id="7" xr3:uid="{011C9F64-FFB1-4D3E-95D1-B03B21D755F6}" name="Stock_Out"/>
    <tableColumn id="8" xr3:uid="{A6E19C2D-9C9C-423C-A75D-BFF3E6B587F5}" name="Stock In(Total)"/>
    <tableColumn id="9" xr3:uid="{997C778D-A70F-4A71-A2B3-99D13DC2F75A}" name="Inventory_Level"/>
    <tableColumn id="10" xr3:uid="{A6FA0C78-9B57-4271-B2EE-D2B0D56294B5}" name="Reorder_Level"/>
    <tableColumn id="11" xr3:uid="{B8D9E096-A049-44E9-BB98-D1A348A524C9}" name="Lead_Time_Days"/>
    <tableColumn id="12" xr3:uid="{868C6726-3FA9-4111-8DF1-797D03A5413C}" name="Unit_Cost"/>
    <tableColumn id="13" xr3:uid="{A84F2905-00F5-4981-B34B-8F16D4397934}" name="Selling_Price"/>
    <tableColumn id="14" xr3:uid="{0B83A829-9AD0-43CF-A201-DEDA5C29C991}" name="sell movement Ratio"/>
    <tableColumn id="15" xr3:uid="{317782DC-B559-4361-86F6-87E232E7564D}" name="Sell Through %"/>
    <tableColumn id="16" xr3:uid="{10EEAAEB-9060-4143-8B94-C079559A1482}" name="Unsold Quantity"/>
    <tableColumn id="17" xr3:uid="{618013EB-DAE0-4EA2-ACD3-20C7E646DF03}" name="unsold Value "/>
    <tableColumn id="18" xr3:uid="{3CD9D597-25FA-49CA-AA82-78091F10F2DF}" name="Decision "/>
    <tableColumn id="19" xr3:uid="{ED393F77-8876-44E6-9080-7CD03128B568}" name="Month"/>
    <tableColumn id="20" xr3:uid="{A5F2B2C4-50CD-4A6A-A9BF-010CC2BA75B0}" name="selling value value"/>
    <tableColumn id="21" xr3:uid="{6A23814B-3371-44B1-81B6-2453D2578DE9}" name="Avg Inventory" dataDxfId="20">
      <calculatedColumnFormula>IFERROR((Table7[[#This Row],[Stock In(Total)]]+Table7[[#This Row],[In Stock or Remaining]])/2,"-")</calculatedColumnFormula>
    </tableColumn>
    <tableColumn id="27" xr3:uid="{F60CBFFD-C770-462C-8536-94AA6A3B8391}" name="Turn Over" dataDxfId="19" dataCellStyle="Percent">
      <calculatedColumnFormula>IFERROR(Table7[[#This Row],[Stock_Out]]/Table7[[#This Row],[Avg Inventory]],"-")</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C96B202-3DBA-4BE7-980E-6A363DC0DAED}">
  <we:reference id="wa200005502" version="1.0.0.12" store="en-US" storeType="OMEX"/>
  <we:alternateReferences>
    <we:reference id="WA200005502" version="1.0.0.12" store="" storeType="OMEX"/>
  </we:alternateReferences>
  <we:properties>
    <we:property name="docId" value="&quot;FbS4qJCKhSRhX0Jcdh80q&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table" Target="../tables/table4.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table" Target="../tables/table3.xml"/><Relationship Id="rId5" Type="http://schemas.openxmlformats.org/officeDocument/2006/relationships/pivotTable" Target="../pivotTables/pivotTable5.xml"/><Relationship Id="rId10" Type="http://schemas.openxmlformats.org/officeDocument/2006/relationships/table" Target="../tables/table2.xml"/><Relationship Id="rId4" Type="http://schemas.openxmlformats.org/officeDocument/2006/relationships/pivotTable" Target="../pivotTables/pivotTable4.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5" Type="http://schemas.microsoft.com/office/2007/relationships/slicer" Target="../slicers/slicer3.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413CB7-60FB-41F1-8012-55660A5219DE}">
  <sheetPr codeName="Sheet1"/>
  <dimension ref="A1:BE605"/>
  <sheetViews>
    <sheetView topLeftCell="M1" zoomScale="85" zoomScaleNormal="85" workbookViewId="0">
      <pane ySplit="1" topLeftCell="A2" activePane="bottomLeft" state="frozen"/>
      <selection activeCell="G1" sqref="G1"/>
      <selection pane="bottomLeft" activeCell="AR7" sqref="AR7"/>
    </sheetView>
  </sheetViews>
  <sheetFormatPr defaultRowHeight="14.4" x14ac:dyDescent="0.3"/>
  <cols>
    <col min="1" max="1" width="10.5546875" bestFit="1" customWidth="1"/>
    <col min="2" max="2" width="17.21875" style="15" bestFit="1" customWidth="1"/>
    <col min="3" max="3" width="9.77734375" bestFit="1" customWidth="1"/>
    <col min="4" max="4" width="10.5546875" bestFit="1" customWidth="1"/>
    <col min="5" max="5" width="13.88671875" bestFit="1" customWidth="1"/>
    <col min="6" max="6" width="21.33203125" customWidth="1"/>
    <col min="7" max="7" width="11.77734375" bestFit="1" customWidth="1"/>
    <col min="8" max="8" width="15.44140625" bestFit="1" customWidth="1"/>
    <col min="9" max="9" width="16.109375" bestFit="1" customWidth="1"/>
    <col min="10" max="10" width="14.88671875" bestFit="1" customWidth="1"/>
    <col min="11" max="11" width="17" bestFit="1" customWidth="1"/>
    <col min="12" max="12" width="11.21875" bestFit="1" customWidth="1"/>
    <col min="13" max="13" width="14" bestFit="1" customWidth="1"/>
    <col min="14" max="14" width="20.33203125" bestFit="1" customWidth="1"/>
    <col min="15" max="15" width="22.109375" style="3" bestFit="1" customWidth="1"/>
    <col min="16" max="16" width="16.5546875" bestFit="1" customWidth="1"/>
    <col min="17" max="17" width="17.88671875" style="5" bestFit="1" customWidth="1"/>
    <col min="18" max="18" width="15.6640625" bestFit="1" customWidth="1"/>
    <col min="19" max="19" width="15.6640625" customWidth="1"/>
    <col min="20" max="20" width="18.77734375" style="5" bestFit="1" customWidth="1"/>
    <col min="21" max="21" width="15.6640625" customWidth="1"/>
    <col min="22" max="22" width="15.6640625" style="3" customWidth="1"/>
    <col min="23" max="37" width="15.6640625" customWidth="1"/>
    <col min="38" max="39" width="10.44140625" customWidth="1"/>
    <col min="40" max="41" width="13" bestFit="1" customWidth="1"/>
    <col min="42" max="42" width="21.109375" bestFit="1" customWidth="1"/>
    <col min="43" max="43" width="13" bestFit="1" customWidth="1"/>
    <col min="44" max="44" width="18.77734375" bestFit="1" customWidth="1"/>
    <col min="45" max="45" width="15.33203125" customWidth="1"/>
    <col min="46" max="46" width="13" bestFit="1" customWidth="1"/>
    <col min="47" max="47" width="21.109375" bestFit="1" customWidth="1"/>
    <col min="48" max="48" width="23.109375" bestFit="1" customWidth="1"/>
    <col min="49" max="49" width="11.5546875" customWidth="1"/>
    <col min="50" max="50" width="23.109375" bestFit="1" customWidth="1"/>
    <col min="51" max="51" width="18.77734375" bestFit="1" customWidth="1"/>
    <col min="52" max="52" width="15.109375" customWidth="1"/>
    <col min="53" max="53" width="16.44140625" customWidth="1"/>
    <col min="54" max="54" width="14.109375" customWidth="1"/>
    <col min="55" max="56" width="11.5546875" customWidth="1"/>
    <col min="57" max="57" width="18.33203125" customWidth="1"/>
  </cols>
  <sheetData>
    <row r="1" spans="1:51" x14ac:dyDescent="0.3">
      <c r="A1" s="64" t="s">
        <v>0</v>
      </c>
      <c r="B1" s="52" t="s">
        <v>1</v>
      </c>
      <c r="C1" s="8" t="s">
        <v>2</v>
      </c>
      <c r="D1" s="8" t="s">
        <v>3</v>
      </c>
      <c r="E1" s="8" t="s">
        <v>4</v>
      </c>
      <c r="F1" s="8" t="s">
        <v>540</v>
      </c>
      <c r="G1" s="8" t="s">
        <v>5</v>
      </c>
      <c r="H1" s="8" t="s">
        <v>542</v>
      </c>
      <c r="I1" s="8" t="s">
        <v>6</v>
      </c>
      <c r="J1" s="8" t="s">
        <v>7</v>
      </c>
      <c r="K1" s="8" t="s">
        <v>8</v>
      </c>
      <c r="L1" s="8" t="s">
        <v>9</v>
      </c>
      <c r="M1" s="8" t="s">
        <v>10</v>
      </c>
      <c r="N1" s="8" t="s">
        <v>541</v>
      </c>
      <c r="O1" s="53" t="s">
        <v>537</v>
      </c>
      <c r="P1" s="8" t="s">
        <v>535</v>
      </c>
      <c r="Q1" s="54" t="s">
        <v>536</v>
      </c>
      <c r="R1" s="8" t="s">
        <v>538</v>
      </c>
      <c r="S1" s="55" t="s">
        <v>550</v>
      </c>
      <c r="T1" s="54" t="s">
        <v>566</v>
      </c>
      <c r="U1" t="s">
        <v>588</v>
      </c>
      <c r="V1" s="3" t="s">
        <v>589</v>
      </c>
    </row>
    <row r="2" spans="1:51" x14ac:dyDescent="0.3">
      <c r="A2" s="38" t="s">
        <v>11</v>
      </c>
      <c r="B2" s="39">
        <v>45654</v>
      </c>
      <c r="C2" s="38" t="s">
        <v>12</v>
      </c>
      <c r="D2" s="38" t="s">
        <v>13</v>
      </c>
      <c r="E2" s="38" t="s">
        <v>14</v>
      </c>
      <c r="F2" s="40">
        <v>7</v>
      </c>
      <c r="G2" s="38">
        <v>115</v>
      </c>
      <c r="H2" s="38">
        <f>IFERROR('Automated raw'!$F2+'Automated raw'!$G2,"-")</f>
        <v>122</v>
      </c>
      <c r="I2" s="38">
        <v>108</v>
      </c>
      <c r="J2" s="38">
        <v>50</v>
      </c>
      <c r="K2" s="38">
        <v>13</v>
      </c>
      <c r="L2" s="38">
        <v>1161</v>
      </c>
      <c r="M2" s="38">
        <v>2047</v>
      </c>
      <c r="N2" s="38">
        <f>'Automated raw'!$G2/'Automated raw'!$H2</f>
        <v>0.94262295081967218</v>
      </c>
      <c r="O2" s="41">
        <f>IFERROR('Automated raw'!$G2/'Automated raw'!$H2,"incomplete")</f>
        <v>0.94262295081967218</v>
      </c>
      <c r="P2" s="38">
        <f>'Automated raw'!$F2</f>
        <v>7</v>
      </c>
      <c r="Q2" s="42">
        <f>IFERROR('Automated raw'!$P2*'Automated raw'!$L2,0)</f>
        <v>8127</v>
      </c>
      <c r="R2" s="38" t="str">
        <f>IF('Automated raw'!$O2&gt;=60%,"High",IF('Automated raw'!$O2&gt;=30%,"Avg",IF('Automated raw'!$O2&lt;30%,"Dead Stock","Incomplete")))</f>
        <v>High</v>
      </c>
      <c r="S2" s="43" t="str">
        <f>TEXT('Automated raw'!$B2,"mmm")</f>
        <v>Dec</v>
      </c>
      <c r="T2" s="82">
        <f>'Automated raw'!$G2*'Automated raw'!$M2</f>
        <v>235405</v>
      </c>
      <c r="U2" s="6">
        <f>IFERROR((Table7[[#This Row],[Stock In(Total)]]+Table7[[#This Row],[In Stock or Remaining]])/2,"-")</f>
        <v>64.5</v>
      </c>
      <c r="V2" s="93">
        <f>IFERROR(Table7[[#This Row],[Stock_Out]]/Table7[[#This Row],[Avg Inventory]],"-")</f>
        <v>1.7829457364341086</v>
      </c>
      <c r="W2" s="6"/>
      <c r="X2" s="6"/>
      <c r="Y2" s="6"/>
      <c r="Z2" s="6"/>
      <c r="AA2" s="6"/>
      <c r="AB2" s="6"/>
      <c r="AC2" s="6"/>
      <c r="AD2" s="6"/>
      <c r="AE2" s="6"/>
      <c r="AF2" s="6"/>
      <c r="AG2" s="6"/>
      <c r="AH2" s="6"/>
      <c r="AI2" s="6"/>
      <c r="AJ2" s="6"/>
      <c r="AK2" s="6"/>
    </row>
    <row r="3" spans="1:51" x14ac:dyDescent="0.3">
      <c r="A3" s="44" t="s">
        <v>15</v>
      </c>
      <c r="B3" s="45">
        <v>45512</v>
      </c>
      <c r="C3" s="44" t="s">
        <v>16</v>
      </c>
      <c r="D3" s="44" t="s">
        <v>17</v>
      </c>
      <c r="E3" s="44" t="s">
        <v>14</v>
      </c>
      <c r="F3" s="40">
        <v>117</v>
      </c>
      <c r="G3" s="44">
        <v>10</v>
      </c>
      <c r="H3" s="44">
        <f>IFERROR('Automated raw'!$F3+'Automated raw'!$G3,"-")</f>
        <v>127</v>
      </c>
      <c r="I3" s="44">
        <v>49</v>
      </c>
      <c r="J3" s="44">
        <v>69</v>
      </c>
      <c r="K3" s="44">
        <v>2</v>
      </c>
      <c r="L3" s="44">
        <v>1178</v>
      </c>
      <c r="M3" s="44">
        <v>2614</v>
      </c>
      <c r="N3" s="44">
        <f>'Automated raw'!$G3/'Automated raw'!$H3</f>
        <v>7.874015748031496E-2</v>
      </c>
      <c r="O3" s="46">
        <f>IFERROR('Automated raw'!$G3/'Automated raw'!$H3,"incomplete")</f>
        <v>7.874015748031496E-2</v>
      </c>
      <c r="P3" s="44">
        <f>'Automated raw'!$F3</f>
        <v>117</v>
      </c>
      <c r="Q3" s="47">
        <f>IFERROR('Automated raw'!$P3*'Automated raw'!$L3,0)</f>
        <v>137826</v>
      </c>
      <c r="R3" s="44" t="str">
        <f>IF('Automated raw'!$O3&gt;=60%,"High",IF('Automated raw'!$O3&gt;=30%,"Avg",IF('Automated raw'!$O3&lt;30%,"Dead Stock","Incomplete")))</f>
        <v>Dead Stock</v>
      </c>
      <c r="S3" s="48" t="str">
        <f>TEXT('Automated raw'!$B3,"mmm")</f>
        <v>Aug</v>
      </c>
      <c r="T3" s="83">
        <f>'Automated raw'!$G3*'Automated raw'!$M3</f>
        <v>26140</v>
      </c>
      <c r="U3" s="6">
        <f>IFERROR((Table7[[#This Row],[Stock In(Total)]]+Table7[[#This Row],[In Stock or Remaining]])/2,"-")</f>
        <v>122</v>
      </c>
      <c r="V3" s="93">
        <f>IFERROR(Table7[[#This Row],[Stock_Out]]/Table7[[#This Row],[Avg Inventory]],"-")</f>
        <v>8.1967213114754092E-2</v>
      </c>
      <c r="W3" s="6"/>
      <c r="X3" s="6"/>
      <c r="Y3" s="6"/>
      <c r="Z3" s="6"/>
      <c r="AA3" s="6"/>
      <c r="AB3" s="6"/>
      <c r="AC3" s="6"/>
      <c r="AD3" s="6"/>
      <c r="AE3" s="6"/>
      <c r="AF3" s="6"/>
      <c r="AG3" s="6"/>
      <c r="AH3" s="6"/>
      <c r="AI3" s="6"/>
      <c r="AJ3" s="6"/>
      <c r="AK3" s="6"/>
      <c r="AN3" s="11" t="s">
        <v>538</v>
      </c>
      <c r="AO3" t="s">
        <v>547</v>
      </c>
      <c r="AT3" s="11" t="s">
        <v>538</v>
      </c>
      <c r="AU3" t="s">
        <v>547</v>
      </c>
    </row>
    <row r="4" spans="1:51" x14ac:dyDescent="0.3">
      <c r="A4" s="44" t="s">
        <v>364</v>
      </c>
      <c r="B4" s="45">
        <v>45446</v>
      </c>
      <c r="C4" s="44" t="s">
        <v>19</v>
      </c>
      <c r="D4" s="44" t="s">
        <v>17</v>
      </c>
      <c r="E4" s="44" t="s">
        <v>33</v>
      </c>
      <c r="F4" s="40">
        <v>112</v>
      </c>
      <c r="G4" s="44">
        <v>48</v>
      </c>
      <c r="H4" s="44">
        <f>IFERROR('Automated raw'!$F331+'Automated raw'!$G331,"-")</f>
        <v>232</v>
      </c>
      <c r="I4" s="44">
        <v>183</v>
      </c>
      <c r="J4" s="44">
        <v>32</v>
      </c>
      <c r="K4" s="44">
        <v>7</v>
      </c>
      <c r="L4" s="44">
        <v>570</v>
      </c>
      <c r="M4" s="44">
        <v>1039</v>
      </c>
      <c r="N4" s="44">
        <f>'Automated raw'!$G331/'Automated raw'!$H331</f>
        <v>0.42578125</v>
      </c>
      <c r="O4" s="46">
        <f>IFERROR('Automated raw'!$G331/'Automated raw'!$H331,"incomplete")</f>
        <v>0.42578125</v>
      </c>
      <c r="P4" s="44">
        <f>'Automated raw'!$F331</f>
        <v>123</v>
      </c>
      <c r="Q4" s="47">
        <f>IFERROR('Automated raw'!$P331*'Automated raw'!$L331,0)</f>
        <v>89400</v>
      </c>
      <c r="R4" s="44" t="str">
        <f>IF('Automated raw'!$O331&gt;=60%,"High",IF('Automated raw'!$O331&gt;=30%,"Avg",IF('Automated raw'!$O331&lt;30%,"Dead Stock","Incomplete")))</f>
        <v>High</v>
      </c>
      <c r="S4" s="48" t="str">
        <f>TEXT('Automated raw'!$B331,"mmm")</f>
        <v>Apr</v>
      </c>
      <c r="T4" s="83">
        <f>'Automated raw'!$G331*'Automated raw'!$M331</f>
        <v>90361</v>
      </c>
      <c r="U4" s="6">
        <f>IFERROR((Table7[[#This Row],[Stock In(Total)]]+Table7[[#This Row],[In Stock or Remaining]])/2,"-")</f>
        <v>172</v>
      </c>
      <c r="V4" s="93">
        <f>IFERROR(Table7[[#This Row],[Stock_Out]]/Table7[[#This Row],[Avg Inventory]],"-")</f>
        <v>0.27906976744186046</v>
      </c>
      <c r="W4" s="6"/>
      <c r="X4" s="6"/>
      <c r="Y4" s="6"/>
      <c r="Z4" s="6"/>
      <c r="AA4" s="6"/>
      <c r="AB4" s="6"/>
      <c r="AC4" s="6"/>
      <c r="AD4" s="6"/>
      <c r="AE4" s="6"/>
      <c r="AF4" s="6"/>
      <c r="AG4" s="6"/>
      <c r="AH4" s="6"/>
      <c r="AI4" s="6"/>
      <c r="AJ4" s="6"/>
      <c r="AK4" s="6"/>
    </row>
    <row r="5" spans="1:51" x14ac:dyDescent="0.3">
      <c r="A5" s="44" t="s">
        <v>22</v>
      </c>
      <c r="B5" s="45">
        <v>45499</v>
      </c>
      <c r="C5" s="44" t="s">
        <v>16</v>
      </c>
      <c r="D5" s="44" t="s">
        <v>13</v>
      </c>
      <c r="E5" s="44" t="s">
        <v>23</v>
      </c>
      <c r="F5" s="40">
        <v>17</v>
      </c>
      <c r="G5" s="44">
        <v>59</v>
      </c>
      <c r="H5" s="44">
        <f>IFERROR('Automated raw'!$F5+'Automated raw'!$G5,"-")</f>
        <v>76</v>
      </c>
      <c r="I5" s="44">
        <v>73</v>
      </c>
      <c r="J5" s="44">
        <v>41</v>
      </c>
      <c r="K5" s="44">
        <v>3</v>
      </c>
      <c r="L5" s="44">
        <v>1958</v>
      </c>
      <c r="M5" s="44">
        <v>3252</v>
      </c>
      <c r="N5" s="44">
        <f>'Automated raw'!$G5/'Automated raw'!$H5</f>
        <v>0.77631578947368418</v>
      </c>
      <c r="O5" s="46">
        <f>IFERROR('Automated raw'!$G5/'Automated raw'!$H5,"incomplete")</f>
        <v>0.77631578947368418</v>
      </c>
      <c r="P5" s="44">
        <f>'Automated raw'!$F5</f>
        <v>17</v>
      </c>
      <c r="Q5" s="47">
        <f>IFERROR('Automated raw'!$P5*'Automated raw'!$L5,0)</f>
        <v>33286</v>
      </c>
      <c r="R5" s="44" t="str">
        <f>IF('Automated raw'!$O5&gt;=60%,"High",IF('Automated raw'!$O5&gt;=30%,"Avg",IF('Automated raw'!$O5&lt;30%,"Dead Stock","Incomplete")))</f>
        <v>High</v>
      </c>
      <c r="S5" s="48" t="str">
        <f>TEXT('Automated raw'!$B5,"mmm")</f>
        <v>Jul</v>
      </c>
      <c r="T5" s="83">
        <f>'Automated raw'!$G5*'Automated raw'!$M5</f>
        <v>191868</v>
      </c>
      <c r="U5" s="6">
        <f>IFERROR((Table7[[#This Row],[Stock In(Total)]]+Table7[[#This Row],[In Stock or Remaining]])/2,"-")</f>
        <v>46.5</v>
      </c>
      <c r="V5" s="93">
        <f>IFERROR(Table7[[#This Row],[Stock_Out]]/Table7[[#This Row],[Avg Inventory]],"-")</f>
        <v>1.2688172043010753</v>
      </c>
      <c r="W5" s="6"/>
      <c r="X5" s="6"/>
      <c r="Y5" s="6"/>
      <c r="Z5" s="6"/>
      <c r="AA5" s="6"/>
      <c r="AB5" s="6"/>
      <c r="AC5" s="6"/>
      <c r="AD5" s="6"/>
      <c r="AE5" s="6"/>
      <c r="AF5" s="6"/>
      <c r="AG5" s="6"/>
      <c r="AH5" s="6"/>
      <c r="AI5" s="6"/>
      <c r="AJ5" s="6"/>
      <c r="AK5" s="6"/>
      <c r="AN5" s="11" t="s">
        <v>545</v>
      </c>
      <c r="AO5" t="s">
        <v>548</v>
      </c>
      <c r="AQ5" s="11" t="s">
        <v>545</v>
      </c>
      <c r="AR5" t="s">
        <v>553</v>
      </c>
      <c r="AT5" s="11" t="s">
        <v>545</v>
      </c>
      <c r="AU5" t="s">
        <v>549</v>
      </c>
      <c r="AX5" t="s">
        <v>567</v>
      </c>
      <c r="AY5" t="s">
        <v>553</v>
      </c>
    </row>
    <row r="6" spans="1:51" x14ac:dyDescent="0.3">
      <c r="A6" s="38" t="s">
        <v>24</v>
      </c>
      <c r="B6" s="39">
        <v>45529</v>
      </c>
      <c r="C6" s="38" t="s">
        <v>16</v>
      </c>
      <c r="D6" s="38" t="s">
        <v>13</v>
      </c>
      <c r="E6" s="38" t="s">
        <v>21</v>
      </c>
      <c r="F6" s="40" t="s">
        <v>23</v>
      </c>
      <c r="G6" s="38">
        <v>65</v>
      </c>
      <c r="H6" s="38" t="str">
        <f>IFERROR('Automated raw'!$F6+'Automated raw'!$G6,"-")</f>
        <v>-</v>
      </c>
      <c r="I6" s="38">
        <v>183</v>
      </c>
      <c r="J6" s="38">
        <v>58</v>
      </c>
      <c r="K6" s="38">
        <v>4</v>
      </c>
      <c r="L6" s="38">
        <v>575</v>
      </c>
      <c r="M6" s="38">
        <v>1541</v>
      </c>
      <c r="N6" s="38" t="e">
        <f>'Automated raw'!$G6/'Automated raw'!$H6</f>
        <v>#VALUE!</v>
      </c>
      <c r="O6" s="49" t="str">
        <f>IFERROR('Automated raw'!$G6/'Automated raw'!$H6,"incomplete")</f>
        <v>incomplete</v>
      </c>
      <c r="P6" s="50" t="str">
        <f>'Automated raw'!$F6</f>
        <v>Not Available</v>
      </c>
      <c r="Q6" s="42">
        <f>IFERROR('Automated raw'!$P6*'Automated raw'!$L6,0)</f>
        <v>0</v>
      </c>
      <c r="R6" s="38" t="str">
        <f>IF('Automated raw'!$O6&gt;=60%,"High",IF('Automated raw'!$O6&gt;=30%,"Avg",IF('Automated raw'!$O6&lt;30%,"Dead Stock","Incomplete")))</f>
        <v>High</v>
      </c>
      <c r="S6" s="43" t="str">
        <f>TEXT('Automated raw'!$B6,"mmm")</f>
        <v>Aug</v>
      </c>
      <c r="T6" s="82">
        <f>'Automated raw'!$G6*'Automated raw'!$M6</f>
        <v>100165</v>
      </c>
      <c r="U6" s="6" t="str">
        <f>IFERROR((Table7[[#This Row],[Stock In(Total)]]+Table7[[#This Row],[In Stock or Remaining]])/2,"-")</f>
        <v>-</v>
      </c>
      <c r="V6" s="93" t="str">
        <f>IFERROR(Table7[[#This Row],[Stock_Out]]/Table7[[#This Row],[Avg Inventory]],"-")</f>
        <v>-</v>
      </c>
      <c r="W6" s="6"/>
      <c r="X6" s="6"/>
      <c r="Y6" s="6"/>
      <c r="Z6" s="6"/>
      <c r="AA6" s="6"/>
      <c r="AB6" s="6"/>
      <c r="AC6" s="6"/>
      <c r="AD6" s="6"/>
      <c r="AE6" s="6"/>
      <c r="AF6" s="6"/>
      <c r="AG6" s="6"/>
      <c r="AH6" s="6"/>
      <c r="AI6" s="6"/>
      <c r="AJ6" s="6"/>
      <c r="AK6" s="6"/>
      <c r="AN6" s="12" t="s">
        <v>13</v>
      </c>
      <c r="AO6">
        <v>3824</v>
      </c>
      <c r="AQ6" s="12" t="s">
        <v>551</v>
      </c>
      <c r="AR6" s="5">
        <v>14788443</v>
      </c>
      <c r="AT6" s="12" t="s">
        <v>30</v>
      </c>
      <c r="AU6" s="13">
        <v>0.12858907579876158</v>
      </c>
      <c r="AX6" s="5">
        <v>56757898</v>
      </c>
      <c r="AY6" s="5">
        <v>39859265</v>
      </c>
    </row>
    <row r="7" spans="1:51" x14ac:dyDescent="0.3">
      <c r="A7" s="44" t="s">
        <v>25</v>
      </c>
      <c r="B7" s="45">
        <v>45615</v>
      </c>
      <c r="C7" s="44" t="s">
        <v>26</v>
      </c>
      <c r="D7" s="44" t="s">
        <v>17</v>
      </c>
      <c r="E7" s="44" t="s">
        <v>14</v>
      </c>
      <c r="F7" s="40">
        <v>47</v>
      </c>
      <c r="G7" s="44">
        <v>85</v>
      </c>
      <c r="H7" s="44">
        <f>IFERROR('Automated raw'!$F7+'Automated raw'!$G7,"-")</f>
        <v>132</v>
      </c>
      <c r="I7" s="44">
        <v>124</v>
      </c>
      <c r="J7" s="44">
        <v>41</v>
      </c>
      <c r="K7" s="44">
        <v>8</v>
      </c>
      <c r="L7" s="44">
        <v>1268</v>
      </c>
      <c r="M7" s="44">
        <v>2441</v>
      </c>
      <c r="N7" s="44">
        <f>'Automated raw'!$G7/'Automated raw'!$H7</f>
        <v>0.64393939393939392</v>
      </c>
      <c r="O7" s="46">
        <f>IFERROR('Automated raw'!$G7/'Automated raw'!$H7,"incomplete")</f>
        <v>0.64393939393939392</v>
      </c>
      <c r="P7" s="44">
        <f>'Automated raw'!$F7</f>
        <v>47</v>
      </c>
      <c r="Q7" s="47">
        <f>IFERROR('Automated raw'!$P7*'Automated raw'!$L7,0)</f>
        <v>59596</v>
      </c>
      <c r="R7" s="44" t="str">
        <f>IF('Automated raw'!$O7&gt;=60%,"High",IF('Automated raw'!$O7&gt;=30%,"Avg",IF('Automated raw'!$O7&lt;30%,"Dead Stock","Incomplete")))</f>
        <v>High</v>
      </c>
      <c r="S7" s="48" t="str">
        <f>TEXT('Automated raw'!$B7,"mmm")</f>
        <v>Nov</v>
      </c>
      <c r="T7" s="83">
        <f>'Automated raw'!$G7*'Automated raw'!$M7</f>
        <v>207485</v>
      </c>
      <c r="U7" s="6">
        <f>IFERROR((Table7[[#This Row],[Stock In(Total)]]+Table7[[#This Row],[In Stock or Remaining]])/2,"-")</f>
        <v>89.5</v>
      </c>
      <c r="V7" s="93">
        <f>IFERROR(Table7[[#This Row],[Stock_Out]]/Table7[[#This Row],[Avg Inventory]],"-")</f>
        <v>0.94972067039106145</v>
      </c>
      <c r="W7" s="6"/>
      <c r="X7" s="6"/>
      <c r="Y7" s="6"/>
      <c r="Z7" s="6"/>
      <c r="AA7" s="6"/>
      <c r="AB7" s="6"/>
      <c r="AC7" s="6"/>
      <c r="AD7" s="6"/>
      <c r="AE7" s="6"/>
      <c r="AF7" s="6"/>
      <c r="AG7" s="6"/>
      <c r="AH7" s="6"/>
      <c r="AI7" s="6"/>
      <c r="AJ7" s="6"/>
      <c r="AK7" s="6"/>
      <c r="AN7" s="12" t="s">
        <v>20</v>
      </c>
      <c r="AO7">
        <v>3782</v>
      </c>
      <c r="AQ7" s="12" t="s">
        <v>547</v>
      </c>
      <c r="AR7" s="5">
        <v>8059258</v>
      </c>
      <c r="AT7" s="12" t="s">
        <v>16</v>
      </c>
      <c r="AU7" s="13">
        <v>0.13811206266477458</v>
      </c>
    </row>
    <row r="8" spans="1:51" x14ac:dyDescent="0.3">
      <c r="A8" s="38" t="s">
        <v>27</v>
      </c>
      <c r="B8" s="39">
        <v>45334</v>
      </c>
      <c r="C8" s="38" t="s">
        <v>12</v>
      </c>
      <c r="D8" s="38" t="s">
        <v>20</v>
      </c>
      <c r="E8" s="38" t="s">
        <v>21</v>
      </c>
      <c r="F8" s="40">
        <v>102</v>
      </c>
      <c r="G8" s="38">
        <v>27</v>
      </c>
      <c r="H8" s="38">
        <f>IFERROR('Automated raw'!$F8+'Automated raw'!$G8,"-")</f>
        <v>129</v>
      </c>
      <c r="I8" s="38">
        <v>199</v>
      </c>
      <c r="J8" s="38">
        <v>80</v>
      </c>
      <c r="K8" s="38">
        <v>4</v>
      </c>
      <c r="L8" s="38">
        <v>1651</v>
      </c>
      <c r="M8" s="38">
        <v>2194</v>
      </c>
      <c r="N8" s="38">
        <f>'Automated raw'!$G8/'Automated raw'!$H8</f>
        <v>0.20930232558139536</v>
      </c>
      <c r="O8" s="41">
        <f>IFERROR('Automated raw'!$G8/'Automated raw'!$H8,"incomplete")</f>
        <v>0.20930232558139536</v>
      </c>
      <c r="P8" s="38">
        <f>'Automated raw'!$F8</f>
        <v>102</v>
      </c>
      <c r="Q8" s="42">
        <f>IFERROR('Automated raw'!$P8*'Automated raw'!$L8,0)</f>
        <v>168402</v>
      </c>
      <c r="R8" s="38" t="str">
        <f>IF('Automated raw'!$O8&gt;=60%,"High",IF('Automated raw'!$O8&gt;=30%,"Avg",IF('Automated raw'!$O8&lt;30%,"Dead Stock","Incomplete")))</f>
        <v>Dead Stock</v>
      </c>
      <c r="S8" s="43" t="str">
        <f>TEXT('Automated raw'!$B8,"mmm")</f>
        <v>Feb</v>
      </c>
      <c r="T8" s="82">
        <f>'Automated raw'!$G8*'Automated raw'!$M8</f>
        <v>59238</v>
      </c>
      <c r="U8" s="6">
        <f>IFERROR((Table7[[#This Row],[Stock In(Total)]]+Table7[[#This Row],[In Stock or Remaining]])/2,"-")</f>
        <v>115.5</v>
      </c>
      <c r="V8" s="93">
        <f>IFERROR(Table7[[#This Row],[Stock_Out]]/Table7[[#This Row],[Avg Inventory]],"-")</f>
        <v>0.23376623376623376</v>
      </c>
      <c r="W8" s="6"/>
      <c r="X8" s="6"/>
      <c r="Y8" s="6"/>
      <c r="Z8" s="6"/>
      <c r="AA8" s="6"/>
      <c r="AB8" s="6"/>
      <c r="AC8" s="6"/>
      <c r="AD8" s="6"/>
      <c r="AE8" s="6"/>
      <c r="AF8" s="6"/>
      <c r="AG8" s="6"/>
      <c r="AH8" s="6"/>
      <c r="AI8" s="6"/>
      <c r="AJ8" s="6"/>
      <c r="AK8" s="6"/>
      <c r="AN8" s="12" t="s">
        <v>17</v>
      </c>
      <c r="AO8">
        <v>3771</v>
      </c>
      <c r="AQ8" s="12" t="s">
        <v>552</v>
      </c>
      <c r="AR8" s="5">
        <v>2180434</v>
      </c>
      <c r="AT8" s="12" t="s">
        <v>35</v>
      </c>
      <c r="AU8" s="13">
        <v>8.563775032974702E-2</v>
      </c>
    </row>
    <row r="9" spans="1:51" x14ac:dyDescent="0.3">
      <c r="A9" s="44" t="s">
        <v>28</v>
      </c>
      <c r="B9" s="45">
        <v>45483</v>
      </c>
      <c r="C9" s="44" t="s">
        <v>16</v>
      </c>
      <c r="D9" s="44" t="s">
        <v>17</v>
      </c>
      <c r="E9" s="44" t="s">
        <v>14</v>
      </c>
      <c r="F9" s="40">
        <v>74</v>
      </c>
      <c r="G9" s="44">
        <v>13</v>
      </c>
      <c r="H9" s="44">
        <f>IFERROR('Automated raw'!$F9+'Automated raw'!$G9,"-")</f>
        <v>87</v>
      </c>
      <c r="I9" s="44">
        <v>208</v>
      </c>
      <c r="J9" s="44">
        <v>40</v>
      </c>
      <c r="K9" s="44">
        <v>13</v>
      </c>
      <c r="L9" s="44">
        <v>807</v>
      </c>
      <c r="M9" s="44">
        <v>1801</v>
      </c>
      <c r="N9" s="44">
        <f>'Automated raw'!$G9/'Automated raw'!$H9</f>
        <v>0.14942528735632185</v>
      </c>
      <c r="O9" s="46">
        <f>IFERROR('Automated raw'!$G9/'Automated raw'!$H9,"incomplete")</f>
        <v>0.14942528735632185</v>
      </c>
      <c r="P9" s="44">
        <f>'Automated raw'!$F9</f>
        <v>74</v>
      </c>
      <c r="Q9" s="47">
        <f>IFERROR('Automated raw'!$P9*'Automated raw'!$L9,0)</f>
        <v>59718</v>
      </c>
      <c r="R9" s="44" t="str">
        <f>IF('Automated raw'!$O9&gt;=60%,"High",IF('Automated raw'!$O9&gt;=30%,"Avg",IF('Automated raw'!$O9&lt;30%,"Dead Stock","Incomplete")))</f>
        <v>Dead Stock</v>
      </c>
      <c r="S9" s="48" t="str">
        <f>TEXT('Automated raw'!$B9,"mmm")</f>
        <v>Jul</v>
      </c>
      <c r="T9" s="83">
        <f>'Automated raw'!$G9*'Automated raw'!$M9</f>
        <v>23413</v>
      </c>
      <c r="U9" s="6">
        <f>IFERROR((Table7[[#This Row],[Stock In(Total)]]+Table7[[#This Row],[In Stock or Remaining]])/2,"-")</f>
        <v>80.5</v>
      </c>
      <c r="V9" s="93">
        <f>IFERROR(Table7[[#This Row],[Stock_Out]]/Table7[[#This Row],[Avg Inventory]],"-")</f>
        <v>0.16149068322981366</v>
      </c>
      <c r="W9" s="6"/>
      <c r="X9" s="6"/>
      <c r="Y9" s="6"/>
      <c r="Z9" s="6"/>
      <c r="AA9" s="6"/>
      <c r="AB9" s="6"/>
      <c r="AC9" s="6"/>
      <c r="AD9" s="6"/>
      <c r="AE9" s="6"/>
      <c r="AF9" s="6"/>
      <c r="AG9" s="6"/>
      <c r="AH9" s="6"/>
      <c r="AI9" s="6"/>
      <c r="AJ9" s="6"/>
      <c r="AK9" s="6"/>
      <c r="AN9" s="12" t="s">
        <v>546</v>
      </c>
      <c r="AO9">
        <v>11377</v>
      </c>
      <c r="AQ9" s="12" t="s">
        <v>546</v>
      </c>
      <c r="AR9" s="5">
        <v>25028135</v>
      </c>
      <c r="AT9" s="12" t="s">
        <v>12</v>
      </c>
      <c r="AU9" s="13">
        <v>0.20913038318387878</v>
      </c>
    </row>
    <row r="10" spans="1:51" x14ac:dyDescent="0.3">
      <c r="A10" s="44" t="s">
        <v>376</v>
      </c>
      <c r="B10" s="45">
        <v>45414</v>
      </c>
      <c r="C10" s="44" t="s">
        <v>12</v>
      </c>
      <c r="D10" s="44" t="s">
        <v>17</v>
      </c>
      <c r="E10" s="44" t="s">
        <v>38</v>
      </c>
      <c r="F10" s="40">
        <v>77</v>
      </c>
      <c r="G10" s="44">
        <v>33</v>
      </c>
      <c r="H10" s="44">
        <f>IFERROR('Automated raw'!$F343+'Automated raw'!$G343,"-")</f>
        <v>160</v>
      </c>
      <c r="I10" s="44">
        <v>115</v>
      </c>
      <c r="J10" s="44">
        <v>76</v>
      </c>
      <c r="K10" s="44">
        <v>10</v>
      </c>
      <c r="L10" s="44">
        <v>764</v>
      </c>
      <c r="M10" s="44">
        <v>1388</v>
      </c>
      <c r="N10" s="44">
        <f>'Automated raw'!$G343/'Automated raw'!$H343</f>
        <v>0.33628318584070799</v>
      </c>
      <c r="O10" s="46">
        <f>IFERROR('Automated raw'!$G343/'Automated raw'!$H343,"incomplete")</f>
        <v>0.33628318584070799</v>
      </c>
      <c r="P10" s="44">
        <f>'Automated raw'!$F343</f>
        <v>84</v>
      </c>
      <c r="Q10" s="47">
        <f>IFERROR('Automated raw'!$P343*'Automated raw'!$L343,0)</f>
        <v>75118</v>
      </c>
      <c r="R10" s="44" t="str">
        <f>IF('Automated raw'!$O343&gt;=60%,"High",IF('Automated raw'!$O343&gt;=30%,"Avg",IF('Automated raw'!$O343&lt;30%,"Dead Stock","Incomplete")))</f>
        <v>High</v>
      </c>
      <c r="S10" s="48" t="str">
        <f>TEXT('Automated raw'!$B343,"mmm")</f>
        <v>Mar</v>
      </c>
      <c r="T10" s="83">
        <f>'Automated raw'!$G343*'Automated raw'!$M343</f>
        <v>122056</v>
      </c>
      <c r="U10" s="6">
        <f>IFERROR((Table7[[#This Row],[Stock In(Total)]]+Table7[[#This Row],[In Stock or Remaining]])/2,"-")</f>
        <v>118.5</v>
      </c>
      <c r="V10" s="93">
        <f>IFERROR(Table7[[#This Row],[Stock_Out]]/Table7[[#This Row],[Avg Inventory]],"-")</f>
        <v>0.27848101265822783</v>
      </c>
      <c r="W10" s="6"/>
      <c r="X10" s="6"/>
      <c r="Y10" s="6"/>
      <c r="Z10" s="6"/>
      <c r="AA10" s="6"/>
      <c r="AB10" s="6"/>
      <c r="AC10" s="6"/>
      <c r="AD10" s="6"/>
      <c r="AE10" s="6"/>
      <c r="AF10" s="6"/>
      <c r="AG10" s="6"/>
      <c r="AH10" s="6"/>
      <c r="AI10" s="6"/>
      <c r="AJ10" s="6"/>
      <c r="AK10" s="6"/>
      <c r="AT10" s="12" t="s">
        <v>37</v>
      </c>
      <c r="AU10" s="13">
        <v>0.12333862968160221</v>
      </c>
    </row>
    <row r="11" spans="1:51" x14ac:dyDescent="0.3">
      <c r="A11" s="38" t="s">
        <v>497</v>
      </c>
      <c r="B11" s="39">
        <v>45646</v>
      </c>
      <c r="C11" s="38" t="s">
        <v>53</v>
      </c>
      <c r="D11" s="38" t="s">
        <v>20</v>
      </c>
      <c r="E11" s="38" t="s">
        <v>38</v>
      </c>
      <c r="F11" s="40">
        <v>140</v>
      </c>
      <c r="G11" s="38">
        <v>61</v>
      </c>
      <c r="H11" s="38">
        <f>IFERROR('Automated raw'!$F464+'Automated raw'!$G464,"-")</f>
        <v>142</v>
      </c>
      <c r="I11" s="38">
        <v>242</v>
      </c>
      <c r="J11" s="38">
        <v>50</v>
      </c>
      <c r="K11" s="38">
        <v>15</v>
      </c>
      <c r="L11" s="38">
        <v>1879</v>
      </c>
      <c r="M11" s="38">
        <v>2875</v>
      </c>
      <c r="N11" s="38">
        <f>'Automated raw'!$G464/'Automated raw'!$H464</f>
        <v>0.30303030303030304</v>
      </c>
      <c r="O11" s="41">
        <f>IFERROR('Automated raw'!$G464/'Automated raw'!$H464,"incomplete")</f>
        <v>0.30303030303030304</v>
      </c>
      <c r="P11" s="38">
        <f>'Automated raw'!$F464</f>
        <v>62</v>
      </c>
      <c r="Q11" s="42">
        <f>IFERROR('Automated raw'!$P464*'Automated raw'!$L464,0)</f>
        <v>71540</v>
      </c>
      <c r="R11" s="38" t="str">
        <f>IF('Automated raw'!$O464&gt;=60%,"High",IF('Automated raw'!$O464&gt;=30%,"Avg",IF('Automated raw'!$O464&lt;30%,"Dead Stock","Incomplete")))</f>
        <v>Avg</v>
      </c>
      <c r="S11" s="43" t="str">
        <f>TEXT('Automated raw'!$B464,"mmm")</f>
        <v>Jun</v>
      </c>
      <c r="T11" s="82">
        <f>'Automated raw'!$G464*'Automated raw'!$M464</f>
        <v>141440</v>
      </c>
      <c r="U11" s="6">
        <f>IFERROR((Table7[[#This Row],[Stock In(Total)]]+Table7[[#This Row],[In Stock or Remaining]])/2,"-")</f>
        <v>141</v>
      </c>
      <c r="V11" s="93">
        <f>IFERROR(Table7[[#This Row],[Stock_Out]]/Table7[[#This Row],[Avg Inventory]],"-")</f>
        <v>0.43262411347517732</v>
      </c>
      <c r="W11" s="6"/>
      <c r="X11" s="6"/>
      <c r="Y11" s="6"/>
      <c r="Z11" s="6"/>
      <c r="AA11" s="6"/>
      <c r="AB11" s="6"/>
      <c r="AC11" s="6"/>
      <c r="AD11" s="6"/>
      <c r="AE11" s="6"/>
      <c r="AF11" s="6"/>
      <c r="AG11" s="6"/>
      <c r="AH11" s="6"/>
      <c r="AI11" s="6"/>
      <c r="AJ11" s="6"/>
      <c r="AK11" s="6"/>
      <c r="AT11" s="12" t="s">
        <v>45</v>
      </c>
      <c r="AU11" s="13">
        <v>8.1552491424882773E-2</v>
      </c>
    </row>
    <row r="12" spans="1:51" x14ac:dyDescent="0.3">
      <c r="A12" s="44" t="s">
        <v>165</v>
      </c>
      <c r="B12" s="45">
        <v>45325</v>
      </c>
      <c r="C12" s="44" t="s">
        <v>19</v>
      </c>
      <c r="D12" s="44" t="s">
        <v>17</v>
      </c>
      <c r="E12" s="44" t="s">
        <v>14</v>
      </c>
      <c r="F12" s="40">
        <v>73</v>
      </c>
      <c r="G12" s="44">
        <v>32</v>
      </c>
      <c r="H12" s="44">
        <f>IFERROR('Automated raw'!$F135+'Automated raw'!$G135,"-")</f>
        <v>163</v>
      </c>
      <c r="I12" s="44">
        <v>34</v>
      </c>
      <c r="J12" s="44">
        <v>77</v>
      </c>
      <c r="K12" s="44">
        <v>14</v>
      </c>
      <c r="L12" s="44">
        <v>1334</v>
      </c>
      <c r="M12" s="44">
        <v>2830</v>
      </c>
      <c r="N12" s="44">
        <f>'Automated raw'!$G135/'Automated raw'!$H135</f>
        <v>0.23255813953488372</v>
      </c>
      <c r="O12" s="46">
        <f>IFERROR('Automated raw'!$G135/'Automated raw'!$H135,"incomplete")</f>
        <v>0.23255813953488372</v>
      </c>
      <c r="P12" s="44">
        <f>'Automated raw'!$F135</f>
        <v>103</v>
      </c>
      <c r="Q12" s="47">
        <f>IFERROR('Automated raw'!$P135*'Automated raw'!$L135,0)</f>
        <v>215355</v>
      </c>
      <c r="R12" s="44" t="str">
        <f>IF('Automated raw'!$O135&gt;=60%,"High",IF('Automated raw'!$O135&gt;=30%,"Avg",IF('Automated raw'!$O135&lt;30%,"Dead Stock","Incomplete")))</f>
        <v>High</v>
      </c>
      <c r="S12" s="48" t="str">
        <f>TEXT('Automated raw'!$B135,"mmm")</f>
        <v>Mar</v>
      </c>
      <c r="T12" s="83">
        <f>'Automated raw'!$G135*'Automated raw'!$M135</f>
        <v>164280</v>
      </c>
      <c r="U12" s="6">
        <f>IFERROR((Table7[[#This Row],[Stock In(Total)]]+Table7[[#This Row],[In Stock or Remaining]])/2,"-")</f>
        <v>118</v>
      </c>
      <c r="V12" s="93">
        <f>IFERROR(Table7[[#This Row],[Stock_Out]]/Table7[[#This Row],[Avg Inventory]],"-")</f>
        <v>0.2711864406779661</v>
      </c>
      <c r="W12" s="6"/>
      <c r="X12" s="6"/>
      <c r="Y12" s="6"/>
      <c r="Z12" s="6"/>
      <c r="AA12" s="6"/>
      <c r="AB12" s="6"/>
      <c r="AC12" s="6"/>
      <c r="AD12" s="6"/>
      <c r="AE12" s="6"/>
      <c r="AF12" s="6"/>
      <c r="AG12" s="6"/>
      <c r="AH12" s="6"/>
      <c r="AI12" s="6"/>
      <c r="AJ12" s="6"/>
      <c r="AK12" s="6"/>
      <c r="AT12" s="12" t="s">
        <v>19</v>
      </c>
      <c r="AU12" s="13">
        <v>0.15549147997401266</v>
      </c>
    </row>
    <row r="13" spans="1:51" x14ac:dyDescent="0.3">
      <c r="A13" s="44" t="s">
        <v>456</v>
      </c>
      <c r="B13" s="45">
        <v>45530</v>
      </c>
      <c r="C13" s="44" t="s">
        <v>30</v>
      </c>
      <c r="D13" s="44" t="s">
        <v>20</v>
      </c>
      <c r="E13" s="44" t="s">
        <v>38</v>
      </c>
      <c r="F13" s="40">
        <v>130</v>
      </c>
      <c r="G13" s="44">
        <v>57</v>
      </c>
      <c r="H13" s="44">
        <f>IFERROR('Automated raw'!$F423+'Automated raw'!$G423,"-")</f>
        <v>59</v>
      </c>
      <c r="I13" s="44">
        <v>288</v>
      </c>
      <c r="J13" s="44">
        <v>52</v>
      </c>
      <c r="K13" s="44">
        <v>12</v>
      </c>
      <c r="L13" s="44">
        <v>614</v>
      </c>
      <c r="M13" s="44">
        <v>1324</v>
      </c>
      <c r="N13" s="44">
        <f>'Automated raw'!$G423/'Automated raw'!$H423</f>
        <v>0.26271186440677968</v>
      </c>
      <c r="O13" s="46">
        <f>IFERROR('Automated raw'!$G423/'Automated raw'!$H423,"incomplete")</f>
        <v>0.26271186440677968</v>
      </c>
      <c r="P13" s="44">
        <f>'Automated raw'!$F423</f>
        <v>28</v>
      </c>
      <c r="Q13" s="47">
        <f>IFERROR('Automated raw'!$P423*'Automated raw'!$L423,0)</f>
        <v>87058</v>
      </c>
      <c r="R13" s="44" t="str">
        <f>IF('Automated raw'!$O423&gt;=60%,"High",IF('Automated raw'!$O423&gt;=30%,"Avg",IF('Automated raw'!$O423&lt;30%,"Dead Stock","Incomplete")))</f>
        <v>Avg</v>
      </c>
      <c r="S13" s="48" t="str">
        <f>TEXT('Automated raw'!$B423,"mmm")</f>
        <v>Aug</v>
      </c>
      <c r="T13" s="83">
        <f>'Automated raw'!$G423*'Automated raw'!$M423</f>
        <v>72013</v>
      </c>
      <c r="U13" s="6">
        <f>IFERROR((Table7[[#This Row],[Stock In(Total)]]+Table7[[#This Row],[In Stock or Remaining]])/2,"-")</f>
        <v>94.5</v>
      </c>
      <c r="V13" s="93">
        <f>IFERROR(Table7[[#This Row],[Stock_Out]]/Table7[[#This Row],[Avg Inventory]],"-")</f>
        <v>0.60317460317460314</v>
      </c>
      <c r="W13" s="6"/>
      <c r="X13" s="6"/>
      <c r="Y13" s="6"/>
      <c r="Z13" s="6"/>
      <c r="AA13" s="6"/>
      <c r="AB13" s="6"/>
      <c r="AC13" s="6"/>
      <c r="AD13" s="6"/>
      <c r="AE13" s="6"/>
      <c r="AF13" s="6"/>
      <c r="AG13" s="6"/>
      <c r="AH13" s="6"/>
      <c r="AI13" s="6"/>
      <c r="AJ13" s="6"/>
      <c r="AK13" s="6"/>
      <c r="AT13" s="12" t="s">
        <v>26</v>
      </c>
      <c r="AU13" s="13">
        <v>7.8148126942340579E-2</v>
      </c>
    </row>
    <row r="14" spans="1:51" x14ac:dyDescent="0.3">
      <c r="A14" s="38" t="s">
        <v>36</v>
      </c>
      <c r="B14" s="39">
        <v>45458</v>
      </c>
      <c r="C14" s="38" t="s">
        <v>37</v>
      </c>
      <c r="D14" s="38" t="s">
        <v>13</v>
      </c>
      <c r="E14" s="38" t="s">
        <v>38</v>
      </c>
      <c r="F14" s="40">
        <v>60</v>
      </c>
      <c r="G14" s="38">
        <v>120</v>
      </c>
      <c r="H14" s="38">
        <f>IFERROR('Automated raw'!$F14+'Automated raw'!$G14,"-")</f>
        <v>180</v>
      </c>
      <c r="I14" s="38">
        <v>136</v>
      </c>
      <c r="J14" s="38">
        <v>32</v>
      </c>
      <c r="K14" s="38">
        <v>7</v>
      </c>
      <c r="L14" s="38">
        <v>1750</v>
      </c>
      <c r="M14" s="38">
        <v>2380</v>
      </c>
      <c r="N14" s="38">
        <f>'Automated raw'!$G14/'Automated raw'!$H14</f>
        <v>0.66666666666666663</v>
      </c>
      <c r="O14" s="41">
        <f>IFERROR('Automated raw'!$G14/'Automated raw'!$H14,"incomplete")</f>
        <v>0.66666666666666663</v>
      </c>
      <c r="P14" s="38">
        <f>'Automated raw'!$F14</f>
        <v>60</v>
      </c>
      <c r="Q14" s="42">
        <f>IFERROR('Automated raw'!$P14*'Automated raw'!$L14,0)</f>
        <v>105000</v>
      </c>
      <c r="R14" s="38" t="str">
        <f>IF('Automated raw'!$O14&gt;=60%,"High",IF('Automated raw'!$O14&gt;=30%,"Avg",IF('Automated raw'!$O14&lt;30%,"Dead Stock","Incomplete")))</f>
        <v>High</v>
      </c>
      <c r="S14" s="43" t="str">
        <f>TEXT('Automated raw'!$B14,"mmm")</f>
        <v>Jun</v>
      </c>
      <c r="T14" s="82">
        <f>'Automated raw'!$G14*'Automated raw'!$M14</f>
        <v>285600</v>
      </c>
      <c r="U14" s="6">
        <f>IFERROR((Table7[[#This Row],[Stock In(Total)]]+Table7[[#This Row],[In Stock or Remaining]])/2,"-")</f>
        <v>120</v>
      </c>
      <c r="V14" s="93">
        <f>IFERROR(Table7[[#This Row],[Stock_Out]]/Table7[[#This Row],[Avg Inventory]],"-")</f>
        <v>1</v>
      </c>
      <c r="W14" s="6"/>
      <c r="X14" s="6"/>
      <c r="Y14" s="6"/>
      <c r="Z14" s="6"/>
      <c r="AA14" s="6"/>
      <c r="AB14" s="6"/>
      <c r="AC14" s="6"/>
      <c r="AD14" s="6"/>
      <c r="AE14" s="6"/>
      <c r="AF14" s="6"/>
      <c r="AG14" s="6"/>
      <c r="AH14" s="6"/>
      <c r="AI14" s="6"/>
      <c r="AJ14" s="6"/>
      <c r="AK14" s="6"/>
      <c r="AT14" s="12" t="s">
        <v>546</v>
      </c>
      <c r="AU14" s="13">
        <v>1</v>
      </c>
    </row>
    <row r="15" spans="1:51" x14ac:dyDescent="0.3">
      <c r="A15" s="44" t="s">
        <v>39</v>
      </c>
      <c r="B15" s="45">
        <v>45314</v>
      </c>
      <c r="C15" s="44" t="s">
        <v>30</v>
      </c>
      <c r="D15" s="44" t="s">
        <v>17</v>
      </c>
      <c r="E15" s="44" t="s">
        <v>21</v>
      </c>
      <c r="F15" s="40">
        <v>128</v>
      </c>
      <c r="G15" s="44">
        <v>19</v>
      </c>
      <c r="H15" s="44">
        <f>IFERROR('Automated raw'!$F15+'Automated raw'!$G15,"-")</f>
        <v>147</v>
      </c>
      <c r="I15" s="44">
        <v>143</v>
      </c>
      <c r="J15" s="44">
        <v>64</v>
      </c>
      <c r="K15" s="44">
        <v>9</v>
      </c>
      <c r="L15" s="44">
        <v>1727</v>
      </c>
      <c r="M15" s="44">
        <v>2198</v>
      </c>
      <c r="N15" s="44">
        <f>'Automated raw'!$G15/'Automated raw'!$H15</f>
        <v>0.12925170068027211</v>
      </c>
      <c r="O15" s="46">
        <f>IFERROR('Automated raw'!$G15/'Automated raw'!$H15,"incomplete")</f>
        <v>0.12925170068027211</v>
      </c>
      <c r="P15" s="44">
        <f>'Automated raw'!$F15</f>
        <v>128</v>
      </c>
      <c r="Q15" s="47">
        <f>IFERROR('Automated raw'!$P15*'Automated raw'!$L15,0)</f>
        <v>221056</v>
      </c>
      <c r="R15" s="44" t="str">
        <f>IF('Automated raw'!$O15&gt;=60%,"High",IF('Automated raw'!$O15&gt;=30%,"Avg",IF('Automated raw'!$O15&lt;30%,"Dead Stock","Incomplete")))</f>
        <v>Dead Stock</v>
      </c>
      <c r="S15" s="48" t="str">
        <f>TEXT('Automated raw'!$B15,"mmm")</f>
        <v>Jan</v>
      </c>
      <c r="T15" s="83">
        <f>'Automated raw'!$G15*'Automated raw'!$M15</f>
        <v>41762</v>
      </c>
      <c r="U15" s="6">
        <f>IFERROR((Table7[[#This Row],[Stock In(Total)]]+Table7[[#This Row],[In Stock or Remaining]])/2,"-")</f>
        <v>137.5</v>
      </c>
      <c r="V15" s="93">
        <f>IFERROR(Table7[[#This Row],[Stock_Out]]/Table7[[#This Row],[Avg Inventory]],"-")</f>
        <v>0.13818181818181818</v>
      </c>
      <c r="W15" s="6"/>
      <c r="X15" s="6"/>
      <c r="Y15" s="6"/>
      <c r="Z15" s="6"/>
      <c r="AA15" s="6"/>
      <c r="AB15" s="6"/>
      <c r="AC15" s="6"/>
      <c r="AD15" s="6"/>
      <c r="AE15" s="6"/>
      <c r="AF15" s="6"/>
      <c r="AG15" s="6"/>
      <c r="AH15" s="6"/>
      <c r="AI15" s="6"/>
      <c r="AJ15" s="6"/>
      <c r="AK15" s="6"/>
    </row>
    <row r="16" spans="1:51" x14ac:dyDescent="0.3">
      <c r="A16" s="44" t="s">
        <v>416</v>
      </c>
      <c r="B16" s="45">
        <v>45503</v>
      </c>
      <c r="C16" s="44" t="s">
        <v>12</v>
      </c>
      <c r="D16" s="44" t="s">
        <v>20</v>
      </c>
      <c r="E16" s="44" t="s">
        <v>14</v>
      </c>
      <c r="F16" s="40">
        <v>116</v>
      </c>
      <c r="G16" s="44">
        <v>51</v>
      </c>
      <c r="H16" s="44">
        <f>IFERROR('Automated raw'!$F383+'Automated raw'!$G383,"-")</f>
        <v>232</v>
      </c>
      <c r="I16" s="44">
        <v>246</v>
      </c>
      <c r="J16" s="44">
        <v>68</v>
      </c>
      <c r="K16" s="44">
        <v>7</v>
      </c>
      <c r="L16" s="44">
        <v>765</v>
      </c>
      <c r="M16" s="44">
        <v>2192</v>
      </c>
      <c r="N16" s="44">
        <f>'Automated raw'!$G383/'Automated raw'!$H383</f>
        <v>1.17</v>
      </c>
      <c r="O16" s="46">
        <f>IFERROR('Automated raw'!$G383/'Automated raw'!$H383,"incomplete")</f>
        <v>1.17</v>
      </c>
      <c r="P16" s="44">
        <f>'Automated raw'!$F383</f>
        <v>115</v>
      </c>
      <c r="Q16" s="47">
        <f>IFERROR('Automated raw'!$P383*'Automated raw'!$L383,0)</f>
        <v>41124</v>
      </c>
      <c r="R16" s="44" t="str">
        <f>IF('Automated raw'!$O383&gt;=60%,"High",IF('Automated raw'!$O383&gt;=30%,"Avg",IF('Automated raw'!$O383&lt;30%,"Dead Stock","Incomplete")))</f>
        <v>Dead Stock</v>
      </c>
      <c r="S16" s="48" t="str">
        <f>TEXT('Automated raw'!$B383,"mmm")</f>
        <v>Nov</v>
      </c>
      <c r="T16" s="83">
        <f>'Automated raw'!$G383*'Automated raw'!$M383</f>
        <v>90558</v>
      </c>
      <c r="U16" s="6">
        <f>IFERROR((Table7[[#This Row],[Stock In(Total)]]+Table7[[#This Row],[In Stock or Remaining]])/2,"-")</f>
        <v>174</v>
      </c>
      <c r="V16" s="93">
        <f>IFERROR(Table7[[#This Row],[Stock_Out]]/Table7[[#This Row],[Avg Inventory]],"-")</f>
        <v>0.29310344827586204</v>
      </c>
      <c r="W16" s="6"/>
      <c r="X16" s="6"/>
      <c r="Y16" s="6"/>
      <c r="Z16" s="6"/>
      <c r="AA16" s="6"/>
      <c r="AB16" s="6"/>
      <c r="AC16" s="6"/>
      <c r="AD16" s="6"/>
      <c r="AE16" s="6"/>
      <c r="AF16" s="6"/>
      <c r="AG16" s="6"/>
      <c r="AH16" s="6"/>
      <c r="AI16" s="6"/>
      <c r="AJ16" s="6"/>
      <c r="AK16" s="6"/>
    </row>
    <row r="17" spans="1:53" x14ac:dyDescent="0.3">
      <c r="A17" s="44" t="s">
        <v>41</v>
      </c>
      <c r="B17" s="45">
        <v>45557</v>
      </c>
      <c r="C17" s="44" t="s">
        <v>19</v>
      </c>
      <c r="D17" s="44" t="s">
        <v>20</v>
      </c>
      <c r="E17" s="44" t="s">
        <v>33</v>
      </c>
      <c r="F17" s="40">
        <v>29</v>
      </c>
      <c r="G17" s="44">
        <v>83</v>
      </c>
      <c r="H17" s="44">
        <f>IFERROR('Automated raw'!$F17+'Automated raw'!$G17,"-")</f>
        <v>112</v>
      </c>
      <c r="I17" s="44">
        <v>112</v>
      </c>
      <c r="J17" s="44">
        <v>59</v>
      </c>
      <c r="K17" s="44">
        <v>5</v>
      </c>
      <c r="L17" s="44">
        <v>1464</v>
      </c>
      <c r="M17" s="44">
        <v>1895</v>
      </c>
      <c r="N17" s="44">
        <f>'Automated raw'!$G17/'Automated raw'!$H17</f>
        <v>0.7410714285714286</v>
      </c>
      <c r="O17" s="46">
        <f>IFERROR('Automated raw'!$G17/'Automated raw'!$H17,"incomplete")</f>
        <v>0.7410714285714286</v>
      </c>
      <c r="P17" s="44">
        <f>'Automated raw'!$F17</f>
        <v>29</v>
      </c>
      <c r="Q17" s="47">
        <f>IFERROR('Automated raw'!$P17*'Automated raw'!$L17,0)</f>
        <v>42456</v>
      </c>
      <c r="R17" s="44" t="str">
        <f>IF('Automated raw'!$O17&gt;=60%,"High",IF('Automated raw'!$O17&gt;=30%,"Avg",IF('Automated raw'!$O17&lt;30%,"Dead Stock","Incomplete")))</f>
        <v>High</v>
      </c>
      <c r="S17" s="48" t="str">
        <f>TEXT('Automated raw'!$B17,"mmm")</f>
        <v>Sep</v>
      </c>
      <c r="T17" s="83">
        <f>'Automated raw'!$G17*'Automated raw'!$M17</f>
        <v>157285</v>
      </c>
      <c r="U17" s="6">
        <f>IFERROR((Table7[[#This Row],[Stock In(Total)]]+Table7[[#This Row],[In Stock or Remaining]])/2,"-")</f>
        <v>70.5</v>
      </c>
      <c r="V17" s="93">
        <f>IFERROR(Table7[[#This Row],[Stock_Out]]/Table7[[#This Row],[Avg Inventory]],"-")</f>
        <v>1.177304964539007</v>
      </c>
      <c r="W17" s="6"/>
      <c r="X17" s="6"/>
      <c r="Y17" s="6"/>
      <c r="Z17" s="6"/>
      <c r="AA17" s="6"/>
      <c r="AB17" s="6"/>
      <c r="AC17" s="6"/>
      <c r="AD17" s="6"/>
      <c r="AE17" s="6"/>
      <c r="AF17" s="6"/>
      <c r="AG17" s="6"/>
      <c r="AH17" s="6"/>
      <c r="AI17" s="6"/>
      <c r="AJ17" s="6"/>
      <c r="AK17" s="6"/>
    </row>
    <row r="18" spans="1:53" x14ac:dyDescent="0.3">
      <c r="A18" s="38" t="s">
        <v>190</v>
      </c>
      <c r="B18" s="39">
        <v>45421</v>
      </c>
      <c r="C18" s="38" t="s">
        <v>37</v>
      </c>
      <c r="D18" s="38" t="s">
        <v>13</v>
      </c>
      <c r="E18" s="38" t="s">
        <v>21</v>
      </c>
      <c r="F18" s="40">
        <v>123</v>
      </c>
      <c r="G18" s="38">
        <v>55</v>
      </c>
      <c r="H18" s="38">
        <f>IFERROR('Automated raw'!$F160+'Automated raw'!$G160,"-")</f>
        <v>185</v>
      </c>
      <c r="I18" s="38">
        <v>299</v>
      </c>
      <c r="J18" s="38">
        <v>76</v>
      </c>
      <c r="K18" s="38">
        <v>13</v>
      </c>
      <c r="L18" s="38">
        <v>576</v>
      </c>
      <c r="M18" s="38">
        <v>840</v>
      </c>
      <c r="N18" s="38">
        <f>'Automated raw'!$G160/'Automated raw'!$H160</f>
        <v>0.30869565217391304</v>
      </c>
      <c r="O18" s="41">
        <f>IFERROR('Automated raw'!$G160/'Automated raw'!$H160,"incomplete")</f>
        <v>0.30869565217391304</v>
      </c>
      <c r="P18" s="38">
        <f>'Automated raw'!$F160</f>
        <v>114</v>
      </c>
      <c r="Q18" s="42">
        <f>IFERROR('Automated raw'!$P160*'Automated raw'!$L160,0)</f>
        <v>186876</v>
      </c>
      <c r="R18" s="38" t="str">
        <f>IF('Automated raw'!$O160&gt;=60%,"High",IF('Automated raw'!$O160&gt;=30%,"Avg",IF('Automated raw'!$O160&lt;30%,"Dead Stock","Incomplete")))</f>
        <v>High</v>
      </c>
      <c r="S18" s="43" t="str">
        <f>TEXT('Automated raw'!$B160,"mmm")</f>
        <v>Nov</v>
      </c>
      <c r="T18" s="82">
        <f>'Automated raw'!$G160*'Automated raw'!$M160</f>
        <v>198658</v>
      </c>
      <c r="U18" s="6">
        <f>IFERROR((Table7[[#This Row],[Stock In(Total)]]+Table7[[#This Row],[In Stock or Remaining]])/2,"-")</f>
        <v>154</v>
      </c>
      <c r="V18" s="93">
        <f>IFERROR(Table7[[#This Row],[Stock_Out]]/Table7[[#This Row],[Avg Inventory]],"-")</f>
        <v>0.35714285714285715</v>
      </c>
      <c r="W18" s="6"/>
      <c r="X18" s="6"/>
      <c r="Y18" s="6"/>
      <c r="Z18" s="6"/>
      <c r="AA18" s="6"/>
      <c r="AB18" s="6"/>
      <c r="AC18" s="6"/>
      <c r="AD18" s="6"/>
      <c r="AE18" s="6"/>
      <c r="AF18" s="6"/>
      <c r="AG18" s="6"/>
      <c r="AH18" s="6"/>
      <c r="AI18" s="6"/>
      <c r="AJ18" s="6"/>
      <c r="AK18" s="6"/>
    </row>
    <row r="19" spans="1:53" x14ac:dyDescent="0.3">
      <c r="A19" s="44" t="s">
        <v>412</v>
      </c>
      <c r="B19" s="45">
        <v>45295</v>
      </c>
      <c r="C19" s="44" t="s">
        <v>19</v>
      </c>
      <c r="D19" s="44" t="s">
        <v>13</v>
      </c>
      <c r="E19" s="44" t="s">
        <v>38</v>
      </c>
      <c r="F19" s="40">
        <v>29</v>
      </c>
      <c r="G19" s="44">
        <v>13</v>
      </c>
      <c r="H19" s="44">
        <f>IFERROR('Automated raw'!$F379+'Automated raw'!$G379,"-")</f>
        <v>183</v>
      </c>
      <c r="I19" s="44">
        <v>204</v>
      </c>
      <c r="J19" s="44">
        <v>48</v>
      </c>
      <c r="K19" s="44">
        <v>13</v>
      </c>
      <c r="L19" s="44">
        <v>581</v>
      </c>
      <c r="M19" s="44">
        <v>805</v>
      </c>
      <c r="N19" s="44">
        <f>'Automated raw'!$G379/'Automated raw'!$H379</f>
        <v>0.56441717791411039</v>
      </c>
      <c r="O19" s="46">
        <f>IFERROR('Automated raw'!$G379/'Automated raw'!$H379,"incomplete")</f>
        <v>0.56441717791411039</v>
      </c>
      <c r="P19" s="44">
        <f>'Automated raw'!$F379</f>
        <v>91</v>
      </c>
      <c r="Q19" s="47">
        <f>IFERROR('Automated raw'!$P379*'Automated raw'!$L379,0)</f>
        <v>129812</v>
      </c>
      <c r="R19" s="44" t="str">
        <f>IF('Automated raw'!$O379&gt;=60%,"High",IF('Automated raw'!$O379&gt;=30%,"Avg",IF('Automated raw'!$O379&lt;30%,"Dead Stock","Incomplete")))</f>
        <v>Avg</v>
      </c>
      <c r="S19" s="48" t="str">
        <f>TEXT('Automated raw'!$B379,"mmm")</f>
        <v>Nov</v>
      </c>
      <c r="T19" s="83">
        <f>'Automated raw'!$G379*'Automated raw'!$M379</f>
        <v>283268</v>
      </c>
      <c r="U19" s="6">
        <f>IFERROR((Table7[[#This Row],[Stock In(Total)]]+Table7[[#This Row],[In Stock or Remaining]])/2,"-")</f>
        <v>106</v>
      </c>
      <c r="V19" s="93">
        <f>IFERROR(Table7[[#This Row],[Stock_Out]]/Table7[[#This Row],[Avg Inventory]],"-")</f>
        <v>0.12264150943396226</v>
      </c>
      <c r="W19" s="6"/>
      <c r="X19" s="6"/>
      <c r="Y19" s="6"/>
      <c r="Z19" s="6"/>
      <c r="AA19" s="6"/>
      <c r="AB19" s="6"/>
      <c r="AC19" s="6"/>
      <c r="AD19" s="6"/>
      <c r="AE19" s="6"/>
      <c r="AF19" s="6"/>
      <c r="AG19" s="6"/>
      <c r="AH19" s="6"/>
      <c r="AI19" s="6"/>
      <c r="AJ19" s="6"/>
      <c r="AK19" s="6"/>
    </row>
    <row r="20" spans="1:53" x14ac:dyDescent="0.3">
      <c r="A20" s="38" t="s">
        <v>44</v>
      </c>
      <c r="B20" s="39">
        <v>45334</v>
      </c>
      <c r="C20" s="38" t="s">
        <v>45</v>
      </c>
      <c r="D20" s="38" t="s">
        <v>20</v>
      </c>
      <c r="E20" s="38" t="s">
        <v>21</v>
      </c>
      <c r="F20" s="40">
        <v>125</v>
      </c>
      <c r="G20" s="38">
        <v>0</v>
      </c>
      <c r="H20" s="38">
        <f>IFERROR('Automated raw'!$F20+'Automated raw'!$G20,"-")</f>
        <v>125</v>
      </c>
      <c r="I20" s="38">
        <v>167</v>
      </c>
      <c r="J20" s="38">
        <v>35</v>
      </c>
      <c r="K20" s="38">
        <v>14</v>
      </c>
      <c r="L20" s="38">
        <v>1203</v>
      </c>
      <c r="M20" s="38">
        <v>1502</v>
      </c>
      <c r="N20" s="38">
        <f>'Automated raw'!$G20/'Automated raw'!$H20</f>
        <v>0</v>
      </c>
      <c r="O20" s="41">
        <f>IFERROR('Automated raw'!$G20/'Automated raw'!$H20,"incomplete")</f>
        <v>0</v>
      </c>
      <c r="P20" s="38">
        <f>'Automated raw'!$F20</f>
        <v>125</v>
      </c>
      <c r="Q20" s="42">
        <f>IFERROR('Automated raw'!$P20*'Automated raw'!$L20,0)</f>
        <v>150375</v>
      </c>
      <c r="R20" s="38" t="str">
        <f>IF('Automated raw'!$O20&gt;=60%,"High",IF('Automated raw'!$O20&gt;=30%,"Avg",IF('Automated raw'!$O20&lt;30%,"Dead Stock","Incomplete")))</f>
        <v>Dead Stock</v>
      </c>
      <c r="S20" s="43" t="str">
        <f>TEXT('Automated raw'!$B20,"mmm")</f>
        <v>Feb</v>
      </c>
      <c r="T20" s="82">
        <f>'Automated raw'!$G20*'Automated raw'!$M20</f>
        <v>0</v>
      </c>
      <c r="U20" s="6">
        <f>IFERROR((Table7[[#This Row],[Stock In(Total)]]+Table7[[#This Row],[In Stock or Remaining]])/2,"-")</f>
        <v>125</v>
      </c>
      <c r="V20" s="93">
        <f>IFERROR(Table7[[#This Row],[Stock_Out]]/Table7[[#This Row],[Avg Inventory]],"-")</f>
        <v>0</v>
      </c>
      <c r="W20" s="6"/>
      <c r="X20" s="6"/>
      <c r="Y20" s="6"/>
      <c r="Z20" s="6"/>
      <c r="AA20" s="6"/>
      <c r="AB20" s="6"/>
      <c r="AC20" s="6"/>
      <c r="AD20" s="6"/>
      <c r="AE20" s="6"/>
      <c r="AF20" s="6"/>
      <c r="AG20" s="6"/>
      <c r="AH20" s="6"/>
      <c r="AI20" s="6"/>
      <c r="AJ20" s="6"/>
      <c r="AK20" s="6"/>
    </row>
    <row r="21" spans="1:53" x14ac:dyDescent="0.3">
      <c r="A21" s="44" t="s">
        <v>46</v>
      </c>
      <c r="B21" s="45">
        <v>45565</v>
      </c>
      <c r="C21" s="44" t="s">
        <v>37</v>
      </c>
      <c r="D21" s="44" t="s">
        <v>13</v>
      </c>
      <c r="E21" s="44" t="s">
        <v>21</v>
      </c>
      <c r="F21" s="40">
        <v>26</v>
      </c>
      <c r="G21" s="44">
        <v>62</v>
      </c>
      <c r="H21" s="44">
        <f>IFERROR('Automated raw'!$F21+'Automated raw'!$G21,"-")</f>
        <v>88</v>
      </c>
      <c r="I21" s="44">
        <v>162</v>
      </c>
      <c r="J21" s="44">
        <v>36</v>
      </c>
      <c r="K21" s="44">
        <v>14</v>
      </c>
      <c r="L21" s="44">
        <v>366</v>
      </c>
      <c r="M21" s="44">
        <v>1546</v>
      </c>
      <c r="N21" s="44">
        <f>'Automated raw'!$G21/'Automated raw'!$H21</f>
        <v>0.70454545454545459</v>
      </c>
      <c r="O21" s="46">
        <f>IFERROR('Automated raw'!$G21/'Automated raw'!$H21,"incomplete")</f>
        <v>0.70454545454545459</v>
      </c>
      <c r="P21" s="44">
        <f>'Automated raw'!$F21</f>
        <v>26</v>
      </c>
      <c r="Q21" s="47">
        <f>IFERROR('Automated raw'!$P21*'Automated raw'!$L21,0)</f>
        <v>9516</v>
      </c>
      <c r="R21" s="44" t="str">
        <f>IF('Automated raw'!$O21&gt;=60%,"High",IF('Automated raw'!$O21&gt;=30%,"Avg",IF('Automated raw'!$O21&lt;30%,"Dead Stock","Incomplete")))</f>
        <v>High</v>
      </c>
      <c r="S21" s="48" t="str">
        <f>TEXT('Automated raw'!$B21,"mmm")</f>
        <v>Sep</v>
      </c>
      <c r="T21" s="83">
        <f>'Automated raw'!$G21*'Automated raw'!$M21</f>
        <v>95852</v>
      </c>
      <c r="U21" s="6">
        <f>IFERROR((Table7[[#This Row],[Stock In(Total)]]+Table7[[#This Row],[In Stock or Remaining]])/2,"-")</f>
        <v>57</v>
      </c>
      <c r="V21" s="93">
        <f>IFERROR(Table7[[#This Row],[Stock_Out]]/Table7[[#This Row],[Avg Inventory]],"-")</f>
        <v>1.0877192982456141</v>
      </c>
      <c r="W21" s="6"/>
      <c r="X21" s="6"/>
      <c r="Y21" s="6"/>
      <c r="Z21" s="6"/>
      <c r="AA21" s="6"/>
      <c r="AB21" s="6"/>
      <c r="AC21" s="6"/>
      <c r="AD21" s="6"/>
      <c r="AE21" s="6"/>
      <c r="AF21" s="6"/>
      <c r="AG21" s="6"/>
      <c r="AH21" s="6"/>
      <c r="AI21" s="6"/>
      <c r="AJ21" s="6"/>
      <c r="AK21" s="6"/>
    </row>
    <row r="22" spans="1:53" x14ac:dyDescent="0.3">
      <c r="A22" s="38" t="s">
        <v>47</v>
      </c>
      <c r="B22" s="39">
        <v>45323</v>
      </c>
      <c r="C22" s="38" t="s">
        <v>16</v>
      </c>
      <c r="D22" s="38" t="s">
        <v>20</v>
      </c>
      <c r="E22" s="38" t="s">
        <v>33</v>
      </c>
      <c r="F22" s="40">
        <v>64</v>
      </c>
      <c r="G22" s="38">
        <v>96</v>
      </c>
      <c r="H22" s="38">
        <f>IFERROR('Automated raw'!$F22+'Automated raw'!$G22,"-")</f>
        <v>160</v>
      </c>
      <c r="I22" s="38">
        <v>119</v>
      </c>
      <c r="J22" s="38">
        <v>50</v>
      </c>
      <c r="K22" s="38">
        <v>12</v>
      </c>
      <c r="L22" s="38">
        <v>1098</v>
      </c>
      <c r="M22" s="38">
        <v>1479</v>
      </c>
      <c r="N22" s="38">
        <f>'Automated raw'!$G22/'Automated raw'!$H22</f>
        <v>0.6</v>
      </c>
      <c r="O22" s="41">
        <f>IFERROR('Automated raw'!$G22/'Automated raw'!$H22,"incomplete")</f>
        <v>0.6</v>
      </c>
      <c r="P22" s="38">
        <f>'Automated raw'!$F22</f>
        <v>64</v>
      </c>
      <c r="Q22" s="42">
        <f>IFERROR('Automated raw'!$P22*'Automated raw'!$L22,0)</f>
        <v>70272</v>
      </c>
      <c r="R22" s="38" t="str">
        <f>IF('Automated raw'!$O22&gt;=60%,"High",IF('Automated raw'!$O22&gt;=30%,"Avg",IF('Automated raw'!$O22&lt;30%,"Dead Stock","Incomplete")))</f>
        <v>High</v>
      </c>
      <c r="S22" s="43" t="str">
        <f>TEXT('Automated raw'!$B22,"mmm")</f>
        <v>Feb</v>
      </c>
      <c r="T22" s="82">
        <f>'Automated raw'!$G22*'Automated raw'!$M22</f>
        <v>141984</v>
      </c>
      <c r="U22" s="6">
        <f>IFERROR((Table7[[#This Row],[Stock In(Total)]]+Table7[[#This Row],[In Stock or Remaining]])/2,"-")</f>
        <v>112</v>
      </c>
      <c r="V22" s="93">
        <f>IFERROR(Table7[[#This Row],[Stock_Out]]/Table7[[#This Row],[Avg Inventory]],"-")</f>
        <v>0.8571428571428571</v>
      </c>
      <c r="W22" s="6"/>
      <c r="X22" s="6"/>
      <c r="Y22" s="6"/>
      <c r="Z22" s="6"/>
      <c r="AA22" s="6"/>
      <c r="AB22" s="6"/>
      <c r="AC22" s="6"/>
      <c r="AD22" s="6"/>
      <c r="AE22" s="6"/>
      <c r="AF22" s="6"/>
      <c r="AG22" s="6"/>
      <c r="AH22" s="6"/>
      <c r="AI22" s="6"/>
      <c r="AJ22" s="6"/>
      <c r="AK22" s="6"/>
    </row>
    <row r="23" spans="1:53" x14ac:dyDescent="0.3">
      <c r="A23" s="44" t="s">
        <v>48</v>
      </c>
      <c r="B23" s="45">
        <v>45501</v>
      </c>
      <c r="C23" s="44" t="s">
        <v>45</v>
      </c>
      <c r="D23" s="44" t="s">
        <v>13</v>
      </c>
      <c r="E23" s="44" t="s">
        <v>38</v>
      </c>
      <c r="F23" s="40">
        <v>70</v>
      </c>
      <c r="G23" s="44">
        <v>114</v>
      </c>
      <c r="H23" s="44">
        <f>IFERROR('Automated raw'!$F23+'Automated raw'!$G23,"-")</f>
        <v>184</v>
      </c>
      <c r="I23" s="44">
        <v>94</v>
      </c>
      <c r="J23" s="44">
        <v>37</v>
      </c>
      <c r="K23" s="44">
        <v>11</v>
      </c>
      <c r="L23" s="44">
        <v>481</v>
      </c>
      <c r="M23" s="44">
        <v>960</v>
      </c>
      <c r="N23" s="44">
        <f>'Automated raw'!$G23/'Automated raw'!$H23</f>
        <v>0.61956521739130432</v>
      </c>
      <c r="O23" s="46">
        <f>IFERROR('Automated raw'!$G23/'Automated raw'!$H23,"incomplete")</f>
        <v>0.61956521739130432</v>
      </c>
      <c r="P23" s="44">
        <f>'Automated raw'!$F23</f>
        <v>70</v>
      </c>
      <c r="Q23" s="47">
        <f>IFERROR('Automated raw'!$P23*'Automated raw'!$L23,0)</f>
        <v>33670</v>
      </c>
      <c r="R23" s="44" t="str">
        <f>IF('Automated raw'!$O23&gt;=60%,"High",IF('Automated raw'!$O23&gt;=30%,"Avg",IF('Automated raw'!$O23&lt;30%,"Dead Stock","Incomplete")))</f>
        <v>High</v>
      </c>
      <c r="S23" s="48" t="str">
        <f>TEXT('Automated raw'!$B23,"mmm")</f>
        <v>Jul</v>
      </c>
      <c r="T23" s="83">
        <f>'Automated raw'!$G23*'Automated raw'!$M23</f>
        <v>109440</v>
      </c>
      <c r="U23" s="6">
        <f>IFERROR((Table7[[#This Row],[Stock In(Total)]]+Table7[[#This Row],[In Stock or Remaining]])/2,"-")</f>
        <v>127</v>
      </c>
      <c r="V23" s="93">
        <f>IFERROR(Table7[[#This Row],[Stock_Out]]/Table7[[#This Row],[Avg Inventory]],"-")</f>
        <v>0.89763779527559051</v>
      </c>
      <c r="W23" s="6"/>
      <c r="X23" s="6"/>
      <c r="Y23" s="6"/>
      <c r="Z23" s="6"/>
      <c r="AA23" s="6"/>
      <c r="AB23" s="6"/>
      <c r="AC23" s="6"/>
      <c r="AD23" s="6"/>
      <c r="AE23" s="6"/>
      <c r="AF23" s="6"/>
      <c r="AG23" s="6"/>
      <c r="AH23" s="6"/>
      <c r="AI23" s="6"/>
      <c r="AJ23" s="6"/>
      <c r="AK23" s="6"/>
      <c r="AN23" s="11" t="s">
        <v>545</v>
      </c>
      <c r="AO23" t="s">
        <v>590</v>
      </c>
    </row>
    <row r="24" spans="1:53" x14ac:dyDescent="0.3">
      <c r="A24" s="44" t="s">
        <v>446</v>
      </c>
      <c r="B24" s="45">
        <v>45396</v>
      </c>
      <c r="C24" s="44" t="s">
        <v>26</v>
      </c>
      <c r="D24" s="44" t="s">
        <v>17</v>
      </c>
      <c r="E24" s="44" t="s">
        <v>14</v>
      </c>
      <c r="F24" s="40">
        <v>69</v>
      </c>
      <c r="G24" s="44">
        <v>31</v>
      </c>
      <c r="H24" s="44">
        <f>IFERROR('Automated raw'!$F413+'Automated raw'!$G413,"-")</f>
        <v>182</v>
      </c>
      <c r="I24" s="44">
        <v>96</v>
      </c>
      <c r="J24" s="44">
        <v>60</v>
      </c>
      <c r="K24" s="44">
        <v>12</v>
      </c>
      <c r="L24" s="44">
        <v>1958</v>
      </c>
      <c r="M24" s="44">
        <v>3252</v>
      </c>
      <c r="N24" s="44">
        <f>'Automated raw'!$G413/'Automated raw'!$H413</f>
        <v>0.77685950413223137</v>
      </c>
      <c r="O24" s="46">
        <f>IFERROR('Automated raw'!$G413/'Automated raw'!$H413,"incomplete")</f>
        <v>0.77685950413223137</v>
      </c>
      <c r="P24" s="44">
        <f>'Automated raw'!$F413</f>
        <v>88</v>
      </c>
      <c r="Q24" s="47">
        <f>IFERROR('Automated raw'!$P413*'Automated raw'!$L413,0)</f>
        <v>56006</v>
      </c>
      <c r="R24" s="44" t="str">
        <f>IF('Automated raw'!$O413&gt;=60%,"High",IF('Automated raw'!$O413&gt;=30%,"Avg",IF('Automated raw'!$O413&lt;30%,"Dead Stock","Incomplete")))</f>
        <v>Dead Stock</v>
      </c>
      <c r="S24" s="48" t="str">
        <f>TEXT('Automated raw'!$B413,"mmm")</f>
        <v>Feb</v>
      </c>
      <c r="T24" s="83">
        <f>'Automated raw'!$G413*'Automated raw'!$M413</f>
        <v>171174</v>
      </c>
      <c r="U24" s="6">
        <f>IFERROR((Table7[[#This Row],[Stock In(Total)]]+Table7[[#This Row],[In Stock or Remaining]])/2,"-")</f>
        <v>125.5</v>
      </c>
      <c r="V24" s="93">
        <f>IFERROR(Table7[[#This Row],[Stock_Out]]/Table7[[#This Row],[Avg Inventory]],"-")</f>
        <v>0.24701195219123506</v>
      </c>
      <c r="W24" s="6"/>
      <c r="X24" s="6"/>
      <c r="Y24" s="6"/>
      <c r="Z24" s="6"/>
      <c r="AA24" s="6"/>
      <c r="AB24" s="6"/>
      <c r="AC24" s="6"/>
      <c r="AD24" s="6"/>
      <c r="AE24" s="6"/>
      <c r="AF24" s="6"/>
      <c r="AG24" s="6"/>
      <c r="AH24" s="6"/>
      <c r="AI24" s="6"/>
      <c r="AJ24" s="6"/>
      <c r="AK24" s="6"/>
      <c r="AN24" s="12" t="s">
        <v>30</v>
      </c>
      <c r="AO24" s="136">
        <v>66</v>
      </c>
    </row>
    <row r="25" spans="1:53" x14ac:dyDescent="0.3">
      <c r="A25" s="44" t="s">
        <v>382</v>
      </c>
      <c r="B25" s="45">
        <v>45505</v>
      </c>
      <c r="C25" s="44" t="s">
        <v>12</v>
      </c>
      <c r="D25" s="44" t="s">
        <v>13</v>
      </c>
      <c r="E25" s="44" t="s">
        <v>38</v>
      </c>
      <c r="F25" s="40">
        <v>109</v>
      </c>
      <c r="G25" s="44">
        <v>49</v>
      </c>
      <c r="H25" s="44">
        <f>IFERROR('Automated raw'!$F349+'Automated raw'!$G349,"-")</f>
        <v>94</v>
      </c>
      <c r="I25" s="44">
        <v>229</v>
      </c>
      <c r="J25" s="44">
        <v>79</v>
      </c>
      <c r="K25" s="44">
        <v>15</v>
      </c>
      <c r="L25" s="44">
        <v>1307</v>
      </c>
      <c r="M25" s="44">
        <v>1810</v>
      </c>
      <c r="N25" s="44">
        <f>'Automated raw'!$G349/'Automated raw'!$H349</f>
        <v>0.51136363636363635</v>
      </c>
      <c r="O25" s="46">
        <f>IFERROR('Automated raw'!$G349/'Automated raw'!$H349,"incomplete")</f>
        <v>0.51136363636363635</v>
      </c>
      <c r="P25" s="44">
        <f>'Automated raw'!$F349</f>
        <v>49</v>
      </c>
      <c r="Q25" s="47">
        <f>IFERROR('Automated raw'!$P349*'Automated raw'!$L349,0)</f>
        <v>27510</v>
      </c>
      <c r="R25" s="44" t="str">
        <f>IF('Automated raw'!$O349&gt;=60%,"High",IF('Automated raw'!$O349&gt;=30%,"Avg",IF('Automated raw'!$O349&lt;30%,"Dead Stock","Incomplete")))</f>
        <v>Dead Stock</v>
      </c>
      <c r="S25" s="48" t="str">
        <f>TEXT('Automated raw'!$B349,"mmm")</f>
        <v>May</v>
      </c>
      <c r="T25" s="83">
        <f>'Automated raw'!$G349*'Automated raw'!$M349</f>
        <v>41895</v>
      </c>
      <c r="U25" s="6">
        <f>IFERROR((Table7[[#This Row],[Stock In(Total)]]+Table7[[#This Row],[In Stock or Remaining]])/2,"-")</f>
        <v>101.5</v>
      </c>
      <c r="V25" s="93">
        <f>IFERROR(Table7[[#This Row],[Stock_Out]]/Table7[[#This Row],[Avg Inventory]],"-")</f>
        <v>0.48275862068965519</v>
      </c>
      <c r="W25" s="6"/>
      <c r="X25" s="6"/>
      <c r="Y25" s="6"/>
      <c r="Z25" s="6"/>
      <c r="AA25" s="6"/>
      <c r="AB25" s="6"/>
      <c r="AC25" s="6"/>
      <c r="AD25" s="6"/>
      <c r="AE25" s="6"/>
      <c r="AF25" s="6"/>
      <c r="AG25" s="6"/>
      <c r="AH25" s="6"/>
      <c r="AI25" s="6"/>
      <c r="AJ25" s="6"/>
      <c r="AK25" s="6"/>
      <c r="AN25" s="12" t="s">
        <v>16</v>
      </c>
      <c r="AO25" s="136">
        <v>56</v>
      </c>
      <c r="AQ25" s="6"/>
    </row>
    <row r="26" spans="1:53" x14ac:dyDescent="0.3">
      <c r="A26" s="38" t="s">
        <v>339</v>
      </c>
      <c r="B26" s="39">
        <v>45480</v>
      </c>
      <c r="C26" s="38" t="s">
        <v>45</v>
      </c>
      <c r="D26" s="38" t="s">
        <v>20</v>
      </c>
      <c r="E26" s="38" t="s">
        <v>21</v>
      </c>
      <c r="F26" s="40">
        <v>68</v>
      </c>
      <c r="G26" s="38">
        <v>31</v>
      </c>
      <c r="H26" s="38">
        <f>IFERROR('Automated raw'!$F306+'Automated raw'!$G306,"-")</f>
        <v>182</v>
      </c>
      <c r="I26" s="38">
        <v>206</v>
      </c>
      <c r="J26" s="38">
        <v>68</v>
      </c>
      <c r="K26" s="38">
        <v>13</v>
      </c>
      <c r="L26" s="38">
        <v>1162</v>
      </c>
      <c r="M26" s="38">
        <v>2627</v>
      </c>
      <c r="N26" s="38">
        <f>'Automated raw'!$G306/'Automated raw'!$H306</f>
        <v>0.51552795031055898</v>
      </c>
      <c r="O26" s="41">
        <f>IFERROR('Automated raw'!$G306/'Automated raw'!$H306,"incomplete")</f>
        <v>0.51552795031055898</v>
      </c>
      <c r="P26" s="38">
        <f>'Automated raw'!$F306</f>
        <v>99</v>
      </c>
      <c r="Q26" s="42">
        <f>IFERROR('Automated raw'!$P306*'Automated raw'!$L306,0)</f>
        <v>42108</v>
      </c>
      <c r="R26" s="38" t="str">
        <f>IF('Automated raw'!$O306&gt;=60%,"High",IF('Automated raw'!$O306&gt;=30%,"Avg",IF('Automated raw'!$O306&lt;30%,"Dead Stock","Incomplete")))</f>
        <v>Avg</v>
      </c>
      <c r="S26" s="43" t="str">
        <f>TEXT('Automated raw'!$B306,"mmm")</f>
        <v>Nov</v>
      </c>
      <c r="T26" s="82">
        <f>'Automated raw'!$G306*'Automated raw'!$M306</f>
        <v>94703</v>
      </c>
      <c r="U26" s="6">
        <f>IFERROR((Table7[[#This Row],[Stock In(Total)]]+Table7[[#This Row],[In Stock or Remaining]])/2,"-")</f>
        <v>125</v>
      </c>
      <c r="V26" s="93">
        <f>IFERROR(Table7[[#This Row],[Stock_Out]]/Table7[[#This Row],[Avg Inventory]],"-")</f>
        <v>0.248</v>
      </c>
      <c r="W26" s="6"/>
      <c r="X26" s="6"/>
      <c r="Y26" s="6"/>
      <c r="Z26" s="6"/>
      <c r="AA26" s="6"/>
      <c r="AB26" s="6"/>
      <c r="AC26" s="6"/>
      <c r="AD26" s="6"/>
      <c r="AE26" s="6"/>
      <c r="AF26" s="6"/>
      <c r="AG26" s="6"/>
      <c r="AH26" s="6"/>
      <c r="AI26" s="6"/>
      <c r="AJ26" s="6"/>
      <c r="AK26" s="6"/>
      <c r="AN26" s="12" t="s">
        <v>35</v>
      </c>
      <c r="AO26" s="136">
        <v>65</v>
      </c>
    </row>
    <row r="27" spans="1:53" x14ac:dyDescent="0.3">
      <c r="A27" s="44" t="s">
        <v>54</v>
      </c>
      <c r="B27" s="45">
        <v>45395</v>
      </c>
      <c r="C27" s="44" t="s">
        <v>12</v>
      </c>
      <c r="D27" s="44" t="s">
        <v>13</v>
      </c>
      <c r="E27" s="44" t="s">
        <v>38</v>
      </c>
      <c r="F27" s="40">
        <v>121</v>
      </c>
      <c r="G27" s="44">
        <v>13</v>
      </c>
      <c r="H27" s="44">
        <f>IFERROR('Automated raw'!$F27+'Automated raw'!$G27,"-")</f>
        <v>134</v>
      </c>
      <c r="I27" s="44">
        <v>183</v>
      </c>
      <c r="J27" s="44">
        <v>42</v>
      </c>
      <c r="K27" s="44">
        <v>7</v>
      </c>
      <c r="L27" s="44">
        <v>364</v>
      </c>
      <c r="M27" s="44">
        <v>1744</v>
      </c>
      <c r="N27" s="44">
        <f>'Automated raw'!$G27/'Automated raw'!$H27</f>
        <v>9.7014925373134331E-2</v>
      </c>
      <c r="O27" s="46">
        <f>IFERROR('Automated raw'!$G27/'Automated raw'!$H27,"incomplete")</f>
        <v>9.7014925373134331E-2</v>
      </c>
      <c r="P27" s="44">
        <f>'Automated raw'!$F27</f>
        <v>121</v>
      </c>
      <c r="Q27" s="47">
        <f>IFERROR('Automated raw'!$P27*'Automated raw'!$L27,0)</f>
        <v>44044</v>
      </c>
      <c r="R27" s="44" t="str">
        <f>IF('Automated raw'!$O27&gt;=60%,"High",IF('Automated raw'!$O27&gt;=30%,"Avg",IF('Automated raw'!$O27&lt;30%,"Dead Stock","Incomplete")))</f>
        <v>Dead Stock</v>
      </c>
      <c r="S27" s="48" t="str">
        <f>TEXT('Automated raw'!$B27,"mmm")</f>
        <v>Apr</v>
      </c>
      <c r="T27" s="83">
        <f>'Automated raw'!$G27*'Automated raw'!$M27</f>
        <v>22672</v>
      </c>
      <c r="U27" s="6">
        <f>IFERROR((Table7[[#This Row],[Stock In(Total)]]+Table7[[#This Row],[In Stock or Remaining]])/2,"-")</f>
        <v>127.5</v>
      </c>
      <c r="V27" s="93">
        <f>IFERROR(Table7[[#This Row],[Stock_Out]]/Table7[[#This Row],[Avg Inventory]],"-")</f>
        <v>0.10196078431372549</v>
      </c>
      <c r="W27" s="6"/>
      <c r="X27" s="6"/>
      <c r="Y27" s="6"/>
      <c r="Z27" s="6"/>
      <c r="AA27" s="6"/>
      <c r="AB27" s="6"/>
      <c r="AC27" s="6"/>
      <c r="AD27" s="6"/>
      <c r="AE27" s="6"/>
      <c r="AF27" s="6"/>
      <c r="AG27" s="6"/>
      <c r="AH27" s="6"/>
      <c r="AI27" s="6"/>
      <c r="AJ27" s="6"/>
      <c r="AK27" s="6"/>
      <c r="AN27" s="12" t="s">
        <v>12</v>
      </c>
      <c r="AO27" s="136">
        <v>72</v>
      </c>
    </row>
    <row r="28" spans="1:53" x14ac:dyDescent="0.3">
      <c r="A28" s="38" t="s">
        <v>55</v>
      </c>
      <c r="B28" s="39">
        <v>45392</v>
      </c>
      <c r="C28" s="38" t="s">
        <v>30</v>
      </c>
      <c r="D28" s="38" t="s">
        <v>20</v>
      </c>
      <c r="E28" s="38" t="s">
        <v>38</v>
      </c>
      <c r="F28" s="40">
        <v>35</v>
      </c>
      <c r="G28" s="38">
        <v>75</v>
      </c>
      <c r="H28" s="38">
        <f>IFERROR('Automated raw'!$F28+'Automated raw'!$G28,"-")</f>
        <v>110</v>
      </c>
      <c r="I28" s="38">
        <v>16</v>
      </c>
      <c r="J28" s="38">
        <v>48</v>
      </c>
      <c r="K28" s="38">
        <v>13</v>
      </c>
      <c r="L28" s="38">
        <v>570</v>
      </c>
      <c r="M28" s="38">
        <v>1182</v>
      </c>
      <c r="N28" s="38">
        <f>'Automated raw'!$G28/'Automated raw'!$H28</f>
        <v>0.68181818181818177</v>
      </c>
      <c r="O28" s="41">
        <f>IFERROR('Automated raw'!$G28/'Automated raw'!$H28,"incomplete")</f>
        <v>0.68181818181818177</v>
      </c>
      <c r="P28" s="38">
        <f>'Automated raw'!$F28</f>
        <v>35</v>
      </c>
      <c r="Q28" s="42">
        <f>IFERROR('Automated raw'!$P28*'Automated raw'!$L28,0)</f>
        <v>19950</v>
      </c>
      <c r="R28" s="38" t="str">
        <f>IF('Automated raw'!$O28&gt;=60%,"High",IF('Automated raw'!$O28&gt;=30%,"Avg",IF('Automated raw'!$O28&lt;30%,"Dead Stock","Incomplete")))</f>
        <v>High</v>
      </c>
      <c r="S28" s="43" t="str">
        <f>TEXT('Automated raw'!$B28,"mmm")</f>
        <v>Apr</v>
      </c>
      <c r="T28" s="82">
        <f>'Automated raw'!$G28*'Automated raw'!$M28</f>
        <v>88650</v>
      </c>
      <c r="U28" s="6">
        <f>IFERROR((Table7[[#This Row],[Stock In(Total)]]+Table7[[#This Row],[In Stock or Remaining]])/2,"-")</f>
        <v>72.5</v>
      </c>
      <c r="V28" s="93">
        <f>IFERROR(Table7[[#This Row],[Stock_Out]]/Table7[[#This Row],[Avg Inventory]],"-")</f>
        <v>1.0344827586206897</v>
      </c>
      <c r="W28" s="6"/>
      <c r="X28" s="6"/>
      <c r="Y28" s="6"/>
      <c r="Z28" s="6"/>
      <c r="AA28" s="6"/>
      <c r="AB28" s="6"/>
      <c r="AC28" s="6"/>
      <c r="AD28" s="6"/>
      <c r="AE28" s="6"/>
      <c r="AF28" s="6"/>
      <c r="AG28" s="6"/>
      <c r="AH28" s="6"/>
      <c r="AI28" s="6"/>
      <c r="AJ28" s="6"/>
      <c r="AK28" s="6"/>
      <c r="AN28" s="12" t="s">
        <v>37</v>
      </c>
      <c r="AO28" s="136">
        <v>68</v>
      </c>
    </row>
    <row r="29" spans="1:53" x14ac:dyDescent="0.3">
      <c r="A29" s="44" t="s">
        <v>336</v>
      </c>
      <c r="B29" s="45">
        <v>45321</v>
      </c>
      <c r="C29" s="44" t="s">
        <v>30</v>
      </c>
      <c r="D29" s="44" t="s">
        <v>17</v>
      </c>
      <c r="E29" s="44" t="s">
        <v>14</v>
      </c>
      <c r="F29" s="40">
        <v>118</v>
      </c>
      <c r="G29" s="44">
        <v>54</v>
      </c>
      <c r="H29" s="44">
        <f>IFERROR('Automated raw'!$F303+'Automated raw'!$G303,"-")</f>
        <v>130</v>
      </c>
      <c r="I29" s="44">
        <v>185</v>
      </c>
      <c r="J29" s="44">
        <v>56</v>
      </c>
      <c r="K29" s="44">
        <v>7</v>
      </c>
      <c r="L29" s="44">
        <v>1207</v>
      </c>
      <c r="M29" s="44">
        <v>1837</v>
      </c>
      <c r="N29" s="44">
        <f>'Automated raw'!$G303/'Automated raw'!$H303</f>
        <v>0.38815789473684209</v>
      </c>
      <c r="O29" s="46">
        <f>IFERROR('Automated raw'!$G303/'Automated raw'!$H303,"incomplete")</f>
        <v>0.38815789473684209</v>
      </c>
      <c r="P29" s="44">
        <f>'Automated raw'!$F303</f>
        <v>71</v>
      </c>
      <c r="Q29" s="47">
        <f>IFERROR('Automated raw'!$P303*'Automated raw'!$L303,0)</f>
        <v>39264</v>
      </c>
      <c r="R29" s="44" t="str">
        <f>IF('Automated raw'!$O303&gt;=60%,"High",IF('Automated raw'!$O303&gt;=30%,"Avg",IF('Automated raw'!$O303&lt;30%,"Dead Stock","Incomplete")))</f>
        <v>High</v>
      </c>
      <c r="S29" s="48" t="str">
        <f>TEXT('Automated raw'!$B303,"mmm")</f>
        <v>Apr</v>
      </c>
      <c r="T29" s="83">
        <f>'Automated raw'!$G303*'Automated raw'!$M303</f>
        <v>51802</v>
      </c>
      <c r="U29" s="6">
        <f>IFERROR((Table7[[#This Row],[Stock In(Total)]]+Table7[[#This Row],[In Stock or Remaining]])/2,"-")</f>
        <v>124</v>
      </c>
      <c r="V29" s="93">
        <f>IFERROR(Table7[[#This Row],[Stock_Out]]/Table7[[#This Row],[Avg Inventory]],"-")</f>
        <v>0.43548387096774194</v>
      </c>
      <c r="W29" s="6"/>
      <c r="X29" s="6"/>
      <c r="Y29" s="6"/>
      <c r="Z29" s="6"/>
      <c r="AA29" s="6"/>
      <c r="AB29" s="6"/>
      <c r="AC29" s="6"/>
      <c r="AD29" s="6"/>
      <c r="AE29" s="6"/>
      <c r="AF29" s="6"/>
      <c r="AG29" s="6"/>
      <c r="AH29" s="6"/>
      <c r="AI29" s="6"/>
      <c r="AJ29" s="6"/>
      <c r="AK29" s="6"/>
      <c r="AN29" s="12" t="s">
        <v>45</v>
      </c>
      <c r="AO29" s="136">
        <v>49</v>
      </c>
      <c r="AT29" s="11" t="s">
        <v>545</v>
      </c>
      <c r="AU29" t="s">
        <v>548</v>
      </c>
      <c r="AV29" t="s">
        <v>567</v>
      </c>
      <c r="AW29" s="36" t="s">
        <v>545</v>
      </c>
      <c r="AX29" s="36" t="s">
        <v>548</v>
      </c>
      <c r="AY29" s="36" t="s">
        <v>587</v>
      </c>
      <c r="AZ29" s="35" t="s">
        <v>553</v>
      </c>
    </row>
    <row r="30" spans="1:53" x14ac:dyDescent="0.3">
      <c r="A30" s="44" t="s">
        <v>219</v>
      </c>
      <c r="B30" s="45">
        <v>45348</v>
      </c>
      <c r="C30" s="44" t="s">
        <v>30</v>
      </c>
      <c r="D30" s="44" t="s">
        <v>13</v>
      </c>
      <c r="E30" s="44" t="s">
        <v>21</v>
      </c>
      <c r="F30" s="40">
        <v>131</v>
      </c>
      <c r="G30" s="44">
        <v>60</v>
      </c>
      <c r="H30" s="44">
        <f>IFERROR('Automated raw'!$F189+'Automated raw'!$G189,"-")</f>
        <v>221</v>
      </c>
      <c r="I30" s="44">
        <v>153</v>
      </c>
      <c r="J30" s="44">
        <v>66</v>
      </c>
      <c r="K30" s="44">
        <v>5</v>
      </c>
      <c r="L30" s="44">
        <v>663</v>
      </c>
      <c r="M30" s="44">
        <v>1303</v>
      </c>
      <c r="N30" s="44">
        <f>'Automated raw'!$G189/'Automated raw'!$H189</f>
        <v>1.3384615384615384</v>
      </c>
      <c r="O30" s="46">
        <f>IFERROR('Automated raw'!$G189/'Automated raw'!$H189,"incomplete")</f>
        <v>1.3384615384615384</v>
      </c>
      <c r="P30" s="44">
        <f>'Automated raw'!$F189</f>
        <v>134</v>
      </c>
      <c r="Q30" s="47">
        <f>IFERROR('Automated raw'!$P189*'Automated raw'!$L189,0)</f>
        <v>36564</v>
      </c>
      <c r="R30" s="44" t="str">
        <f>IF('Automated raw'!$O189&gt;=60%,"High",IF('Automated raw'!$O189&gt;=30%,"Avg",IF('Automated raw'!$O189&lt;30%,"Dead Stock","Incomplete")))</f>
        <v>Dead Stock</v>
      </c>
      <c r="S30" s="48" t="str">
        <f>TEXT('Automated raw'!$B189,"mmm")</f>
        <v>Jan</v>
      </c>
      <c r="T30" s="83">
        <f>'Automated raw'!$G189*'Automated raw'!$M189</f>
        <v>114492</v>
      </c>
      <c r="U30" s="6">
        <f>IFERROR((Table7[[#This Row],[Stock In(Total)]]+Table7[[#This Row],[In Stock or Remaining]])/2,"-")</f>
        <v>176</v>
      </c>
      <c r="V30" s="93">
        <f>IFERROR(Table7[[#This Row],[Stock_Out]]/Table7[[#This Row],[Avg Inventory]],"-")</f>
        <v>0.34090909090909088</v>
      </c>
      <c r="W30" s="6"/>
      <c r="X30" s="6"/>
      <c r="Y30" s="6"/>
      <c r="Z30" s="6"/>
      <c r="AA30" s="6"/>
      <c r="AB30" s="6"/>
      <c r="AC30" s="6"/>
      <c r="AD30" s="6"/>
      <c r="AE30" s="6"/>
      <c r="AF30" s="6"/>
      <c r="AG30" s="6"/>
      <c r="AH30" s="6"/>
      <c r="AI30" s="6"/>
      <c r="AJ30" s="6"/>
      <c r="AK30" s="6"/>
      <c r="AN30" s="12" t="s">
        <v>19</v>
      </c>
      <c r="AO30" s="136">
        <v>69</v>
      </c>
      <c r="AT30" s="12" t="s">
        <v>551</v>
      </c>
      <c r="AU30">
        <v>22304</v>
      </c>
      <c r="AV30" s="5">
        <v>31828080</v>
      </c>
      <c r="AW30" s="12" t="s">
        <v>551</v>
      </c>
      <c r="AX30">
        <f>GETPIVOTDATA("Unsold Quantity",$AT$29,"Decision ","Avg")</f>
        <v>22304</v>
      </c>
      <c r="AY30" s="5">
        <f>GETPIVOTDATA("Sum of selling value value",$AT$29,"Decision ","Avg")</f>
        <v>31828080</v>
      </c>
      <c r="AZ30" s="5">
        <f>GETPIVOTDATA("unsold Value ",$AQ$5,"Decision ","Avg")</f>
        <v>14788443</v>
      </c>
      <c r="BA30" s="12" t="s">
        <v>551</v>
      </c>
    </row>
    <row r="31" spans="1:53" x14ac:dyDescent="0.3">
      <c r="A31" s="44" t="s">
        <v>58</v>
      </c>
      <c r="B31" s="45">
        <v>45591</v>
      </c>
      <c r="C31" s="44" t="s">
        <v>37</v>
      </c>
      <c r="D31" s="44" t="s">
        <v>13</v>
      </c>
      <c r="E31" s="44" t="s">
        <v>14</v>
      </c>
      <c r="F31" s="40">
        <v>11</v>
      </c>
      <c r="G31" s="44">
        <v>41</v>
      </c>
      <c r="H31" s="44">
        <f>IFERROR('Automated raw'!$F31+'Automated raw'!$G31,"-")</f>
        <v>52</v>
      </c>
      <c r="I31" s="44">
        <v>73</v>
      </c>
      <c r="J31" s="44">
        <v>72</v>
      </c>
      <c r="K31" s="44">
        <v>12</v>
      </c>
      <c r="L31" s="44">
        <v>232</v>
      </c>
      <c r="M31" s="44">
        <v>421</v>
      </c>
      <c r="N31" s="44">
        <f>'Automated raw'!$G31/'Automated raw'!$H31</f>
        <v>0.78846153846153844</v>
      </c>
      <c r="O31" s="46">
        <f>IFERROR('Automated raw'!$G31/'Automated raw'!$H31,"incomplete")</f>
        <v>0.78846153846153844</v>
      </c>
      <c r="P31" s="44">
        <f>'Automated raw'!$F31</f>
        <v>11</v>
      </c>
      <c r="Q31" s="47">
        <f>IFERROR('Automated raw'!$P31*'Automated raw'!$L31,0)</f>
        <v>2552</v>
      </c>
      <c r="R31" s="44" t="str">
        <f>IF('Automated raw'!$O31&gt;=60%,"High",IF('Automated raw'!$O31&gt;=30%,"Avg",IF('Automated raw'!$O31&lt;30%,"Dead Stock","Incomplete")))</f>
        <v>High</v>
      </c>
      <c r="S31" s="48" t="str">
        <f>TEXT('Automated raw'!$B31,"mmm")</f>
        <v>Oct</v>
      </c>
      <c r="T31" s="83">
        <f>'Automated raw'!$G31*'Automated raw'!$M31</f>
        <v>17261</v>
      </c>
      <c r="U31" s="6">
        <f>IFERROR((Table7[[#This Row],[Stock In(Total)]]+Table7[[#This Row],[In Stock or Remaining]])/2,"-")</f>
        <v>31.5</v>
      </c>
      <c r="V31" s="93">
        <f>IFERROR(Table7[[#This Row],[Stock_Out]]/Table7[[#This Row],[Avg Inventory]],"-")</f>
        <v>1.3015873015873016</v>
      </c>
      <c r="W31" s="6"/>
      <c r="X31" s="6"/>
      <c r="Y31" s="6"/>
      <c r="Z31" s="6"/>
      <c r="AA31" s="6"/>
      <c r="AB31" s="6"/>
      <c r="AC31" s="6"/>
      <c r="AD31" s="6"/>
      <c r="AE31" s="6"/>
      <c r="AF31" s="6"/>
      <c r="AG31" s="6"/>
      <c r="AH31" s="6"/>
      <c r="AI31" s="6"/>
      <c r="AJ31" s="6"/>
      <c r="AK31" s="6"/>
      <c r="AN31" s="12" t="s">
        <v>26</v>
      </c>
      <c r="AO31" s="136">
        <v>55</v>
      </c>
      <c r="AT31" s="12" t="s">
        <v>547</v>
      </c>
      <c r="AU31">
        <v>11377</v>
      </c>
      <c r="AV31" s="5">
        <v>4589922</v>
      </c>
      <c r="AW31" s="12" t="s">
        <v>552</v>
      </c>
      <c r="AX31">
        <f>GETPIVOTDATA("Unsold Quantity",$AT$29,"Decision ","High")</f>
        <v>3252</v>
      </c>
      <c r="AY31" s="5">
        <f>GETPIVOTDATA("Sum of selling value value",$AT$29,"Decision ","High")</f>
        <v>20339896</v>
      </c>
      <c r="AZ31" s="5">
        <f>GETPIVOTDATA("unsold Value ",$AQ$5,"Decision ","High")</f>
        <v>2180434</v>
      </c>
      <c r="BA31" s="12" t="s">
        <v>552</v>
      </c>
    </row>
    <row r="32" spans="1:53" x14ac:dyDescent="0.3">
      <c r="A32" s="44" t="s">
        <v>346</v>
      </c>
      <c r="B32" s="45">
        <v>45470</v>
      </c>
      <c r="C32" s="44" t="s">
        <v>30</v>
      </c>
      <c r="D32" s="44" t="s">
        <v>20</v>
      </c>
      <c r="E32" s="44" t="s">
        <v>33</v>
      </c>
      <c r="F32" s="40">
        <v>122</v>
      </c>
      <c r="G32" s="44">
        <v>56</v>
      </c>
      <c r="H32" s="44">
        <f>IFERROR('Automated raw'!$F313+'Automated raw'!$G313,"-")</f>
        <v>208</v>
      </c>
      <c r="I32" s="44">
        <v>52</v>
      </c>
      <c r="J32" s="44">
        <v>58</v>
      </c>
      <c r="K32" s="44">
        <v>15</v>
      </c>
      <c r="L32" s="44">
        <v>270</v>
      </c>
      <c r="M32" s="44">
        <v>1706</v>
      </c>
      <c r="N32" s="44">
        <f>'Automated raw'!$G313/'Automated raw'!$H313</f>
        <v>0.71111111111111114</v>
      </c>
      <c r="O32" s="46">
        <f>IFERROR('Automated raw'!$G313/'Automated raw'!$H313,"incomplete")</f>
        <v>0.71111111111111114</v>
      </c>
      <c r="P32" s="44">
        <f>'Automated raw'!$F313</f>
        <v>112</v>
      </c>
      <c r="Q32" s="47">
        <f>IFERROR('Automated raw'!$P313*'Automated raw'!$L313,0)</f>
        <v>91314</v>
      </c>
      <c r="R32" s="44" t="str">
        <f>IF('Automated raw'!$O313&gt;=60%,"High",IF('Automated raw'!$O313&gt;=30%,"Avg",IF('Automated raw'!$O313&lt;30%,"Dead Stock","Incomplete")))</f>
        <v>Dead Stock</v>
      </c>
      <c r="S32" s="48" t="str">
        <f>TEXT('Automated raw'!$B313,"mmm")</f>
        <v>Jan</v>
      </c>
      <c r="T32" s="83">
        <f>'Automated raw'!$G313*'Automated raw'!$M313</f>
        <v>196704</v>
      </c>
      <c r="U32" s="6">
        <f>IFERROR((Table7[[#This Row],[Stock In(Total)]]+Table7[[#This Row],[In Stock or Remaining]])/2,"-")</f>
        <v>165</v>
      </c>
      <c r="V32" s="93">
        <f>IFERROR(Table7[[#This Row],[Stock_Out]]/Table7[[#This Row],[Avg Inventory]],"-")</f>
        <v>0.33939393939393941</v>
      </c>
      <c r="W32" s="6"/>
      <c r="X32" s="6"/>
      <c r="Y32" s="6"/>
      <c r="Z32" s="6"/>
      <c r="AA32" s="6"/>
      <c r="AB32" s="6"/>
      <c r="AC32" s="6"/>
      <c r="AD32" s="6"/>
      <c r="AE32" s="6"/>
      <c r="AF32" s="6"/>
      <c r="AG32" s="6"/>
      <c r="AH32" s="6"/>
      <c r="AI32" s="6"/>
      <c r="AJ32" s="6"/>
      <c r="AK32" s="6"/>
      <c r="AN32" s="12" t="s">
        <v>591</v>
      </c>
      <c r="AO32" s="136">
        <v>1</v>
      </c>
      <c r="AT32" s="12" t="s">
        <v>552</v>
      </c>
      <c r="AU32">
        <v>3252</v>
      </c>
      <c r="AV32" s="5">
        <v>20339896</v>
      </c>
      <c r="AW32" s="12" t="s">
        <v>547</v>
      </c>
      <c r="AX32">
        <f>GETPIVOTDATA("Unsold Quantity",$AT$29,"Decision ","Dead Stock")</f>
        <v>11377</v>
      </c>
      <c r="AY32" s="5">
        <f>GETPIVOTDATA("Sum of selling value value",$AT$29,"Decision ","Dead Stock")</f>
        <v>4589922</v>
      </c>
      <c r="AZ32" s="5">
        <f>GETPIVOTDATA("unsold Value ",$AQ$5,"Decision ","Dead Stock")</f>
        <v>8059258</v>
      </c>
      <c r="BA32" s="12" t="s">
        <v>547</v>
      </c>
    </row>
    <row r="33" spans="1:48" x14ac:dyDescent="0.3">
      <c r="A33" s="44" t="s">
        <v>60</v>
      </c>
      <c r="B33" s="45">
        <v>45450</v>
      </c>
      <c r="C33" s="44" t="s">
        <v>19</v>
      </c>
      <c r="D33" s="44" t="s">
        <v>13</v>
      </c>
      <c r="E33" s="44" t="s">
        <v>21</v>
      </c>
      <c r="F33" s="40">
        <v>5</v>
      </c>
      <c r="G33" s="44">
        <v>81</v>
      </c>
      <c r="H33" s="44">
        <f>IFERROR('Automated raw'!$F33+'Automated raw'!$G33,"-")</f>
        <v>86</v>
      </c>
      <c r="I33" s="44">
        <v>181</v>
      </c>
      <c r="J33" s="44">
        <v>66</v>
      </c>
      <c r="K33" s="44">
        <v>9</v>
      </c>
      <c r="L33" s="44">
        <v>1797</v>
      </c>
      <c r="M33" s="44">
        <v>2464</v>
      </c>
      <c r="N33" s="44">
        <f>'Automated raw'!$G33/'Automated raw'!$H33</f>
        <v>0.94186046511627908</v>
      </c>
      <c r="O33" s="46">
        <f>IFERROR('Automated raw'!$G33/'Automated raw'!$H33,"incomplete")</f>
        <v>0.94186046511627908</v>
      </c>
      <c r="P33" s="44">
        <f>'Automated raw'!$F33</f>
        <v>5</v>
      </c>
      <c r="Q33" s="47">
        <f>IFERROR('Automated raw'!$P33*'Automated raw'!$L33,0)</f>
        <v>8985</v>
      </c>
      <c r="R33" s="44" t="str">
        <f>IF('Automated raw'!$O33&gt;=60%,"High",IF('Automated raw'!$O33&gt;=30%,"Avg",IF('Automated raw'!$O33&lt;30%,"Dead Stock","Incomplete")))</f>
        <v>High</v>
      </c>
      <c r="S33" s="48" t="str">
        <f>TEXT('Automated raw'!$B33,"mmm")</f>
        <v>Jun</v>
      </c>
      <c r="T33" s="83">
        <f>'Automated raw'!$G33*'Automated raw'!$M33</f>
        <v>199584</v>
      </c>
      <c r="U33" s="6">
        <f>IFERROR((Table7[[#This Row],[Stock In(Total)]]+Table7[[#This Row],[In Stock or Remaining]])/2,"-")</f>
        <v>45.5</v>
      </c>
      <c r="V33" s="93">
        <f>IFERROR(Table7[[#This Row],[Stock_Out]]/Table7[[#This Row],[Avg Inventory]],"-")</f>
        <v>1.7802197802197801</v>
      </c>
      <c r="W33" s="6"/>
      <c r="X33" s="6"/>
      <c r="Y33" s="6"/>
      <c r="Z33" s="6"/>
      <c r="AA33" s="6"/>
      <c r="AB33" s="6"/>
      <c r="AC33" s="6"/>
      <c r="AD33" s="6"/>
      <c r="AE33" s="6"/>
      <c r="AF33" s="6"/>
      <c r="AG33" s="6"/>
      <c r="AH33" s="6"/>
      <c r="AI33" s="6"/>
      <c r="AJ33" s="6"/>
      <c r="AK33" s="6"/>
      <c r="AN33" s="12" t="s">
        <v>546</v>
      </c>
      <c r="AO33" s="136">
        <v>501</v>
      </c>
      <c r="AT33" s="12" t="s">
        <v>546</v>
      </c>
      <c r="AU33">
        <v>36933</v>
      </c>
      <c r="AV33" s="5">
        <v>56757898</v>
      </c>
    </row>
    <row r="34" spans="1:48" x14ac:dyDescent="0.3">
      <c r="A34" s="38" t="s">
        <v>57</v>
      </c>
      <c r="B34" s="39">
        <v>45532</v>
      </c>
      <c r="C34" s="38" t="s">
        <v>37</v>
      </c>
      <c r="D34" s="38" t="s">
        <v>13</v>
      </c>
      <c r="E34" s="38" t="s">
        <v>21</v>
      </c>
      <c r="F34" s="40">
        <v>91</v>
      </c>
      <c r="G34" s="38">
        <v>42</v>
      </c>
      <c r="H34" s="38">
        <f>IFERROR('Automated raw'!$F30+'Automated raw'!$G30,"-")</f>
        <v>191</v>
      </c>
      <c r="I34" s="38">
        <v>181</v>
      </c>
      <c r="J34" s="38">
        <v>38</v>
      </c>
      <c r="K34" s="38">
        <v>10</v>
      </c>
      <c r="L34" s="38">
        <v>541</v>
      </c>
      <c r="M34" s="38">
        <v>1787</v>
      </c>
      <c r="N34" s="38">
        <f>'Automated raw'!$G30/'Automated raw'!$H30</f>
        <v>0.27149321266968324</v>
      </c>
      <c r="O34" s="41">
        <f>IFERROR('Automated raw'!$G30/'Automated raw'!$H30,"incomplete")</f>
        <v>0.27149321266968324</v>
      </c>
      <c r="P34" s="38">
        <f>'Automated raw'!$F30</f>
        <v>131</v>
      </c>
      <c r="Q34" s="42">
        <f>IFERROR('Automated raw'!$P30*'Automated raw'!$L30,0)</f>
        <v>88842</v>
      </c>
      <c r="R34" s="38" t="str">
        <f>IF('Automated raw'!$O30&gt;=60%,"High",IF('Automated raw'!$O30&gt;=30%,"Avg",IF('Automated raw'!$O30&lt;30%,"Dead Stock","Incomplete")))</f>
        <v>High</v>
      </c>
      <c r="S34" s="43" t="str">
        <f>TEXT('Automated raw'!$B30,"mmm")</f>
        <v>Feb</v>
      </c>
      <c r="T34" s="82">
        <f>'Automated raw'!$G30*'Automated raw'!$M30</f>
        <v>78180</v>
      </c>
      <c r="U34" s="6">
        <f>IFERROR((Table7[[#This Row],[Stock In(Total)]]+Table7[[#This Row],[In Stock or Remaining]])/2,"-")</f>
        <v>141</v>
      </c>
      <c r="V34" s="93">
        <f>IFERROR(Table7[[#This Row],[Stock_Out]]/Table7[[#This Row],[Avg Inventory]],"-")</f>
        <v>0.2978723404255319</v>
      </c>
      <c r="W34" s="6"/>
      <c r="X34" s="6"/>
      <c r="Y34" s="6"/>
      <c r="Z34" s="6"/>
      <c r="AA34" s="6"/>
      <c r="AB34" s="6"/>
      <c r="AC34" s="6"/>
      <c r="AD34" s="6"/>
      <c r="AE34" s="6"/>
      <c r="AF34" s="6"/>
      <c r="AG34" s="6"/>
      <c r="AH34" s="6"/>
      <c r="AI34" s="6"/>
      <c r="AJ34" s="6"/>
      <c r="AK34" s="6"/>
    </row>
    <row r="35" spans="1:48" x14ac:dyDescent="0.3">
      <c r="A35" s="44" t="s">
        <v>62</v>
      </c>
      <c r="B35" s="45">
        <v>45313</v>
      </c>
      <c r="C35" s="44" t="s">
        <v>37</v>
      </c>
      <c r="D35" s="44" t="s">
        <v>17</v>
      </c>
      <c r="E35" s="44" t="s">
        <v>21</v>
      </c>
      <c r="F35" s="40">
        <v>45</v>
      </c>
      <c r="G35" s="44">
        <v>80</v>
      </c>
      <c r="H35" s="44">
        <f>IFERROR('Automated raw'!$F35+'Automated raw'!$G35,"-")</f>
        <v>125</v>
      </c>
      <c r="I35" s="44">
        <v>5</v>
      </c>
      <c r="J35" s="44">
        <v>36</v>
      </c>
      <c r="K35" s="44">
        <v>9</v>
      </c>
      <c r="L35" s="44">
        <v>1116</v>
      </c>
      <c r="M35" s="44">
        <v>2247</v>
      </c>
      <c r="N35" s="44">
        <f>'Automated raw'!$G35/'Automated raw'!$H35</f>
        <v>0.64</v>
      </c>
      <c r="O35" s="46">
        <f>IFERROR('Automated raw'!$G35/'Automated raw'!$H35,"incomplete")</f>
        <v>0.64</v>
      </c>
      <c r="P35" s="44">
        <f>'Automated raw'!$F35</f>
        <v>45</v>
      </c>
      <c r="Q35" s="47">
        <f>IFERROR('Automated raw'!$P35*'Automated raw'!$L35,0)</f>
        <v>50220</v>
      </c>
      <c r="R35" s="44" t="str">
        <f>IF('Automated raw'!$O35&gt;=60%,"High",IF('Automated raw'!$O35&gt;=30%,"Avg",IF('Automated raw'!$O35&lt;30%,"Dead Stock","Incomplete")))</f>
        <v>High</v>
      </c>
      <c r="S35" s="48" t="str">
        <f>TEXT('Automated raw'!$B35,"mmm")</f>
        <v>Jan</v>
      </c>
      <c r="T35" s="83">
        <f>'Automated raw'!$G35*'Automated raw'!$M35</f>
        <v>179760</v>
      </c>
      <c r="U35" s="6">
        <f>IFERROR((Table7[[#This Row],[Stock In(Total)]]+Table7[[#This Row],[In Stock or Remaining]])/2,"-")</f>
        <v>85</v>
      </c>
      <c r="V35" s="93">
        <f>IFERROR(Table7[[#This Row],[Stock_Out]]/Table7[[#This Row],[Avg Inventory]],"-")</f>
        <v>0.94117647058823528</v>
      </c>
      <c r="W35" s="6"/>
      <c r="X35" s="6"/>
      <c r="Y35" s="6"/>
      <c r="Z35" s="6"/>
      <c r="AA35" s="6"/>
      <c r="AB35" s="6"/>
      <c r="AC35" s="6"/>
      <c r="AD35" s="6"/>
      <c r="AE35" s="6"/>
      <c r="AF35" s="6"/>
      <c r="AG35" s="6"/>
      <c r="AH35" s="6"/>
      <c r="AI35" s="6"/>
      <c r="AJ35" s="6"/>
      <c r="AK35" s="6"/>
    </row>
    <row r="36" spans="1:48" x14ac:dyDescent="0.3">
      <c r="A36" s="38" t="s">
        <v>63</v>
      </c>
      <c r="B36" s="39">
        <v>45381</v>
      </c>
      <c r="C36" s="38" t="s">
        <v>30</v>
      </c>
      <c r="D36" s="38" t="s">
        <v>17</v>
      </c>
      <c r="E36" s="38" t="s">
        <v>14</v>
      </c>
      <c r="F36" s="40" t="s">
        <v>23</v>
      </c>
      <c r="G36" s="38">
        <v>109</v>
      </c>
      <c r="H36" s="38" t="str">
        <f>IFERROR('Automated raw'!$F36+'Automated raw'!$G36,"-")</f>
        <v>-</v>
      </c>
      <c r="I36" s="38">
        <v>151</v>
      </c>
      <c r="J36" s="38">
        <v>52</v>
      </c>
      <c r="K36" s="38">
        <v>15</v>
      </c>
      <c r="L36" s="38">
        <v>1424</v>
      </c>
      <c r="M36" s="38">
        <v>2364</v>
      </c>
      <c r="N36" s="38" t="e">
        <f>'Automated raw'!$G36/'Automated raw'!$H36</f>
        <v>#VALUE!</v>
      </c>
      <c r="O36" s="49" t="str">
        <f>IFERROR('Automated raw'!$G36/'Automated raw'!$H36,"incomplete")</f>
        <v>incomplete</v>
      </c>
      <c r="P36" s="38" t="str">
        <f>'Automated raw'!$F36</f>
        <v>Not Available</v>
      </c>
      <c r="Q36" s="42">
        <f>IFERROR('Automated raw'!$P36*'Automated raw'!$L36,0)</f>
        <v>0</v>
      </c>
      <c r="R36" s="38" t="str">
        <f>IF('Automated raw'!$O36&gt;=60%,"High",IF('Automated raw'!$O36&gt;=30%,"Avg",IF('Automated raw'!$O36&lt;30%,"Dead Stock","Incomplete")))</f>
        <v>High</v>
      </c>
      <c r="S36" s="43" t="str">
        <f>TEXT('Automated raw'!$B36,"mmm")</f>
        <v>Mar</v>
      </c>
      <c r="T36" s="82">
        <f>'Automated raw'!$G36*'Automated raw'!$M36</f>
        <v>257676</v>
      </c>
      <c r="U36" s="6" t="str">
        <f>IFERROR((Table7[[#This Row],[Stock In(Total)]]+Table7[[#This Row],[In Stock or Remaining]])/2,"-")</f>
        <v>-</v>
      </c>
      <c r="V36" s="93" t="str">
        <f>IFERROR(Table7[[#This Row],[Stock_Out]]/Table7[[#This Row],[Avg Inventory]],"-")</f>
        <v>-</v>
      </c>
      <c r="W36" s="6"/>
      <c r="X36" s="6"/>
      <c r="Y36" s="6"/>
      <c r="Z36" s="6"/>
      <c r="AA36" s="6"/>
      <c r="AB36" s="6"/>
      <c r="AC36" s="6"/>
      <c r="AD36" s="6"/>
      <c r="AE36" s="6"/>
      <c r="AF36" s="6"/>
      <c r="AG36" s="6"/>
      <c r="AH36" s="6"/>
      <c r="AI36" s="6"/>
      <c r="AJ36" s="6"/>
      <c r="AK36" s="6"/>
    </row>
    <row r="37" spans="1:48" x14ac:dyDescent="0.3">
      <c r="A37" s="38" t="s">
        <v>479</v>
      </c>
      <c r="B37" s="39">
        <v>45380</v>
      </c>
      <c r="C37" s="38" t="s">
        <v>19</v>
      </c>
      <c r="D37" s="38" t="s">
        <v>20</v>
      </c>
      <c r="E37" s="38" t="s">
        <v>21</v>
      </c>
      <c r="F37" s="40">
        <v>114</v>
      </c>
      <c r="G37" s="38">
        <v>53</v>
      </c>
      <c r="H37" s="38">
        <f>IFERROR('Automated raw'!$F446+'Automated raw'!$G446,"-")</f>
        <v>158</v>
      </c>
      <c r="I37" s="38">
        <v>68</v>
      </c>
      <c r="J37" s="38">
        <v>66</v>
      </c>
      <c r="K37" s="38">
        <v>2</v>
      </c>
      <c r="L37" s="38">
        <v>955</v>
      </c>
      <c r="M37" s="38">
        <v>1143</v>
      </c>
      <c r="N37" s="38">
        <f>'Automated raw'!$G446/'Automated raw'!$H446</f>
        <v>0.95604395604395609</v>
      </c>
      <c r="O37" s="41">
        <f>IFERROR('Automated raw'!$G446/'Automated raw'!$H446,"incomplete")</f>
        <v>0.95604395604395609</v>
      </c>
      <c r="P37" s="38">
        <f>'Automated raw'!$F446</f>
        <v>71</v>
      </c>
      <c r="Q37" s="42">
        <f>IFERROR('Automated raw'!$P446*'Automated raw'!$L446,0)</f>
        <v>61380</v>
      </c>
      <c r="R37" s="38" t="str">
        <f>IF('Automated raw'!$O446&gt;=60%,"High",IF('Automated raw'!$O446&gt;=30%,"Avg",IF('Automated raw'!$O446&lt;30%,"Dead Stock","Incomplete")))</f>
        <v>Dead Stock</v>
      </c>
      <c r="S37" s="43" t="str">
        <f>TEXT('Automated raw'!$B446,"mmm")</f>
        <v>Aug</v>
      </c>
      <c r="T37" s="82">
        <f>'Automated raw'!$G446*'Automated raw'!$M446</f>
        <v>174609</v>
      </c>
      <c r="U37" s="6">
        <f>IFERROR((Table7[[#This Row],[Stock In(Total)]]+Table7[[#This Row],[In Stock or Remaining]])/2,"-")</f>
        <v>136</v>
      </c>
      <c r="V37" s="93">
        <f>IFERROR(Table7[[#This Row],[Stock_Out]]/Table7[[#This Row],[Avg Inventory]],"-")</f>
        <v>0.38970588235294118</v>
      </c>
      <c r="W37" s="6"/>
      <c r="X37" s="6"/>
      <c r="Y37" s="6"/>
      <c r="Z37" s="6"/>
      <c r="AA37" s="6"/>
      <c r="AB37" s="6"/>
      <c r="AC37" s="6"/>
      <c r="AD37" s="6"/>
      <c r="AE37" s="6"/>
      <c r="AF37" s="6"/>
      <c r="AG37" s="6"/>
      <c r="AH37" s="6"/>
      <c r="AI37" s="6"/>
      <c r="AJ37" s="6"/>
      <c r="AK37" s="6"/>
    </row>
    <row r="38" spans="1:48" x14ac:dyDescent="0.3">
      <c r="A38" s="38" t="s">
        <v>65</v>
      </c>
      <c r="B38" s="39">
        <v>45455</v>
      </c>
      <c r="C38" s="38" t="s">
        <v>16</v>
      </c>
      <c r="D38" s="38" t="s">
        <v>20</v>
      </c>
      <c r="E38" s="38" t="s">
        <v>33</v>
      </c>
      <c r="F38" s="40">
        <v>138</v>
      </c>
      <c r="G38" s="38">
        <v>57</v>
      </c>
      <c r="H38" s="38">
        <f>IFERROR('Automated raw'!$F38+'Automated raw'!$G38,"-")</f>
        <v>195</v>
      </c>
      <c r="I38" s="38">
        <v>254</v>
      </c>
      <c r="J38" s="38">
        <v>50</v>
      </c>
      <c r="K38" s="38">
        <v>11</v>
      </c>
      <c r="L38" s="38">
        <v>1681</v>
      </c>
      <c r="M38" s="38">
        <v>3013</v>
      </c>
      <c r="N38" s="38">
        <f>'Automated raw'!$G38/'Automated raw'!$H38</f>
        <v>0.29230769230769232</v>
      </c>
      <c r="O38" s="41">
        <f>IFERROR('Automated raw'!$G38/'Automated raw'!$H38,"incomplete")</f>
        <v>0.29230769230769232</v>
      </c>
      <c r="P38" s="38">
        <f>'Automated raw'!$F38</f>
        <v>138</v>
      </c>
      <c r="Q38" s="42">
        <f>IFERROR('Automated raw'!$P38*'Automated raw'!$L38,0)</f>
        <v>231978</v>
      </c>
      <c r="R38" s="38" t="str">
        <f>IF('Automated raw'!$O38&gt;=60%,"High",IF('Automated raw'!$O38&gt;=30%,"Avg",IF('Automated raw'!$O38&lt;30%,"Dead Stock","Incomplete")))</f>
        <v>Dead Stock</v>
      </c>
      <c r="S38" s="43" t="str">
        <f>TEXT('Automated raw'!$B38,"mmm")</f>
        <v>Jun</v>
      </c>
      <c r="T38" s="82">
        <f>'Automated raw'!$G38*'Automated raw'!$M38</f>
        <v>171741</v>
      </c>
      <c r="U38" s="6">
        <f>IFERROR((Table7[[#This Row],[Stock In(Total)]]+Table7[[#This Row],[In Stock or Remaining]])/2,"-")</f>
        <v>166.5</v>
      </c>
      <c r="V38" s="93">
        <f>IFERROR(Table7[[#This Row],[Stock_Out]]/Table7[[#This Row],[Avg Inventory]],"-")</f>
        <v>0.34234234234234234</v>
      </c>
      <c r="W38" s="6"/>
      <c r="X38" s="6"/>
      <c r="Y38" s="6"/>
      <c r="Z38" s="6"/>
      <c r="AA38" s="6"/>
      <c r="AB38" s="6"/>
      <c r="AC38" s="6"/>
      <c r="AD38" s="6"/>
      <c r="AE38" s="6"/>
      <c r="AF38" s="6"/>
      <c r="AG38" s="6"/>
      <c r="AH38" s="6"/>
      <c r="AI38" s="6"/>
      <c r="AJ38" s="6"/>
      <c r="AK38" s="6"/>
    </row>
    <row r="39" spans="1:48" x14ac:dyDescent="0.3">
      <c r="A39" s="44" t="s">
        <v>354</v>
      </c>
      <c r="B39" s="45">
        <v>45597</v>
      </c>
      <c r="C39" s="44" t="s">
        <v>53</v>
      </c>
      <c r="D39" s="44" t="s">
        <v>20</v>
      </c>
      <c r="E39" s="44" t="s">
        <v>14</v>
      </c>
      <c r="F39" s="40">
        <v>103</v>
      </c>
      <c r="G39" s="44">
        <v>48</v>
      </c>
      <c r="H39" s="44">
        <f>IFERROR('Automated raw'!$F321+'Automated raw'!$G321,"-")</f>
        <v>110</v>
      </c>
      <c r="I39" s="44">
        <v>42</v>
      </c>
      <c r="J39" s="44">
        <v>32</v>
      </c>
      <c r="K39" s="44">
        <v>11</v>
      </c>
      <c r="L39" s="44">
        <v>724</v>
      </c>
      <c r="M39" s="44">
        <v>992</v>
      </c>
      <c r="N39" s="44">
        <f>'Automated raw'!$G321/'Automated raw'!$H321</f>
        <v>0.24170616113744076</v>
      </c>
      <c r="O39" s="46">
        <f>IFERROR('Automated raw'!$G321/'Automated raw'!$H321,"incomplete")</f>
        <v>0.24170616113744076</v>
      </c>
      <c r="P39" s="44">
        <f>'Automated raw'!$F321</f>
        <v>59</v>
      </c>
      <c r="Q39" s="47">
        <f>IFERROR('Automated raw'!$P321*'Automated raw'!$L321,0)</f>
        <v>27144</v>
      </c>
      <c r="R39" s="44" t="str">
        <f>IF('Automated raw'!$O321&gt;=60%,"High",IF('Automated raw'!$O321&gt;=30%,"Avg",IF('Automated raw'!$O321&lt;30%,"Dead Stock","Incomplete")))</f>
        <v>Avg</v>
      </c>
      <c r="S39" s="48" t="str">
        <f>TEXT('Automated raw'!$B321,"mmm")</f>
        <v>May</v>
      </c>
      <c r="T39" s="83">
        <f>'Automated raw'!$G321*'Automated raw'!$M321</f>
        <v>66657</v>
      </c>
      <c r="U39" s="6">
        <f>IFERROR((Table7[[#This Row],[Stock In(Total)]]+Table7[[#This Row],[In Stock or Remaining]])/2,"-")</f>
        <v>106.5</v>
      </c>
      <c r="V39" s="93">
        <f>IFERROR(Table7[[#This Row],[Stock_Out]]/Table7[[#This Row],[Avg Inventory]],"-")</f>
        <v>0.45070422535211269</v>
      </c>
      <c r="W39" s="6"/>
      <c r="X39" s="6"/>
      <c r="Y39" s="6"/>
      <c r="Z39" s="6"/>
      <c r="AA39" s="6"/>
      <c r="AB39" s="6"/>
      <c r="AC39" s="6"/>
      <c r="AD39" s="6"/>
      <c r="AE39" s="6"/>
      <c r="AF39" s="6"/>
      <c r="AG39" s="6"/>
      <c r="AH39" s="6"/>
      <c r="AI39" s="6"/>
      <c r="AJ39" s="6"/>
      <c r="AK39" s="6"/>
    </row>
    <row r="40" spans="1:48" x14ac:dyDescent="0.3">
      <c r="A40" s="44" t="s">
        <v>327</v>
      </c>
      <c r="B40" s="45">
        <v>45521</v>
      </c>
      <c r="C40" s="44" t="s">
        <v>37</v>
      </c>
      <c r="D40" s="44" t="s">
        <v>17</v>
      </c>
      <c r="E40" s="44" t="s">
        <v>33</v>
      </c>
      <c r="F40" s="40">
        <v>148</v>
      </c>
      <c r="G40" s="44">
        <v>69</v>
      </c>
      <c r="H40" s="44">
        <f>IFERROR('Automated raw'!$F295+'Automated raw'!$G295,"-")</f>
        <v>264</v>
      </c>
      <c r="I40" s="44">
        <v>23</v>
      </c>
      <c r="J40" s="44">
        <v>70</v>
      </c>
      <c r="K40" s="44">
        <v>2</v>
      </c>
      <c r="L40" s="44">
        <v>1853</v>
      </c>
      <c r="M40" s="44">
        <v>3193</v>
      </c>
      <c r="N40" s="44">
        <f>'Automated raw'!$G295/'Automated raw'!$H295</f>
        <v>0.875</v>
      </c>
      <c r="O40" s="46">
        <f>IFERROR('Automated raw'!$G295/'Automated raw'!$H295,"incomplete")</f>
        <v>0.875</v>
      </c>
      <c r="P40" s="44">
        <f>'Automated raw'!$F295</f>
        <v>145</v>
      </c>
      <c r="Q40" s="47">
        <f>IFERROR('Automated raw'!$P295*'Automated raw'!$L295,0)</f>
        <v>117852</v>
      </c>
      <c r="R40" s="44" t="str">
        <f>IF('Automated raw'!$O295&gt;=60%,"High",IF('Automated raw'!$O295&gt;=30%,"Avg",IF('Automated raw'!$O295&lt;30%,"Dead Stock","Incomplete")))</f>
        <v>Avg</v>
      </c>
      <c r="S40" s="48" t="str">
        <f>TEXT('Automated raw'!$B295,"mmm")</f>
        <v>Jun</v>
      </c>
      <c r="T40" s="83">
        <f>'Automated raw'!$G295*'Automated raw'!$M295</f>
        <v>289289</v>
      </c>
      <c r="U40" s="6">
        <f>IFERROR((Table7[[#This Row],[Stock In(Total)]]+Table7[[#This Row],[In Stock or Remaining]])/2,"-")</f>
        <v>206</v>
      </c>
      <c r="V40" s="93">
        <f>IFERROR(Table7[[#This Row],[Stock_Out]]/Table7[[#This Row],[Avg Inventory]],"-")</f>
        <v>0.33495145631067963</v>
      </c>
      <c r="W40" s="6"/>
      <c r="X40" s="6"/>
      <c r="Y40" s="6"/>
      <c r="Z40" s="6"/>
      <c r="AA40" s="6"/>
      <c r="AB40" s="6"/>
      <c r="AC40" s="6"/>
      <c r="AD40" s="6"/>
      <c r="AE40" s="6"/>
      <c r="AF40" s="6"/>
      <c r="AG40" s="6"/>
      <c r="AH40" s="6"/>
      <c r="AI40" s="6"/>
      <c r="AJ40" s="6"/>
      <c r="AK40" s="6"/>
    </row>
    <row r="41" spans="1:48" x14ac:dyDescent="0.3">
      <c r="A41" s="44" t="s">
        <v>68</v>
      </c>
      <c r="B41" s="45">
        <v>45555</v>
      </c>
      <c r="C41" s="44" t="s">
        <v>26</v>
      </c>
      <c r="D41" s="44" t="s">
        <v>13</v>
      </c>
      <c r="E41" s="44" t="s">
        <v>33</v>
      </c>
      <c r="F41" s="40" t="s">
        <v>23</v>
      </c>
      <c r="G41" s="44">
        <v>26</v>
      </c>
      <c r="H41" s="44" t="str">
        <f>IFERROR('Automated raw'!$F41+'Automated raw'!$G41,"-")</f>
        <v>-</v>
      </c>
      <c r="I41" s="44">
        <v>176</v>
      </c>
      <c r="J41" s="44">
        <v>40</v>
      </c>
      <c r="K41" s="44">
        <v>11</v>
      </c>
      <c r="L41" s="44">
        <v>1397</v>
      </c>
      <c r="M41" s="44">
        <v>2716</v>
      </c>
      <c r="N41" s="44" t="e">
        <f>'Automated raw'!$G41/'Automated raw'!$H41</f>
        <v>#VALUE!</v>
      </c>
      <c r="O41" s="51" t="str">
        <f>IFERROR('Automated raw'!$G41/'Automated raw'!$H41,"incomplete")</f>
        <v>incomplete</v>
      </c>
      <c r="P41" s="44" t="str">
        <f>'Automated raw'!$F41</f>
        <v>Not Available</v>
      </c>
      <c r="Q41" s="47">
        <f>IFERROR('Automated raw'!$P41*'Automated raw'!$L41,0)</f>
        <v>0</v>
      </c>
      <c r="R41" s="44" t="str">
        <f>IF('Automated raw'!$O41&gt;=60%,"High",IF('Automated raw'!$O41&gt;=30%,"Avg",IF('Automated raw'!$O41&lt;30%,"Dead Stock","Incomplete")))</f>
        <v>High</v>
      </c>
      <c r="S41" s="48" t="str">
        <f>TEXT('Automated raw'!$B41,"mmm")</f>
        <v>Sep</v>
      </c>
      <c r="T41" s="83">
        <f>'Automated raw'!$G41*'Automated raw'!$M41</f>
        <v>70616</v>
      </c>
      <c r="U41" s="6" t="str">
        <f>IFERROR((Table7[[#This Row],[Stock In(Total)]]+Table7[[#This Row],[In Stock or Remaining]])/2,"-")</f>
        <v>-</v>
      </c>
      <c r="V41" s="93" t="str">
        <f>IFERROR(Table7[[#This Row],[Stock_Out]]/Table7[[#This Row],[Avg Inventory]],"-")</f>
        <v>-</v>
      </c>
      <c r="W41" s="6"/>
      <c r="X41" s="6"/>
      <c r="Y41" s="6"/>
      <c r="Z41" s="6"/>
      <c r="AA41" s="6"/>
      <c r="AB41" s="6"/>
      <c r="AC41" s="6"/>
      <c r="AD41" s="6"/>
      <c r="AE41" s="6"/>
      <c r="AF41" s="6"/>
      <c r="AG41" s="6"/>
      <c r="AH41" s="6"/>
      <c r="AI41" s="6"/>
      <c r="AJ41" s="6"/>
      <c r="AK41" s="6"/>
    </row>
    <row r="42" spans="1:48" x14ac:dyDescent="0.3">
      <c r="A42" s="38" t="s">
        <v>69</v>
      </c>
      <c r="B42" s="39">
        <v>45351</v>
      </c>
      <c r="C42" s="38" t="s">
        <v>16</v>
      </c>
      <c r="D42" s="38" t="s">
        <v>17</v>
      </c>
      <c r="E42" s="38" t="s">
        <v>33</v>
      </c>
      <c r="F42" s="40">
        <v>34</v>
      </c>
      <c r="G42" s="38">
        <v>85</v>
      </c>
      <c r="H42" s="38">
        <f>IFERROR('Automated raw'!$F42+'Automated raw'!$G42,"-")</f>
        <v>119</v>
      </c>
      <c r="I42" s="38">
        <v>187</v>
      </c>
      <c r="J42" s="38">
        <v>78</v>
      </c>
      <c r="K42" s="38">
        <v>12</v>
      </c>
      <c r="L42" s="38">
        <v>678</v>
      </c>
      <c r="M42" s="38">
        <v>1220</v>
      </c>
      <c r="N42" s="38">
        <f>'Automated raw'!$G42/'Automated raw'!$H42</f>
        <v>0.7142857142857143</v>
      </c>
      <c r="O42" s="41">
        <f>IFERROR('Automated raw'!$G42/'Automated raw'!$H42,"incomplete")</f>
        <v>0.7142857142857143</v>
      </c>
      <c r="P42" s="38">
        <f>'Automated raw'!$F42</f>
        <v>34</v>
      </c>
      <c r="Q42" s="42">
        <f>IFERROR('Automated raw'!$P42*'Automated raw'!$L42,0)</f>
        <v>23052</v>
      </c>
      <c r="R42" s="38" t="str">
        <f>IF('Automated raw'!$O42&gt;=60%,"High",IF('Automated raw'!$O42&gt;=30%,"Avg",IF('Automated raw'!$O42&lt;30%,"Dead Stock","Incomplete")))</f>
        <v>High</v>
      </c>
      <c r="S42" s="43" t="str">
        <f>TEXT('Automated raw'!$B42,"mmm")</f>
        <v>Feb</v>
      </c>
      <c r="T42" s="82">
        <f>'Automated raw'!$G42*'Automated raw'!$M42</f>
        <v>103700</v>
      </c>
      <c r="U42" s="6">
        <f>IFERROR((Table7[[#This Row],[Stock In(Total)]]+Table7[[#This Row],[In Stock or Remaining]])/2,"-")</f>
        <v>76.5</v>
      </c>
      <c r="V42" s="93">
        <f>IFERROR(Table7[[#This Row],[Stock_Out]]/Table7[[#This Row],[Avg Inventory]],"-")</f>
        <v>1.1111111111111112</v>
      </c>
      <c r="W42" s="6"/>
      <c r="X42" s="6"/>
      <c r="Y42" s="6"/>
      <c r="Z42" s="6"/>
      <c r="AA42" s="6"/>
      <c r="AB42" s="6"/>
      <c r="AC42" s="6"/>
      <c r="AD42" s="6"/>
      <c r="AE42" s="6"/>
      <c r="AF42" s="6"/>
      <c r="AG42" s="6"/>
      <c r="AH42" s="6"/>
      <c r="AI42" s="6"/>
      <c r="AJ42" s="6"/>
      <c r="AK42" s="6"/>
    </row>
    <row r="43" spans="1:48" x14ac:dyDescent="0.3">
      <c r="A43" s="44" t="s">
        <v>70</v>
      </c>
      <c r="B43" s="45">
        <v>45541</v>
      </c>
      <c r="C43" s="44" t="s">
        <v>53</v>
      </c>
      <c r="D43" s="44" t="s">
        <v>20</v>
      </c>
      <c r="E43" s="44" t="s">
        <v>33</v>
      </c>
      <c r="F43" s="40">
        <v>135</v>
      </c>
      <c r="G43" s="44">
        <v>35</v>
      </c>
      <c r="H43" s="44">
        <f>IFERROR('Automated raw'!$F43+'Automated raw'!$G43,"-")</f>
        <v>170</v>
      </c>
      <c r="I43" s="44">
        <v>46</v>
      </c>
      <c r="J43" s="44">
        <v>32</v>
      </c>
      <c r="K43" s="44">
        <v>7</v>
      </c>
      <c r="L43" s="44">
        <v>1421</v>
      </c>
      <c r="M43" s="44">
        <v>2720</v>
      </c>
      <c r="N43" s="44">
        <f>'Automated raw'!$G43/'Automated raw'!$H43</f>
        <v>0.20588235294117646</v>
      </c>
      <c r="O43" s="46">
        <f>IFERROR('Automated raw'!$G43/'Automated raw'!$H43,"incomplete")</f>
        <v>0.20588235294117646</v>
      </c>
      <c r="P43" s="44">
        <f>'Automated raw'!$F43</f>
        <v>135</v>
      </c>
      <c r="Q43" s="47">
        <f>IFERROR('Automated raw'!$P43*'Automated raw'!$L43,0)</f>
        <v>191835</v>
      </c>
      <c r="R43" s="44" t="str">
        <f>IF('Automated raw'!$O43&gt;=60%,"High",IF('Automated raw'!$O43&gt;=30%,"Avg",IF('Automated raw'!$O43&lt;30%,"Dead Stock","Incomplete")))</f>
        <v>Dead Stock</v>
      </c>
      <c r="S43" s="48" t="str">
        <f>TEXT('Automated raw'!$B43,"mmm")</f>
        <v>Sep</v>
      </c>
      <c r="T43" s="83">
        <f>'Automated raw'!$G43*'Automated raw'!$M43</f>
        <v>95200</v>
      </c>
      <c r="U43" s="6">
        <f>IFERROR((Table7[[#This Row],[Stock In(Total)]]+Table7[[#This Row],[In Stock or Remaining]])/2,"-")</f>
        <v>152.5</v>
      </c>
      <c r="V43" s="93">
        <f>IFERROR(Table7[[#This Row],[Stock_Out]]/Table7[[#This Row],[Avg Inventory]],"-")</f>
        <v>0.22950819672131148</v>
      </c>
      <c r="W43" s="6"/>
      <c r="X43" s="6"/>
      <c r="Y43" s="6"/>
      <c r="Z43" s="6"/>
      <c r="AA43" s="6"/>
      <c r="AB43" s="6"/>
      <c r="AC43" s="6"/>
      <c r="AD43" s="6"/>
      <c r="AE43" s="6"/>
      <c r="AF43" s="6"/>
      <c r="AG43" s="6"/>
      <c r="AH43" s="6"/>
      <c r="AI43" s="6"/>
      <c r="AJ43" s="6"/>
      <c r="AK43" s="6"/>
    </row>
    <row r="44" spans="1:48" x14ac:dyDescent="0.3">
      <c r="A44" s="38" t="s">
        <v>322</v>
      </c>
      <c r="B44" s="39">
        <v>45483</v>
      </c>
      <c r="C44" s="38" t="s">
        <v>37</v>
      </c>
      <c r="D44" s="38" t="s">
        <v>13</v>
      </c>
      <c r="E44" s="38" t="s">
        <v>33</v>
      </c>
      <c r="F44" s="40">
        <v>90</v>
      </c>
      <c r="G44" s="38">
        <v>42</v>
      </c>
      <c r="H44" s="38">
        <f>IFERROR('Automated raw'!$F290+'Automated raw'!$G290,"-")</f>
        <v>249</v>
      </c>
      <c r="I44" s="38">
        <v>126</v>
      </c>
      <c r="J44" s="38">
        <v>47</v>
      </c>
      <c r="K44" s="38">
        <v>14</v>
      </c>
      <c r="L44" s="38">
        <v>1347</v>
      </c>
      <c r="M44" s="38">
        <v>2833</v>
      </c>
      <c r="N44" s="38">
        <f>'Automated raw'!$G290/'Automated raw'!$H290</f>
        <v>0.89600000000000002</v>
      </c>
      <c r="O44" s="41">
        <f>IFERROR('Automated raw'!$G290/'Automated raw'!$H290,"incomplete")</f>
        <v>0.89600000000000002</v>
      </c>
      <c r="P44" s="38">
        <f>'Automated raw'!$F290</f>
        <v>137</v>
      </c>
      <c r="Q44" s="42">
        <f>IFERROR('Automated raw'!$P290*'Automated raw'!$L290,0)</f>
        <v>78540</v>
      </c>
      <c r="R44" s="38" t="str">
        <f>IF('Automated raw'!$O290&gt;=60%,"High",IF('Automated raw'!$O290&gt;=30%,"Avg",IF('Automated raw'!$O290&lt;30%,"Dead Stock","Incomplete")))</f>
        <v>High</v>
      </c>
      <c r="S44" s="43" t="str">
        <f>TEXT('Automated raw'!$B290,"mmm")</f>
        <v>Jan</v>
      </c>
      <c r="T44" s="82">
        <f>'Automated raw'!$G290*'Automated raw'!$M290</f>
        <v>323568</v>
      </c>
      <c r="U44" s="6">
        <f>IFERROR((Table7[[#This Row],[Stock In(Total)]]+Table7[[#This Row],[In Stock or Remaining]])/2,"-")</f>
        <v>169.5</v>
      </c>
      <c r="V44" s="93">
        <f>IFERROR(Table7[[#This Row],[Stock_Out]]/Table7[[#This Row],[Avg Inventory]],"-")</f>
        <v>0.24778761061946902</v>
      </c>
      <c r="W44" s="6"/>
      <c r="X44" s="6"/>
      <c r="Y44" s="6"/>
      <c r="Z44" s="6"/>
      <c r="AA44" s="6"/>
      <c r="AB44" s="6"/>
      <c r="AC44" s="6"/>
      <c r="AD44" s="6"/>
      <c r="AE44" s="6"/>
      <c r="AF44" s="6"/>
      <c r="AG44" s="6"/>
      <c r="AH44" s="6"/>
      <c r="AI44" s="6"/>
      <c r="AJ44" s="6"/>
      <c r="AK44" s="6"/>
    </row>
    <row r="45" spans="1:48" x14ac:dyDescent="0.3">
      <c r="A45" s="44" t="s">
        <v>72</v>
      </c>
      <c r="B45" s="45">
        <v>45555</v>
      </c>
      <c r="C45" s="44" t="s">
        <v>12</v>
      </c>
      <c r="D45" s="44" t="s">
        <v>20</v>
      </c>
      <c r="E45" s="44" t="s">
        <v>14</v>
      </c>
      <c r="F45" s="40">
        <v>123</v>
      </c>
      <c r="G45" s="44">
        <v>20</v>
      </c>
      <c r="H45" s="44">
        <f>IFERROR('Automated raw'!$F45+'Automated raw'!$G45,"-")</f>
        <v>143</v>
      </c>
      <c r="I45" s="44">
        <v>58</v>
      </c>
      <c r="J45" s="44">
        <v>63</v>
      </c>
      <c r="K45" s="44">
        <v>4</v>
      </c>
      <c r="L45" s="44">
        <v>742</v>
      </c>
      <c r="M45" s="44">
        <v>1437</v>
      </c>
      <c r="N45" s="44">
        <f>'Automated raw'!$G45/'Automated raw'!$H45</f>
        <v>0.13986013986013987</v>
      </c>
      <c r="O45" s="46">
        <f>IFERROR('Automated raw'!$G45/'Automated raw'!$H45,"incomplete")</f>
        <v>0.13986013986013987</v>
      </c>
      <c r="P45" s="44">
        <f>'Automated raw'!$F45</f>
        <v>123</v>
      </c>
      <c r="Q45" s="47">
        <f>IFERROR('Automated raw'!$P45*'Automated raw'!$L45,0)</f>
        <v>91266</v>
      </c>
      <c r="R45" s="44" t="str">
        <f>IF('Automated raw'!$O45&gt;=60%,"High",IF('Automated raw'!$O45&gt;=30%,"Avg",IF('Automated raw'!$O45&lt;30%,"Dead Stock","Incomplete")))</f>
        <v>Dead Stock</v>
      </c>
      <c r="S45" s="48" t="str">
        <f>TEXT('Automated raw'!$B45,"mmm")</f>
        <v>Sep</v>
      </c>
      <c r="T45" s="83">
        <f>'Automated raw'!$G45*'Automated raw'!$M45</f>
        <v>28740</v>
      </c>
      <c r="U45" s="6">
        <f>IFERROR((Table7[[#This Row],[Stock In(Total)]]+Table7[[#This Row],[In Stock or Remaining]])/2,"-")</f>
        <v>133</v>
      </c>
      <c r="V45" s="93">
        <f>IFERROR(Table7[[#This Row],[Stock_Out]]/Table7[[#This Row],[Avg Inventory]],"-")</f>
        <v>0.15037593984962405</v>
      </c>
      <c r="W45" s="6"/>
      <c r="X45" s="6"/>
      <c r="Y45" s="6"/>
      <c r="Z45" s="6"/>
      <c r="AA45" s="6"/>
      <c r="AB45" s="6"/>
      <c r="AC45" s="6"/>
      <c r="AD45" s="6"/>
      <c r="AE45" s="6"/>
      <c r="AF45" s="6"/>
      <c r="AG45" s="6"/>
      <c r="AH45" s="6"/>
      <c r="AI45" s="6"/>
      <c r="AJ45" s="6"/>
      <c r="AK45" s="6"/>
      <c r="AO45" s="11" t="s">
        <v>538</v>
      </c>
      <c r="AP45" t="s">
        <v>552</v>
      </c>
    </row>
    <row r="46" spans="1:48" x14ac:dyDescent="0.3">
      <c r="A46" s="38" t="s">
        <v>73</v>
      </c>
      <c r="B46" s="39">
        <v>45307</v>
      </c>
      <c r="C46" s="38" t="s">
        <v>45</v>
      </c>
      <c r="D46" s="38" t="s">
        <v>20</v>
      </c>
      <c r="E46" s="38" t="s">
        <v>38</v>
      </c>
      <c r="F46" s="40">
        <v>56</v>
      </c>
      <c r="G46" s="38">
        <v>95</v>
      </c>
      <c r="H46" s="38">
        <f>IFERROR('Automated raw'!$F46+'Automated raw'!$G46,"-")</f>
        <v>151</v>
      </c>
      <c r="I46" s="38">
        <v>141</v>
      </c>
      <c r="J46" s="38">
        <v>75</v>
      </c>
      <c r="K46" s="38">
        <v>4</v>
      </c>
      <c r="L46" s="38">
        <v>898</v>
      </c>
      <c r="M46" s="38">
        <v>1689</v>
      </c>
      <c r="N46" s="38">
        <f>'Automated raw'!$G46/'Automated raw'!$H46</f>
        <v>0.62913907284768211</v>
      </c>
      <c r="O46" s="41">
        <f>IFERROR('Automated raw'!$G46/'Automated raw'!$H46,"incomplete")</f>
        <v>0.62913907284768211</v>
      </c>
      <c r="P46" s="38">
        <f>'Automated raw'!$F46</f>
        <v>56</v>
      </c>
      <c r="Q46" s="42">
        <f>IFERROR('Automated raw'!$P46*'Automated raw'!$L46,0)</f>
        <v>50288</v>
      </c>
      <c r="R46" s="38" t="str">
        <f>IF('Automated raw'!$O46&gt;=60%,"High",IF('Automated raw'!$O46&gt;=30%,"Avg",IF('Automated raw'!$O46&lt;30%,"Dead Stock","Incomplete")))</f>
        <v>High</v>
      </c>
      <c r="S46" s="43" t="str">
        <f>TEXT('Automated raw'!$B46,"mmm")</f>
        <v>Jan</v>
      </c>
      <c r="T46" s="82">
        <f>'Automated raw'!$G46*'Automated raw'!$M46</f>
        <v>160455</v>
      </c>
      <c r="U46" s="6">
        <f>IFERROR((Table7[[#This Row],[Stock In(Total)]]+Table7[[#This Row],[In Stock or Remaining]])/2,"-")</f>
        <v>103.5</v>
      </c>
      <c r="V46" s="93">
        <f>IFERROR(Table7[[#This Row],[Stock_Out]]/Table7[[#This Row],[Avg Inventory]],"-")</f>
        <v>0.91787439613526567</v>
      </c>
      <c r="W46" s="6"/>
      <c r="X46" s="6"/>
      <c r="Y46" s="6"/>
      <c r="Z46" s="6"/>
      <c r="AA46" s="6"/>
      <c r="AB46" s="6"/>
      <c r="AC46" s="6"/>
      <c r="AD46" s="6"/>
      <c r="AE46" s="6"/>
      <c r="AF46" s="6"/>
      <c r="AG46" s="6"/>
      <c r="AH46" s="6"/>
      <c r="AI46" s="6"/>
      <c r="AJ46" s="6"/>
      <c r="AK46" s="6"/>
    </row>
    <row r="47" spans="1:48" x14ac:dyDescent="0.3">
      <c r="A47" s="44" t="s">
        <v>74</v>
      </c>
      <c r="B47" s="45">
        <v>45426</v>
      </c>
      <c r="C47" s="44" t="s">
        <v>16</v>
      </c>
      <c r="D47" s="44" t="s">
        <v>20</v>
      </c>
      <c r="E47" s="44" t="s">
        <v>33</v>
      </c>
      <c r="F47" s="40">
        <v>122</v>
      </c>
      <c r="G47" s="44">
        <v>1</v>
      </c>
      <c r="H47" s="44">
        <f>IFERROR('Automated raw'!$F47+'Automated raw'!$G47,"-")</f>
        <v>123</v>
      </c>
      <c r="I47" s="44">
        <v>222</v>
      </c>
      <c r="J47" s="44">
        <v>43</v>
      </c>
      <c r="K47" s="44">
        <v>9</v>
      </c>
      <c r="L47" s="44">
        <v>874</v>
      </c>
      <c r="M47" s="44">
        <v>2248</v>
      </c>
      <c r="N47" s="44">
        <f>'Automated raw'!$G47/'Automated raw'!$H47</f>
        <v>8.130081300813009E-3</v>
      </c>
      <c r="O47" s="46">
        <f>IFERROR('Automated raw'!$G47/'Automated raw'!$H47,"incomplete")</f>
        <v>8.130081300813009E-3</v>
      </c>
      <c r="P47" s="44">
        <f>'Automated raw'!$F47</f>
        <v>122</v>
      </c>
      <c r="Q47" s="47">
        <f>IFERROR('Automated raw'!$P47*'Automated raw'!$L47,0)</f>
        <v>106628</v>
      </c>
      <c r="R47" s="44" t="str">
        <f>IF('Automated raw'!$O47&gt;=60%,"High",IF('Automated raw'!$O47&gt;=30%,"Avg",IF('Automated raw'!$O47&lt;30%,"Dead Stock","Incomplete")))</f>
        <v>Dead Stock</v>
      </c>
      <c r="S47" s="48" t="str">
        <f>TEXT('Automated raw'!$B47,"mmm")</f>
        <v>May</v>
      </c>
      <c r="T47" s="83">
        <f>'Automated raw'!$G47*'Automated raw'!$M47</f>
        <v>2248</v>
      </c>
      <c r="U47" s="6">
        <f>IFERROR((Table7[[#This Row],[Stock In(Total)]]+Table7[[#This Row],[In Stock or Remaining]])/2,"-")</f>
        <v>122.5</v>
      </c>
      <c r="V47" s="93">
        <f>IFERROR(Table7[[#This Row],[Stock_Out]]/Table7[[#This Row],[Avg Inventory]],"-")</f>
        <v>8.1632653061224497E-3</v>
      </c>
      <c r="W47" s="6"/>
      <c r="X47" s="6"/>
      <c r="Y47" s="6"/>
      <c r="Z47" s="6"/>
      <c r="AA47" s="6"/>
      <c r="AB47" s="6"/>
      <c r="AC47" s="6"/>
      <c r="AD47" s="6"/>
      <c r="AE47" s="6"/>
      <c r="AF47" s="6"/>
      <c r="AG47" s="6"/>
      <c r="AH47" s="6"/>
      <c r="AI47" s="6"/>
      <c r="AJ47" s="6"/>
      <c r="AK47" s="6"/>
      <c r="AO47" s="11" t="s">
        <v>545</v>
      </c>
      <c r="AP47" s="37" t="s">
        <v>548</v>
      </c>
    </row>
    <row r="48" spans="1:48" x14ac:dyDescent="0.3">
      <c r="A48" s="38" t="s">
        <v>75</v>
      </c>
      <c r="B48" s="39">
        <v>45642</v>
      </c>
      <c r="C48" s="38" t="s">
        <v>12</v>
      </c>
      <c r="D48" s="38" t="s">
        <v>20</v>
      </c>
      <c r="E48" s="38" t="s">
        <v>23</v>
      </c>
      <c r="F48" s="40">
        <v>10</v>
      </c>
      <c r="G48" s="38">
        <v>94</v>
      </c>
      <c r="H48" s="38">
        <f>IFERROR('Automated raw'!$F48+'Automated raw'!$G48,"-")</f>
        <v>104</v>
      </c>
      <c r="I48" s="38">
        <v>204</v>
      </c>
      <c r="J48" s="38">
        <v>32</v>
      </c>
      <c r="K48" s="38">
        <v>4</v>
      </c>
      <c r="L48" s="38">
        <v>1556</v>
      </c>
      <c r="M48" s="38">
        <v>1856</v>
      </c>
      <c r="N48" s="38">
        <f>'Automated raw'!$G48/'Automated raw'!$H48</f>
        <v>0.90384615384615385</v>
      </c>
      <c r="O48" s="41">
        <f>IFERROR('Automated raw'!$G48/'Automated raw'!$H48,"incomplete")</f>
        <v>0.90384615384615385</v>
      </c>
      <c r="P48" s="38">
        <f>'Automated raw'!$F48</f>
        <v>10</v>
      </c>
      <c r="Q48" s="42">
        <f>IFERROR('Automated raw'!$P48*'Automated raw'!$L48,0)</f>
        <v>15560</v>
      </c>
      <c r="R48" s="38" t="str">
        <f>IF('Automated raw'!$O48&gt;=60%,"High",IF('Automated raw'!$O48&gt;=30%,"Avg",IF('Automated raw'!$O48&lt;30%,"Dead Stock","Incomplete")))</f>
        <v>High</v>
      </c>
      <c r="S48" s="43" t="str">
        <f>TEXT('Automated raw'!$B48,"mmm")</f>
        <v>Dec</v>
      </c>
      <c r="T48" s="82">
        <f>'Automated raw'!$G48*'Automated raw'!$M48</f>
        <v>174464</v>
      </c>
      <c r="U48" s="6">
        <f>IFERROR((Table7[[#This Row],[Stock In(Total)]]+Table7[[#This Row],[In Stock or Remaining]])/2,"-")</f>
        <v>57</v>
      </c>
      <c r="V48" s="93">
        <f>IFERROR(Table7[[#This Row],[Stock_Out]]/Table7[[#This Row],[Avg Inventory]],"-")</f>
        <v>1.6491228070175439</v>
      </c>
      <c r="W48" s="6"/>
      <c r="X48" s="6"/>
      <c r="Y48" s="6"/>
      <c r="Z48" s="6"/>
      <c r="AA48" s="6"/>
      <c r="AB48" s="6"/>
      <c r="AC48" s="6"/>
      <c r="AD48" s="6"/>
      <c r="AE48" s="6"/>
      <c r="AF48" s="6"/>
      <c r="AG48" s="6"/>
      <c r="AH48" s="6"/>
      <c r="AI48" s="6"/>
      <c r="AJ48" s="6"/>
      <c r="AK48" s="6"/>
      <c r="AO48" s="12" t="s">
        <v>30</v>
      </c>
      <c r="AP48" s="136">
        <v>453</v>
      </c>
    </row>
    <row r="49" spans="1:42" x14ac:dyDescent="0.3">
      <c r="A49" s="38" t="s">
        <v>91</v>
      </c>
      <c r="B49" s="39">
        <v>45498</v>
      </c>
      <c r="C49" s="38" t="s">
        <v>26</v>
      </c>
      <c r="D49" s="38" t="s">
        <v>13</v>
      </c>
      <c r="E49" s="38" t="s">
        <v>14</v>
      </c>
      <c r="F49" s="40">
        <v>137</v>
      </c>
      <c r="G49" s="38">
        <v>64</v>
      </c>
      <c r="H49" s="38">
        <f>IFERROR('Automated raw'!$F64+'Automated raw'!$G64,"-")</f>
        <v>211</v>
      </c>
      <c r="I49" s="38">
        <v>148</v>
      </c>
      <c r="J49" s="38">
        <v>66</v>
      </c>
      <c r="K49" s="38">
        <v>14</v>
      </c>
      <c r="L49" s="38">
        <v>321</v>
      </c>
      <c r="M49" s="38">
        <v>650</v>
      </c>
      <c r="N49" s="38">
        <f>'Automated raw'!$G64/'Automated raw'!$H64</f>
        <v>0.625</v>
      </c>
      <c r="O49" s="41">
        <f>IFERROR('Automated raw'!$G64/'Automated raw'!$H64,"incomplete")</f>
        <v>0.625</v>
      </c>
      <c r="P49" s="38">
        <f>'Automated raw'!$F64</f>
        <v>141</v>
      </c>
      <c r="Q49" s="42">
        <f>IFERROR('Automated raw'!$P64*'Automated raw'!$L64,0)</f>
        <v>76704</v>
      </c>
      <c r="R49" s="38" t="str">
        <f>IF('Automated raw'!$O64&gt;=60%,"High",IF('Automated raw'!$O64&gt;=30%,"Avg",IF('Automated raw'!$O64&lt;30%,"Dead Stock","Incomplete")))</f>
        <v>High</v>
      </c>
      <c r="S49" s="43" t="str">
        <f>TEXT('Automated raw'!$B64,"mmm")</f>
        <v>Jan</v>
      </c>
      <c r="T49" s="82">
        <f>'Automated raw'!$G64*'Automated raw'!$M64</f>
        <v>197050</v>
      </c>
      <c r="U49" s="6">
        <f>IFERROR((Table7[[#This Row],[Stock In(Total)]]+Table7[[#This Row],[In Stock or Remaining]])/2,"-")</f>
        <v>174</v>
      </c>
      <c r="V49" s="93">
        <f>IFERROR(Table7[[#This Row],[Stock_Out]]/Table7[[#This Row],[Avg Inventory]],"-")</f>
        <v>0.36781609195402298</v>
      </c>
      <c r="W49" s="6"/>
      <c r="X49" s="6"/>
      <c r="Y49" s="6"/>
      <c r="Z49" s="6"/>
      <c r="AA49" s="6"/>
      <c r="AB49" s="6"/>
      <c r="AC49" s="6"/>
      <c r="AD49" s="6"/>
      <c r="AE49" s="6"/>
      <c r="AF49" s="6"/>
      <c r="AG49" s="6"/>
      <c r="AH49" s="6"/>
      <c r="AI49" s="6"/>
      <c r="AJ49" s="6"/>
      <c r="AK49" s="6"/>
      <c r="AO49" s="12" t="s">
        <v>16</v>
      </c>
      <c r="AP49" s="136">
        <v>433</v>
      </c>
    </row>
    <row r="50" spans="1:42" x14ac:dyDescent="0.3">
      <c r="A50" s="38" t="s">
        <v>77</v>
      </c>
      <c r="B50" s="39">
        <v>45377</v>
      </c>
      <c r="C50" s="38" t="s">
        <v>37</v>
      </c>
      <c r="D50" s="38" t="s">
        <v>17</v>
      </c>
      <c r="E50" s="38" t="s">
        <v>38</v>
      </c>
      <c r="F50" s="40">
        <v>87</v>
      </c>
      <c r="G50" s="38">
        <v>17</v>
      </c>
      <c r="H50" s="38">
        <f>IFERROR('Automated raw'!$F50+'Automated raw'!$G50,"-")</f>
        <v>104</v>
      </c>
      <c r="I50" s="38">
        <v>202</v>
      </c>
      <c r="J50" s="38">
        <v>64</v>
      </c>
      <c r="K50" s="38">
        <v>11</v>
      </c>
      <c r="L50" s="38">
        <v>259</v>
      </c>
      <c r="M50" s="38">
        <v>1597</v>
      </c>
      <c r="N50" s="38">
        <f>'Automated raw'!$G50/'Automated raw'!$H50</f>
        <v>0.16346153846153846</v>
      </c>
      <c r="O50" s="41">
        <f>IFERROR('Automated raw'!$G50/'Automated raw'!$H50,"incomplete")</f>
        <v>0.16346153846153846</v>
      </c>
      <c r="P50" s="38">
        <f>'Automated raw'!$F50</f>
        <v>87</v>
      </c>
      <c r="Q50" s="42">
        <f>IFERROR('Automated raw'!$P50*'Automated raw'!$L50,0)</f>
        <v>22533</v>
      </c>
      <c r="R50" s="38" t="str">
        <f>IF('Automated raw'!$O50&gt;=60%,"High",IF('Automated raw'!$O50&gt;=30%,"Avg",IF('Automated raw'!$O50&lt;30%,"Dead Stock","Incomplete")))</f>
        <v>Dead Stock</v>
      </c>
      <c r="S50" s="43" t="str">
        <f>TEXT('Automated raw'!$B50,"mmm")</f>
        <v>Mar</v>
      </c>
      <c r="T50" s="82">
        <f>'Automated raw'!$G50*'Automated raw'!$M50</f>
        <v>27149</v>
      </c>
      <c r="U50" s="6">
        <f>IFERROR((Table7[[#This Row],[Stock In(Total)]]+Table7[[#This Row],[In Stock or Remaining]])/2,"-")</f>
        <v>95.5</v>
      </c>
      <c r="V50" s="93">
        <f>IFERROR(Table7[[#This Row],[Stock_Out]]/Table7[[#This Row],[Avg Inventory]],"-")</f>
        <v>0.17801047120418848</v>
      </c>
      <c r="W50" s="6"/>
      <c r="X50" s="6"/>
      <c r="Y50" s="6"/>
      <c r="Z50" s="6"/>
      <c r="AA50" s="6"/>
      <c r="AB50" s="6"/>
      <c r="AC50" s="6"/>
      <c r="AD50" s="6"/>
      <c r="AE50" s="6"/>
      <c r="AF50" s="6"/>
      <c r="AG50" s="6"/>
      <c r="AH50" s="6"/>
      <c r="AI50" s="6"/>
      <c r="AJ50" s="6"/>
      <c r="AK50" s="6"/>
      <c r="AO50" s="12" t="s">
        <v>35</v>
      </c>
      <c r="AP50" s="136">
        <v>247</v>
      </c>
    </row>
    <row r="51" spans="1:42" x14ac:dyDescent="0.3">
      <c r="A51" s="44" t="s">
        <v>78</v>
      </c>
      <c r="B51" s="45">
        <v>45408</v>
      </c>
      <c r="C51" s="44" t="s">
        <v>12</v>
      </c>
      <c r="D51" s="44" t="s">
        <v>13</v>
      </c>
      <c r="E51" s="44" t="s">
        <v>23</v>
      </c>
      <c r="F51" s="40">
        <v>146</v>
      </c>
      <c r="G51" s="44">
        <v>14</v>
      </c>
      <c r="H51" s="44">
        <f>IFERROR('Automated raw'!$F51+'Automated raw'!$G51,"-")</f>
        <v>160</v>
      </c>
      <c r="I51" s="44">
        <v>283</v>
      </c>
      <c r="J51" s="44">
        <v>47</v>
      </c>
      <c r="K51" s="44">
        <v>4</v>
      </c>
      <c r="L51" s="44">
        <v>1062</v>
      </c>
      <c r="M51" s="44">
        <v>1254</v>
      </c>
      <c r="N51" s="44">
        <f>'Automated raw'!$G51/'Automated raw'!$H51</f>
        <v>8.7499999999999994E-2</v>
      </c>
      <c r="O51" s="46">
        <f>IFERROR('Automated raw'!$G51/'Automated raw'!$H51,"incomplete")</f>
        <v>8.7499999999999994E-2</v>
      </c>
      <c r="P51" s="44">
        <f>'Automated raw'!$F51</f>
        <v>146</v>
      </c>
      <c r="Q51" s="47">
        <f>IFERROR('Automated raw'!$P51*'Automated raw'!$L51,0)</f>
        <v>155052</v>
      </c>
      <c r="R51" s="44" t="str">
        <f>IF('Automated raw'!$O51&gt;=60%,"High",IF('Automated raw'!$O51&gt;=30%,"Avg",IF('Automated raw'!$O51&lt;30%,"Dead Stock","Incomplete")))</f>
        <v>Dead Stock</v>
      </c>
      <c r="S51" s="48" t="str">
        <f>TEXT('Automated raw'!$B51,"mmm")</f>
        <v>Apr</v>
      </c>
      <c r="T51" s="83">
        <f>'Automated raw'!$G51*'Automated raw'!$M51</f>
        <v>17556</v>
      </c>
      <c r="U51" s="6">
        <f>IFERROR((Table7[[#This Row],[Stock In(Total)]]+Table7[[#This Row],[In Stock or Remaining]])/2,"-")</f>
        <v>153</v>
      </c>
      <c r="V51" s="93">
        <f>IFERROR(Table7[[#This Row],[Stock_Out]]/Table7[[#This Row],[Avg Inventory]],"-")</f>
        <v>9.1503267973856203E-2</v>
      </c>
      <c r="W51" s="6"/>
      <c r="X51" s="6"/>
      <c r="Y51" s="6"/>
      <c r="Z51" s="6"/>
      <c r="AA51" s="6"/>
      <c r="AB51" s="6"/>
      <c r="AC51" s="6"/>
      <c r="AD51" s="6"/>
      <c r="AE51" s="6"/>
      <c r="AF51" s="6"/>
      <c r="AG51" s="6"/>
      <c r="AH51" s="6"/>
      <c r="AI51" s="6"/>
      <c r="AJ51" s="6"/>
      <c r="AK51" s="6"/>
      <c r="AO51" s="12" t="s">
        <v>12</v>
      </c>
      <c r="AP51" s="136">
        <v>276</v>
      </c>
    </row>
    <row r="52" spans="1:42" x14ac:dyDescent="0.3">
      <c r="A52" s="38" t="s">
        <v>67</v>
      </c>
      <c r="B52" s="39">
        <v>45552</v>
      </c>
      <c r="C52" s="38" t="s">
        <v>16</v>
      </c>
      <c r="D52" s="38" t="s">
        <v>20</v>
      </c>
      <c r="E52" s="38" t="s">
        <v>21</v>
      </c>
      <c r="F52" s="40">
        <v>111</v>
      </c>
      <c r="G52" s="38">
        <v>52</v>
      </c>
      <c r="H52" s="38">
        <f>IFERROR('Automated raw'!$F40+'Automated raw'!$G40,"-")</f>
        <v>217</v>
      </c>
      <c r="I52" s="38">
        <v>139</v>
      </c>
      <c r="J52" s="38">
        <v>60</v>
      </c>
      <c r="K52" s="38">
        <v>3</v>
      </c>
      <c r="L52" s="38">
        <v>747</v>
      </c>
      <c r="M52" s="38">
        <v>1121</v>
      </c>
      <c r="N52" s="38">
        <f>'Automated raw'!$G40/'Automated raw'!$H40</f>
        <v>0.26136363636363635</v>
      </c>
      <c r="O52" s="41">
        <f>IFERROR('Automated raw'!$G40/'Automated raw'!$H40,"incomplete")</f>
        <v>0.26136363636363635</v>
      </c>
      <c r="P52" s="38">
        <f>'Automated raw'!$F40</f>
        <v>148</v>
      </c>
      <c r="Q52" s="42">
        <f>IFERROR('Automated raw'!$P40*'Automated raw'!$L40,0)</f>
        <v>268685</v>
      </c>
      <c r="R52" s="38" t="str">
        <f>IF('Automated raw'!$O40&gt;=60%,"High",IF('Automated raw'!$O40&gt;=30%,"Avg",IF('Automated raw'!$O40&lt;30%,"Dead Stock","Incomplete")))</f>
        <v>High</v>
      </c>
      <c r="S52" s="43" t="str">
        <f>TEXT('Automated raw'!$B40,"mmm")</f>
        <v>Aug</v>
      </c>
      <c r="T52" s="82">
        <f>'Automated raw'!$G40*'Automated raw'!$M40</f>
        <v>220317</v>
      </c>
      <c r="U52" s="6">
        <f>IFERROR((Table7[[#This Row],[Stock In(Total)]]+Table7[[#This Row],[In Stock or Remaining]])/2,"-")</f>
        <v>164</v>
      </c>
      <c r="V52" s="93">
        <f>IFERROR(Table7[[#This Row],[Stock_Out]]/Table7[[#This Row],[Avg Inventory]],"-")</f>
        <v>0.31707317073170732</v>
      </c>
      <c r="W52" s="6"/>
      <c r="X52" s="6"/>
      <c r="Y52" s="6"/>
      <c r="Z52" s="6"/>
      <c r="AA52" s="6"/>
      <c r="AB52" s="6"/>
      <c r="AC52" s="6"/>
      <c r="AD52" s="6"/>
      <c r="AE52" s="6"/>
      <c r="AF52" s="6"/>
      <c r="AG52" s="6"/>
      <c r="AH52" s="6"/>
      <c r="AI52" s="6"/>
      <c r="AJ52" s="6"/>
      <c r="AK52" s="6"/>
      <c r="AO52" s="12" t="s">
        <v>37</v>
      </c>
      <c r="AP52" s="136">
        <v>599</v>
      </c>
    </row>
    <row r="53" spans="1:42" x14ac:dyDescent="0.3">
      <c r="A53" s="38" t="s">
        <v>299</v>
      </c>
      <c r="B53" s="39">
        <v>45494</v>
      </c>
      <c r="C53" s="38" t="s">
        <v>26</v>
      </c>
      <c r="D53" s="38" t="s">
        <v>13</v>
      </c>
      <c r="E53" s="38" t="s">
        <v>14</v>
      </c>
      <c r="F53" s="40">
        <v>106</v>
      </c>
      <c r="G53" s="38">
        <v>50</v>
      </c>
      <c r="H53" s="38">
        <f>IFERROR('Automated raw'!$F268+'Automated raw'!$G268,"-")</f>
        <v>95</v>
      </c>
      <c r="I53" s="38">
        <v>111</v>
      </c>
      <c r="J53" s="38">
        <v>43</v>
      </c>
      <c r="K53" s="38">
        <v>2</v>
      </c>
      <c r="L53" s="38">
        <v>1368</v>
      </c>
      <c r="M53" s="38">
        <v>1744</v>
      </c>
      <c r="N53" s="38">
        <f>'Automated raw'!$G268/'Automated raw'!$H268</f>
        <v>0.8571428571428571</v>
      </c>
      <c r="O53" s="41">
        <f>IFERROR('Automated raw'!$G268/'Automated raw'!$H268,"incomplete")</f>
        <v>0.8571428571428571</v>
      </c>
      <c r="P53" s="38">
        <f>'Automated raw'!$F268</f>
        <v>53</v>
      </c>
      <c r="Q53" s="42">
        <f>IFERROR('Automated raw'!$P268*'Automated raw'!$L268,0)</f>
        <v>12246</v>
      </c>
      <c r="R53" s="38" t="str">
        <f>IF('Automated raw'!$O268&gt;=60%,"High",IF('Automated raw'!$O268&gt;=30%,"Avg",IF('Automated raw'!$O268&lt;30%,"Dead Stock","Incomplete")))</f>
        <v>Dead Stock</v>
      </c>
      <c r="S53" s="43" t="str">
        <f>TEXT('Automated raw'!$B268,"mmm")</f>
        <v>Jul</v>
      </c>
      <c r="T53" s="82">
        <f>'Automated raw'!$G268*'Automated raw'!$M268</f>
        <v>65142</v>
      </c>
      <c r="U53" s="6">
        <f>IFERROR((Table7[[#This Row],[Stock In(Total)]]+Table7[[#This Row],[In Stock or Remaining]])/2,"-")</f>
        <v>100.5</v>
      </c>
      <c r="V53" s="93">
        <f>IFERROR(Table7[[#This Row],[Stock_Out]]/Table7[[#This Row],[Avg Inventory]],"-")</f>
        <v>0.49751243781094528</v>
      </c>
      <c r="W53" s="6"/>
      <c r="X53" s="6"/>
      <c r="Y53" s="6"/>
      <c r="Z53" s="6"/>
      <c r="AA53" s="6"/>
      <c r="AB53" s="6"/>
      <c r="AC53" s="6"/>
      <c r="AD53" s="6"/>
      <c r="AE53" s="6"/>
      <c r="AF53" s="6"/>
      <c r="AG53" s="6"/>
      <c r="AH53" s="6"/>
      <c r="AI53" s="6"/>
      <c r="AJ53" s="6"/>
      <c r="AK53" s="6"/>
      <c r="AO53" s="12" t="s">
        <v>45</v>
      </c>
      <c r="AP53" s="136">
        <v>401</v>
      </c>
    </row>
    <row r="54" spans="1:42" x14ac:dyDescent="0.3">
      <c r="A54" s="44" t="s">
        <v>215</v>
      </c>
      <c r="B54" s="45">
        <v>45550</v>
      </c>
      <c r="C54" s="44" t="s">
        <v>30</v>
      </c>
      <c r="D54" s="44" t="s">
        <v>17</v>
      </c>
      <c r="E54" s="44" t="s">
        <v>14</v>
      </c>
      <c r="F54" s="40">
        <v>82</v>
      </c>
      <c r="G54" s="44">
        <v>39</v>
      </c>
      <c r="H54" s="44">
        <f>IFERROR('Automated raw'!$F185+'Automated raw'!$G185,"-")</f>
        <v>206</v>
      </c>
      <c r="I54" s="44">
        <v>286</v>
      </c>
      <c r="J54" s="44">
        <v>78</v>
      </c>
      <c r="K54" s="44">
        <v>12</v>
      </c>
      <c r="L54" s="44">
        <v>989</v>
      </c>
      <c r="M54" s="44">
        <v>2061</v>
      </c>
      <c r="N54" s="44">
        <f>'Automated raw'!$G185/'Automated raw'!$H185</f>
        <v>0.41116751269035534</v>
      </c>
      <c r="O54" s="46">
        <f>IFERROR('Automated raw'!$G185/'Automated raw'!$H185,"incomplete")</f>
        <v>0.41116751269035534</v>
      </c>
      <c r="P54" s="44">
        <f>'Automated raw'!$F185</f>
        <v>125</v>
      </c>
      <c r="Q54" s="47">
        <f>IFERROR('Automated raw'!$P185*'Automated raw'!$L185,0)</f>
        <v>187108</v>
      </c>
      <c r="R54" s="44" t="str">
        <f>IF('Automated raw'!$O185&gt;=60%,"High",IF('Automated raw'!$O185&gt;=30%,"Avg",IF('Automated raw'!$O185&lt;30%,"Dead Stock","Incomplete")))</f>
        <v>Avg</v>
      </c>
      <c r="S54" s="48" t="str">
        <f>TEXT('Automated raw'!$B185,"mmm")</f>
        <v>Feb</v>
      </c>
      <c r="T54" s="83">
        <f>'Automated raw'!$G185*'Automated raw'!$M185</f>
        <v>190998</v>
      </c>
      <c r="U54" s="6">
        <f>IFERROR((Table7[[#This Row],[Stock In(Total)]]+Table7[[#This Row],[In Stock or Remaining]])/2,"-")</f>
        <v>144</v>
      </c>
      <c r="V54" s="93">
        <f>IFERROR(Table7[[#This Row],[Stock_Out]]/Table7[[#This Row],[Avg Inventory]],"-")</f>
        <v>0.27083333333333331</v>
      </c>
      <c r="W54" s="6"/>
      <c r="X54" s="6"/>
      <c r="Y54" s="6"/>
      <c r="Z54" s="6"/>
      <c r="AA54" s="6"/>
      <c r="AB54" s="6"/>
      <c r="AC54" s="6"/>
      <c r="AD54" s="6"/>
      <c r="AE54" s="6"/>
      <c r="AF54" s="6"/>
      <c r="AG54" s="6"/>
      <c r="AH54" s="6"/>
      <c r="AI54" s="6"/>
      <c r="AJ54" s="6"/>
      <c r="AK54" s="6"/>
      <c r="AO54" s="12" t="s">
        <v>19</v>
      </c>
      <c r="AP54" s="136">
        <v>385</v>
      </c>
    </row>
    <row r="55" spans="1:42" x14ac:dyDescent="0.3">
      <c r="A55" s="44" t="s">
        <v>82</v>
      </c>
      <c r="B55" s="45">
        <v>45352</v>
      </c>
      <c r="C55" s="44" t="s">
        <v>19</v>
      </c>
      <c r="D55" s="44" t="s">
        <v>20</v>
      </c>
      <c r="E55" s="44" t="s">
        <v>33</v>
      </c>
      <c r="F55" s="40">
        <v>10</v>
      </c>
      <c r="G55" s="44">
        <v>97</v>
      </c>
      <c r="H55" s="44">
        <f>IFERROR('Automated raw'!$F55+'Automated raw'!$G55,"-")</f>
        <v>107</v>
      </c>
      <c r="I55" s="44">
        <v>291</v>
      </c>
      <c r="J55" s="44">
        <v>35</v>
      </c>
      <c r="K55" s="44">
        <v>13</v>
      </c>
      <c r="L55" s="44">
        <v>1396</v>
      </c>
      <c r="M55" s="44">
        <v>1756</v>
      </c>
      <c r="N55" s="44">
        <f>'Automated raw'!$G55/'Automated raw'!$H55</f>
        <v>0.90654205607476634</v>
      </c>
      <c r="O55" s="46">
        <f>IFERROR('Automated raw'!$G55/'Automated raw'!$H55,"incomplete")</f>
        <v>0.90654205607476634</v>
      </c>
      <c r="P55" s="44">
        <f>'Automated raw'!$F55</f>
        <v>10</v>
      </c>
      <c r="Q55" s="47">
        <f>IFERROR('Automated raw'!$P55*'Automated raw'!$L55,0)</f>
        <v>13960</v>
      </c>
      <c r="R55" s="44" t="str">
        <f>IF('Automated raw'!$O55&gt;=60%,"High",IF('Automated raw'!$O55&gt;=30%,"Avg",IF('Automated raw'!$O55&lt;30%,"Dead Stock","Incomplete")))</f>
        <v>High</v>
      </c>
      <c r="S55" s="48" t="str">
        <f>TEXT('Automated raw'!$B55,"mmm")</f>
        <v>Mar</v>
      </c>
      <c r="T55" s="83">
        <f>'Automated raw'!$G55*'Automated raw'!$M55</f>
        <v>170332</v>
      </c>
      <c r="U55" s="6">
        <f>IFERROR((Table7[[#This Row],[Stock In(Total)]]+Table7[[#This Row],[In Stock or Remaining]])/2,"-")</f>
        <v>58.5</v>
      </c>
      <c r="V55" s="93">
        <f>IFERROR(Table7[[#This Row],[Stock_Out]]/Table7[[#This Row],[Avg Inventory]],"-")</f>
        <v>1.6581196581196582</v>
      </c>
      <c r="W55" s="6"/>
      <c r="X55" s="6"/>
      <c r="Y55" s="6"/>
      <c r="Z55" s="6"/>
      <c r="AA55" s="6"/>
      <c r="AB55" s="6"/>
      <c r="AC55" s="6"/>
      <c r="AD55" s="6"/>
      <c r="AE55" s="6"/>
      <c r="AF55" s="6"/>
      <c r="AG55" s="6"/>
      <c r="AH55" s="6"/>
      <c r="AI55" s="6"/>
      <c r="AJ55" s="6"/>
      <c r="AK55" s="6"/>
      <c r="AO55" s="12" t="s">
        <v>26</v>
      </c>
      <c r="AP55" s="136">
        <v>458</v>
      </c>
    </row>
    <row r="56" spans="1:42" x14ac:dyDescent="0.3">
      <c r="A56" s="44" t="s">
        <v>221</v>
      </c>
      <c r="B56" s="45">
        <v>45656</v>
      </c>
      <c r="C56" s="44" t="s">
        <v>26</v>
      </c>
      <c r="D56" s="44" t="s">
        <v>20</v>
      </c>
      <c r="E56" s="44" t="s">
        <v>38</v>
      </c>
      <c r="F56" s="40">
        <v>92</v>
      </c>
      <c r="G56" s="44">
        <v>44</v>
      </c>
      <c r="H56" s="44">
        <f>IFERROR('Automated raw'!$F191+'Automated raw'!$G191,"-")</f>
        <v>104</v>
      </c>
      <c r="I56" s="44">
        <v>27</v>
      </c>
      <c r="J56" s="44">
        <v>33</v>
      </c>
      <c r="K56" s="44">
        <v>5</v>
      </c>
      <c r="L56" s="44">
        <v>1889</v>
      </c>
      <c r="M56" s="44">
        <v>2354</v>
      </c>
      <c r="N56" s="44">
        <f>'Automated raw'!$G191/'Automated raw'!$H191</f>
        <v>0.18303571428571427</v>
      </c>
      <c r="O56" s="46">
        <f>IFERROR('Automated raw'!$G191/'Automated raw'!$H191,"incomplete")</f>
        <v>0.18303571428571427</v>
      </c>
      <c r="P56" s="44">
        <f>'Automated raw'!$F191</f>
        <v>63</v>
      </c>
      <c r="Q56" s="47">
        <f>IFERROR('Automated raw'!$P191*'Automated raw'!$L191,0)</f>
        <v>66150</v>
      </c>
      <c r="R56" s="44" t="str">
        <f>IF('Automated raw'!$O191&gt;=60%,"High",IF('Automated raw'!$O191&gt;=30%,"Avg",IF('Automated raw'!$O191&lt;30%,"Dead Stock","Incomplete")))</f>
        <v>Avg</v>
      </c>
      <c r="S56" s="48" t="str">
        <f>TEXT('Automated raw'!$B191,"mmm")</f>
        <v>Oct</v>
      </c>
      <c r="T56" s="83">
        <f>'Automated raw'!$G191*'Automated raw'!$M191</f>
        <v>23452</v>
      </c>
      <c r="U56" s="6">
        <f>IFERROR((Table7[[#This Row],[Stock In(Total)]]+Table7[[#This Row],[In Stock or Remaining]])/2,"-")</f>
        <v>98</v>
      </c>
      <c r="V56" s="93">
        <f>IFERROR(Table7[[#This Row],[Stock_Out]]/Table7[[#This Row],[Avg Inventory]],"-")</f>
        <v>0.44897959183673469</v>
      </c>
      <c r="W56" s="6"/>
      <c r="X56" s="6"/>
      <c r="Y56" s="6"/>
      <c r="Z56" s="6"/>
      <c r="AA56" s="6"/>
      <c r="AB56" s="6"/>
      <c r="AC56" s="6"/>
      <c r="AD56" s="6"/>
      <c r="AE56" s="6"/>
      <c r="AF56" s="6"/>
      <c r="AG56" s="6"/>
      <c r="AH56" s="6"/>
      <c r="AI56" s="6"/>
      <c r="AJ56" s="6"/>
      <c r="AK56" s="6"/>
      <c r="AO56" s="12" t="s">
        <v>546</v>
      </c>
      <c r="AP56" s="136">
        <v>3252</v>
      </c>
    </row>
    <row r="57" spans="1:42" x14ac:dyDescent="0.3">
      <c r="A57" s="38" t="s">
        <v>391</v>
      </c>
      <c r="B57" s="39">
        <v>45485</v>
      </c>
      <c r="C57" s="38" t="s">
        <v>146</v>
      </c>
      <c r="D57" s="38" t="s">
        <v>13</v>
      </c>
      <c r="E57" s="38" t="s">
        <v>21</v>
      </c>
      <c r="F57" s="40">
        <v>121</v>
      </c>
      <c r="G57" s="38">
        <v>58</v>
      </c>
      <c r="H57" s="38">
        <f>IFERROR('Automated raw'!$F358+'Automated raw'!$G358,"-")</f>
        <v>216</v>
      </c>
      <c r="I57" s="38">
        <v>169</v>
      </c>
      <c r="J57" s="38">
        <v>67</v>
      </c>
      <c r="K57" s="38">
        <v>9</v>
      </c>
      <c r="L57" s="38">
        <v>1648</v>
      </c>
      <c r="M57" s="38">
        <v>3109</v>
      </c>
      <c r="N57" s="38">
        <f>'Automated raw'!$G358/'Automated raw'!$H358</f>
        <v>0.79389312977099236</v>
      </c>
      <c r="O57" s="41">
        <f>IFERROR('Automated raw'!$G358/'Automated raw'!$H358,"incomplete")</f>
        <v>0.79389312977099236</v>
      </c>
      <c r="P57" s="38">
        <f>'Automated raw'!$F358</f>
        <v>112</v>
      </c>
      <c r="Q57" s="42">
        <f>IFERROR('Automated raw'!$P358*'Automated raw'!$L358,0)</f>
        <v>87780</v>
      </c>
      <c r="R57" s="38" t="str">
        <f>IF('Automated raw'!$O358&gt;=60%,"High",IF('Automated raw'!$O358&gt;=30%,"Avg",IF('Automated raw'!$O358&lt;30%,"Dead Stock","Incomplete")))</f>
        <v>High</v>
      </c>
      <c r="S57" s="43" t="str">
        <f>TEXT('Automated raw'!$B358,"mmm")</f>
        <v>Oct</v>
      </c>
      <c r="T57" s="82">
        <f>'Automated raw'!$G358*'Automated raw'!$M358</f>
        <v>253760</v>
      </c>
      <c r="U57" s="6">
        <f>IFERROR((Table7[[#This Row],[Stock In(Total)]]+Table7[[#This Row],[In Stock or Remaining]])/2,"-")</f>
        <v>168.5</v>
      </c>
      <c r="V57" s="93">
        <f>IFERROR(Table7[[#This Row],[Stock_Out]]/Table7[[#This Row],[Avg Inventory]],"-")</f>
        <v>0.34421364985163205</v>
      </c>
      <c r="W57" s="6"/>
      <c r="X57" s="6"/>
      <c r="Y57" s="6"/>
      <c r="Z57" s="6"/>
      <c r="AA57" s="6"/>
      <c r="AB57" s="6"/>
      <c r="AC57" s="6"/>
      <c r="AD57" s="6"/>
      <c r="AE57" s="6"/>
      <c r="AF57" s="6"/>
      <c r="AG57" s="6"/>
      <c r="AH57" s="6"/>
      <c r="AI57" s="6"/>
      <c r="AJ57" s="6"/>
      <c r="AK57" s="6"/>
    </row>
    <row r="58" spans="1:42" x14ac:dyDescent="0.3">
      <c r="A58" s="44" t="s">
        <v>64</v>
      </c>
      <c r="B58" s="45">
        <v>45373</v>
      </c>
      <c r="C58" s="44" t="s">
        <v>12</v>
      </c>
      <c r="D58" s="44" t="s">
        <v>13</v>
      </c>
      <c r="E58" s="44" t="s">
        <v>14</v>
      </c>
      <c r="F58" s="40">
        <v>104</v>
      </c>
      <c r="G58" s="44">
        <v>50</v>
      </c>
      <c r="H58" s="44">
        <f>IFERROR('Automated raw'!$F37+'Automated raw'!$G37,"-")</f>
        <v>167</v>
      </c>
      <c r="I58" s="44">
        <v>261</v>
      </c>
      <c r="J58" s="44">
        <v>66</v>
      </c>
      <c r="K58" s="44">
        <v>8</v>
      </c>
      <c r="L58" s="44">
        <v>1272</v>
      </c>
      <c r="M58" s="44">
        <v>2318</v>
      </c>
      <c r="N58" s="44">
        <f>'Automated raw'!$G37/'Automated raw'!$H37</f>
        <v>0.33544303797468356</v>
      </c>
      <c r="O58" s="46">
        <f>IFERROR('Automated raw'!$G37/'Automated raw'!$H37,"incomplete")</f>
        <v>0.33544303797468356</v>
      </c>
      <c r="P58" s="44">
        <f>'Automated raw'!$F37</f>
        <v>114</v>
      </c>
      <c r="Q58" s="47">
        <f>IFERROR('Automated raw'!$P37*'Automated raw'!$L37,0)</f>
        <v>67805</v>
      </c>
      <c r="R58" s="44" t="str">
        <f>IF('Automated raw'!$O37&gt;=60%,"High",IF('Automated raw'!$O37&gt;=30%,"Avg",IF('Automated raw'!$O37&lt;30%,"Dead Stock","Incomplete")))</f>
        <v>High</v>
      </c>
      <c r="S58" s="48" t="str">
        <f>TEXT('Automated raw'!$B37,"mmm")</f>
        <v>Mar</v>
      </c>
      <c r="T58" s="83">
        <f>'Automated raw'!$G37*'Automated raw'!$M37</f>
        <v>60579</v>
      </c>
      <c r="U58" s="6">
        <f>IFERROR((Table7[[#This Row],[Stock In(Total)]]+Table7[[#This Row],[In Stock or Remaining]])/2,"-")</f>
        <v>135.5</v>
      </c>
      <c r="V58" s="93">
        <f>IFERROR(Table7[[#This Row],[Stock_Out]]/Table7[[#This Row],[Avg Inventory]],"-")</f>
        <v>0.36900369003690037</v>
      </c>
      <c r="W58" s="6"/>
      <c r="X58" s="6"/>
      <c r="Y58" s="6"/>
      <c r="Z58" s="6"/>
      <c r="AA58" s="6"/>
      <c r="AB58" s="6"/>
      <c r="AC58" s="6"/>
      <c r="AD58" s="6"/>
      <c r="AE58" s="6"/>
      <c r="AF58" s="6"/>
      <c r="AG58" s="6"/>
      <c r="AH58" s="6"/>
      <c r="AI58" s="6"/>
      <c r="AJ58" s="6"/>
      <c r="AK58" s="6"/>
    </row>
    <row r="59" spans="1:42" x14ac:dyDescent="0.3">
      <c r="A59" s="44" t="s">
        <v>86</v>
      </c>
      <c r="B59" s="45">
        <v>45656</v>
      </c>
      <c r="C59" s="44" t="s">
        <v>30</v>
      </c>
      <c r="D59" s="44" t="s">
        <v>17</v>
      </c>
      <c r="E59" s="44" t="s">
        <v>38</v>
      </c>
      <c r="F59" s="40">
        <v>27</v>
      </c>
      <c r="G59" s="44">
        <v>78</v>
      </c>
      <c r="H59" s="44">
        <f>IFERROR('Automated raw'!$F59+'Automated raw'!$G59,"-")</f>
        <v>105</v>
      </c>
      <c r="I59" s="44">
        <v>207</v>
      </c>
      <c r="J59" s="44">
        <v>52</v>
      </c>
      <c r="K59" s="44">
        <v>11</v>
      </c>
      <c r="L59" s="44">
        <v>696</v>
      </c>
      <c r="M59" s="44">
        <v>2159</v>
      </c>
      <c r="N59" s="44">
        <f>'Automated raw'!$G59/'Automated raw'!$H59</f>
        <v>0.74285714285714288</v>
      </c>
      <c r="O59" s="46">
        <f>IFERROR('Automated raw'!$G59/'Automated raw'!$H59,"incomplete")</f>
        <v>0.74285714285714288</v>
      </c>
      <c r="P59" s="44">
        <f>'Automated raw'!$F59</f>
        <v>27</v>
      </c>
      <c r="Q59" s="47">
        <f>IFERROR('Automated raw'!$P59*'Automated raw'!$L59,0)</f>
        <v>18792</v>
      </c>
      <c r="R59" s="44" t="str">
        <f>IF('Automated raw'!$O59&gt;=60%,"High",IF('Automated raw'!$O59&gt;=30%,"Avg",IF('Automated raw'!$O59&lt;30%,"Dead Stock","Incomplete")))</f>
        <v>High</v>
      </c>
      <c r="S59" s="48" t="str">
        <f>TEXT('Automated raw'!$B59,"mmm")</f>
        <v>Dec</v>
      </c>
      <c r="T59" s="83">
        <f>'Automated raw'!$G59*'Automated raw'!$M59</f>
        <v>168402</v>
      </c>
      <c r="U59" s="6">
        <f>IFERROR((Table7[[#This Row],[Stock In(Total)]]+Table7[[#This Row],[In Stock or Remaining]])/2,"-")</f>
        <v>66</v>
      </c>
      <c r="V59" s="93">
        <f>IFERROR(Table7[[#This Row],[Stock_Out]]/Table7[[#This Row],[Avg Inventory]],"-")</f>
        <v>1.1818181818181819</v>
      </c>
      <c r="W59" s="6"/>
      <c r="X59" s="6"/>
      <c r="Y59" s="6"/>
      <c r="Z59" s="6"/>
      <c r="AA59" s="6"/>
      <c r="AB59" s="6"/>
      <c r="AC59" s="6"/>
      <c r="AD59" s="6"/>
      <c r="AE59" s="6"/>
      <c r="AF59" s="6"/>
      <c r="AG59" s="6"/>
      <c r="AH59" s="6"/>
      <c r="AI59" s="6"/>
      <c r="AJ59" s="6"/>
      <c r="AK59" s="6"/>
    </row>
    <row r="60" spans="1:42" x14ac:dyDescent="0.3">
      <c r="A60" s="38" t="s">
        <v>87</v>
      </c>
      <c r="B60" s="39">
        <v>45313</v>
      </c>
      <c r="C60" s="38" t="s">
        <v>19</v>
      </c>
      <c r="D60" s="38" t="s">
        <v>17</v>
      </c>
      <c r="E60" s="38" t="s">
        <v>33</v>
      </c>
      <c r="F60" s="40">
        <v>84</v>
      </c>
      <c r="G60" s="38">
        <v>1</v>
      </c>
      <c r="H60" s="38">
        <f>IFERROR('Automated raw'!$F60+'Automated raw'!$G60,"-")</f>
        <v>85</v>
      </c>
      <c r="I60" s="38">
        <v>47</v>
      </c>
      <c r="J60" s="38">
        <v>49</v>
      </c>
      <c r="K60" s="38">
        <v>5</v>
      </c>
      <c r="L60" s="38">
        <v>503</v>
      </c>
      <c r="M60" s="38">
        <v>766</v>
      </c>
      <c r="N60" s="38">
        <f>'Automated raw'!$G60/'Automated raw'!$H60</f>
        <v>1.1764705882352941E-2</v>
      </c>
      <c r="O60" s="41">
        <f>IFERROR('Automated raw'!$G60/'Automated raw'!$H60,"incomplete")</f>
        <v>1.1764705882352941E-2</v>
      </c>
      <c r="P60" s="38">
        <f>'Automated raw'!$F60</f>
        <v>84</v>
      </c>
      <c r="Q60" s="42">
        <f>IFERROR('Automated raw'!$P60*'Automated raw'!$L60,0)</f>
        <v>42252</v>
      </c>
      <c r="R60" s="38" t="str">
        <f>IF('Automated raw'!$O60&gt;=60%,"High",IF('Automated raw'!$O60&gt;=30%,"Avg",IF('Automated raw'!$O60&lt;30%,"Dead Stock","Incomplete")))</f>
        <v>Dead Stock</v>
      </c>
      <c r="S60" s="43" t="str">
        <f>TEXT('Automated raw'!$B60,"mmm")</f>
        <v>Jan</v>
      </c>
      <c r="T60" s="82">
        <f>'Automated raw'!$G60*'Automated raw'!$M60</f>
        <v>766</v>
      </c>
      <c r="U60" s="6">
        <f>IFERROR((Table7[[#This Row],[Stock In(Total)]]+Table7[[#This Row],[In Stock or Remaining]])/2,"-")</f>
        <v>84.5</v>
      </c>
      <c r="V60" s="93">
        <f>IFERROR(Table7[[#This Row],[Stock_Out]]/Table7[[#This Row],[Avg Inventory]],"-")</f>
        <v>1.1834319526627219E-2</v>
      </c>
      <c r="W60" s="6"/>
      <c r="X60" s="6"/>
      <c r="Y60" s="6"/>
      <c r="Z60" s="6"/>
      <c r="AA60" s="6"/>
      <c r="AB60" s="6"/>
      <c r="AC60" s="6"/>
      <c r="AD60" s="6"/>
      <c r="AE60" s="6"/>
      <c r="AF60" s="6"/>
      <c r="AG60" s="6"/>
      <c r="AH60" s="6"/>
      <c r="AI60" s="6"/>
      <c r="AJ60" s="6"/>
      <c r="AK60" s="6"/>
    </row>
    <row r="61" spans="1:42" x14ac:dyDescent="0.3">
      <c r="A61" s="44" t="s">
        <v>88</v>
      </c>
      <c r="B61" s="45">
        <v>45421</v>
      </c>
      <c r="C61" s="44" t="s">
        <v>45</v>
      </c>
      <c r="D61" s="44" t="s">
        <v>13</v>
      </c>
      <c r="E61" s="44" t="s">
        <v>33</v>
      </c>
      <c r="F61" s="40">
        <v>6</v>
      </c>
      <c r="G61" s="44">
        <v>108</v>
      </c>
      <c r="H61" s="44">
        <f>IFERROR('Automated raw'!$F61+'Automated raw'!$G61,"-")</f>
        <v>114</v>
      </c>
      <c r="I61" s="44">
        <v>257</v>
      </c>
      <c r="J61" s="44">
        <v>53</v>
      </c>
      <c r="K61" s="44">
        <v>4</v>
      </c>
      <c r="L61" s="44">
        <v>1135</v>
      </c>
      <c r="M61" s="44">
        <v>2555</v>
      </c>
      <c r="N61" s="44">
        <f>'Automated raw'!$G61/'Automated raw'!$H61</f>
        <v>0.94736842105263153</v>
      </c>
      <c r="O61" s="46">
        <f>IFERROR('Automated raw'!$G61/'Automated raw'!$H61,"incomplete")</f>
        <v>0.94736842105263153</v>
      </c>
      <c r="P61" s="44">
        <f>'Automated raw'!$F61</f>
        <v>6</v>
      </c>
      <c r="Q61" s="47">
        <f>IFERROR('Automated raw'!$P61*'Automated raw'!$L61,0)</f>
        <v>6810</v>
      </c>
      <c r="R61" s="44" t="str">
        <f>IF('Automated raw'!$O61&gt;=60%,"High",IF('Automated raw'!$O61&gt;=30%,"Avg",IF('Automated raw'!$O61&lt;30%,"Dead Stock","Incomplete")))</f>
        <v>High</v>
      </c>
      <c r="S61" s="48" t="str">
        <f>TEXT('Automated raw'!$B61,"mmm")</f>
        <v>May</v>
      </c>
      <c r="T61" s="83">
        <f>'Automated raw'!$G61*'Automated raw'!$M61</f>
        <v>275940</v>
      </c>
      <c r="U61" s="6">
        <f>IFERROR((Table7[[#This Row],[Stock In(Total)]]+Table7[[#This Row],[In Stock or Remaining]])/2,"-")</f>
        <v>60</v>
      </c>
      <c r="V61" s="93">
        <f>IFERROR(Table7[[#This Row],[Stock_Out]]/Table7[[#This Row],[Avg Inventory]],"-")</f>
        <v>1.8</v>
      </c>
      <c r="W61" s="6"/>
      <c r="X61" s="6"/>
      <c r="Y61" s="6"/>
      <c r="Z61" s="6"/>
      <c r="AA61" s="6"/>
      <c r="AB61" s="6"/>
      <c r="AC61" s="6"/>
      <c r="AD61" s="6"/>
      <c r="AE61" s="6"/>
      <c r="AF61" s="6"/>
      <c r="AG61" s="6"/>
      <c r="AH61" s="6"/>
      <c r="AI61" s="6"/>
      <c r="AJ61" s="6"/>
      <c r="AK61" s="6"/>
    </row>
    <row r="62" spans="1:42" x14ac:dyDescent="0.3">
      <c r="A62" s="38" t="s">
        <v>487</v>
      </c>
      <c r="B62" s="39">
        <v>45569</v>
      </c>
      <c r="C62" s="38" t="s">
        <v>19</v>
      </c>
      <c r="D62" s="38" t="s">
        <v>13</v>
      </c>
      <c r="E62" s="38" t="s">
        <v>21</v>
      </c>
      <c r="F62" s="40">
        <v>136</v>
      </c>
      <c r="G62" s="38">
        <v>66</v>
      </c>
      <c r="H62" s="38">
        <f>IFERROR('Automated raw'!$F454+'Automated raw'!$G454,"-")</f>
        <v>169</v>
      </c>
      <c r="I62" s="38">
        <v>133</v>
      </c>
      <c r="J62" s="38">
        <v>58</v>
      </c>
      <c r="K62" s="38">
        <v>14</v>
      </c>
      <c r="L62" s="38">
        <v>1883</v>
      </c>
      <c r="M62" s="38">
        <v>2758</v>
      </c>
      <c r="N62" s="38">
        <f>'Automated raw'!$G454/'Automated raw'!$H454</f>
        <v>0.48704663212435234</v>
      </c>
      <c r="O62" s="41">
        <f>IFERROR('Automated raw'!$G454/'Automated raw'!$H454,"incomplete")</f>
        <v>0.48704663212435234</v>
      </c>
      <c r="P62" s="38">
        <f>'Automated raw'!$F454</f>
        <v>75</v>
      </c>
      <c r="Q62" s="42">
        <f>IFERROR('Automated raw'!$P454*'Automated raw'!$L454,0)</f>
        <v>69678</v>
      </c>
      <c r="R62" s="38" t="str">
        <f>IF('Automated raw'!$O454&gt;=60%,"High",IF('Automated raw'!$O454&gt;=30%,"Avg",IF('Automated raw'!$O454&lt;30%,"Dead Stock","Incomplete")))</f>
        <v>High</v>
      </c>
      <c r="S62" s="43" t="str">
        <f>TEXT('Automated raw'!$B454,"mmm")</f>
        <v>Mar</v>
      </c>
      <c r="T62" s="82">
        <f>'Automated raw'!$G454*'Automated raw'!$M454</f>
        <v>156416</v>
      </c>
      <c r="U62" s="6">
        <f>IFERROR((Table7[[#This Row],[Stock In(Total)]]+Table7[[#This Row],[In Stock or Remaining]])/2,"-")</f>
        <v>152.5</v>
      </c>
      <c r="V62" s="93">
        <f>IFERROR(Table7[[#This Row],[Stock_Out]]/Table7[[#This Row],[Avg Inventory]],"-")</f>
        <v>0.43278688524590164</v>
      </c>
      <c r="W62" s="6"/>
      <c r="X62" s="6"/>
      <c r="Y62" s="6"/>
      <c r="Z62" s="6"/>
      <c r="AA62" s="6"/>
      <c r="AB62" s="6"/>
      <c r="AC62" s="6"/>
      <c r="AD62" s="6"/>
      <c r="AE62" s="6"/>
      <c r="AF62" s="6"/>
      <c r="AG62" s="6"/>
      <c r="AH62" s="6"/>
      <c r="AI62" s="6"/>
      <c r="AJ62" s="6"/>
      <c r="AK62" s="6"/>
    </row>
    <row r="63" spans="1:42" x14ac:dyDescent="0.3">
      <c r="A63" s="44" t="s">
        <v>90</v>
      </c>
      <c r="B63" s="45">
        <v>45327</v>
      </c>
      <c r="C63" s="44" t="s">
        <v>26</v>
      </c>
      <c r="D63" s="44" t="s">
        <v>20</v>
      </c>
      <c r="E63" s="44" t="s">
        <v>23</v>
      </c>
      <c r="F63" s="40">
        <v>23</v>
      </c>
      <c r="G63" s="44">
        <v>64</v>
      </c>
      <c r="H63" s="44">
        <f>IFERROR('Automated raw'!$F63+'Automated raw'!$G63,"-")</f>
        <v>87</v>
      </c>
      <c r="I63" s="44">
        <v>49</v>
      </c>
      <c r="J63" s="44">
        <v>48</v>
      </c>
      <c r="K63" s="44">
        <v>2</v>
      </c>
      <c r="L63" s="44">
        <v>1712</v>
      </c>
      <c r="M63" s="44">
        <v>3209</v>
      </c>
      <c r="N63" s="44">
        <f>'Automated raw'!$G63/'Automated raw'!$H63</f>
        <v>0.73563218390804597</v>
      </c>
      <c r="O63" s="46">
        <f>IFERROR('Automated raw'!$G63/'Automated raw'!$H63,"incomplete")</f>
        <v>0.73563218390804597</v>
      </c>
      <c r="P63" s="44">
        <f>'Automated raw'!$F63</f>
        <v>23</v>
      </c>
      <c r="Q63" s="47">
        <f>IFERROR('Automated raw'!$P63*'Automated raw'!$L63,0)</f>
        <v>39376</v>
      </c>
      <c r="R63" s="44" t="str">
        <f>IF('Automated raw'!$O63&gt;=60%,"High",IF('Automated raw'!$O63&gt;=30%,"Avg",IF('Automated raw'!$O63&lt;30%,"Dead Stock","Incomplete")))</f>
        <v>High</v>
      </c>
      <c r="S63" s="48" t="str">
        <f>TEXT('Automated raw'!$B63,"mmm")</f>
        <v>Feb</v>
      </c>
      <c r="T63" s="83">
        <f>'Automated raw'!$G63*'Automated raw'!$M63</f>
        <v>205376</v>
      </c>
      <c r="U63" s="6">
        <f>IFERROR((Table7[[#This Row],[Stock In(Total)]]+Table7[[#This Row],[In Stock or Remaining]])/2,"-")</f>
        <v>55</v>
      </c>
      <c r="V63" s="93">
        <f>IFERROR(Table7[[#This Row],[Stock_Out]]/Table7[[#This Row],[Avg Inventory]],"-")</f>
        <v>1.1636363636363636</v>
      </c>
      <c r="W63" s="6"/>
      <c r="X63" s="6"/>
      <c r="Y63" s="6"/>
      <c r="Z63" s="6"/>
      <c r="AA63" s="6"/>
      <c r="AB63" s="6"/>
      <c r="AC63" s="6"/>
      <c r="AD63" s="6"/>
      <c r="AE63" s="6"/>
      <c r="AF63" s="6"/>
      <c r="AG63" s="6"/>
      <c r="AH63" s="6"/>
      <c r="AI63" s="6"/>
      <c r="AJ63" s="6"/>
      <c r="AK63" s="6"/>
    </row>
    <row r="64" spans="1:42" x14ac:dyDescent="0.3">
      <c r="A64" s="44" t="s">
        <v>474</v>
      </c>
      <c r="B64" s="45">
        <v>45307</v>
      </c>
      <c r="C64" s="44" t="s">
        <v>12</v>
      </c>
      <c r="D64" s="44" t="s">
        <v>17</v>
      </c>
      <c r="E64" s="44" t="s">
        <v>33</v>
      </c>
      <c r="F64" s="40">
        <v>141</v>
      </c>
      <c r="G64" s="44">
        <v>70</v>
      </c>
      <c r="H64" s="44">
        <f>IFERROR('Automated raw'!$F441+'Automated raw'!$G441,"-")</f>
        <v>112</v>
      </c>
      <c r="I64" s="44">
        <v>231</v>
      </c>
      <c r="J64" s="44">
        <v>36</v>
      </c>
      <c r="K64" s="44">
        <v>5</v>
      </c>
      <c r="L64" s="44">
        <v>1504</v>
      </c>
      <c r="M64" s="44">
        <v>2815</v>
      </c>
      <c r="N64" s="44">
        <f>'Automated raw'!$G441/'Automated raw'!$H441</f>
        <v>0.6853932584269663</v>
      </c>
      <c r="O64" s="46">
        <f>IFERROR('Automated raw'!$G441/'Automated raw'!$H441,"incomplete")</f>
        <v>0.6853932584269663</v>
      </c>
      <c r="P64" s="44">
        <f>'Automated raw'!$F441</f>
        <v>51</v>
      </c>
      <c r="Q64" s="47">
        <f>IFERROR('Automated raw'!$P441*'Automated raw'!$L441,0)</f>
        <v>26418</v>
      </c>
      <c r="R64" s="44" t="str">
        <f>IF('Automated raw'!$O441&gt;=60%,"High",IF('Automated raw'!$O441&gt;=30%,"Avg",IF('Automated raw'!$O441&lt;30%,"Dead Stock","Incomplete")))</f>
        <v>Avg</v>
      </c>
      <c r="S64" s="48" t="str">
        <f>TEXT('Automated raw'!$B441,"mmm")</f>
        <v>Feb</v>
      </c>
      <c r="T64" s="83">
        <f>'Automated raw'!$G441*'Automated raw'!$M441</f>
        <v>67893</v>
      </c>
      <c r="U64" s="6">
        <f>IFERROR((Table7[[#This Row],[Stock In(Total)]]+Table7[[#This Row],[In Stock or Remaining]])/2,"-")</f>
        <v>126.5</v>
      </c>
      <c r="V64" s="93">
        <f>IFERROR(Table7[[#This Row],[Stock_Out]]/Table7[[#This Row],[Avg Inventory]],"-")</f>
        <v>0.55335968379446643</v>
      </c>
      <c r="W64" s="6"/>
      <c r="X64" s="6"/>
      <c r="Y64" s="6"/>
      <c r="Z64" s="6"/>
      <c r="AA64" s="6"/>
      <c r="AB64" s="6"/>
      <c r="AC64" s="6"/>
      <c r="AD64" s="6"/>
      <c r="AE64" s="6"/>
      <c r="AF64" s="6"/>
      <c r="AG64" s="6"/>
      <c r="AH64" s="6"/>
      <c r="AI64" s="6"/>
      <c r="AJ64" s="6"/>
      <c r="AK64" s="6"/>
    </row>
    <row r="65" spans="1:37" x14ac:dyDescent="0.3">
      <c r="A65" s="44" t="s">
        <v>92</v>
      </c>
      <c r="B65" s="45">
        <v>45392</v>
      </c>
      <c r="C65" s="44" t="s">
        <v>19</v>
      </c>
      <c r="D65" s="44" t="s">
        <v>20</v>
      </c>
      <c r="E65" s="44" t="s">
        <v>14</v>
      </c>
      <c r="F65" s="40">
        <v>96</v>
      </c>
      <c r="G65" s="44">
        <v>15</v>
      </c>
      <c r="H65" s="44">
        <f>IFERROR('Automated raw'!$F65+'Automated raw'!$G65,"-")</f>
        <v>111</v>
      </c>
      <c r="I65" s="44">
        <v>188</v>
      </c>
      <c r="J65" s="44">
        <v>74</v>
      </c>
      <c r="K65" s="44">
        <v>12</v>
      </c>
      <c r="L65" s="44">
        <v>1109</v>
      </c>
      <c r="M65" s="44">
        <v>2094</v>
      </c>
      <c r="N65" s="44">
        <f>'Automated raw'!$G65/'Automated raw'!$H65</f>
        <v>0.13513513513513514</v>
      </c>
      <c r="O65" s="46">
        <f>IFERROR('Automated raw'!$G65/'Automated raw'!$H65,"incomplete")</f>
        <v>0.13513513513513514</v>
      </c>
      <c r="P65" s="44">
        <f>'Automated raw'!$F65</f>
        <v>96</v>
      </c>
      <c r="Q65" s="47">
        <f>IFERROR('Automated raw'!$P65*'Automated raw'!$L65,0)</f>
        <v>106464</v>
      </c>
      <c r="R65" s="44" t="str">
        <f>IF('Automated raw'!$O65&gt;=60%,"High",IF('Automated raw'!$O65&gt;=30%,"Avg",IF('Automated raw'!$O65&lt;30%,"Dead Stock","Incomplete")))</f>
        <v>Dead Stock</v>
      </c>
      <c r="S65" s="48" t="str">
        <f>TEXT('Automated raw'!$B65,"mmm")</f>
        <v>Apr</v>
      </c>
      <c r="T65" s="83">
        <f>'Automated raw'!$G65*'Automated raw'!$M65</f>
        <v>31410</v>
      </c>
      <c r="U65" s="6">
        <f>IFERROR((Table7[[#This Row],[Stock In(Total)]]+Table7[[#This Row],[In Stock or Remaining]])/2,"-")</f>
        <v>103.5</v>
      </c>
      <c r="V65" s="93">
        <f>IFERROR(Table7[[#This Row],[Stock_Out]]/Table7[[#This Row],[Avg Inventory]],"-")</f>
        <v>0.14492753623188406</v>
      </c>
      <c r="W65" s="6"/>
      <c r="X65" s="6"/>
      <c r="Y65" s="6"/>
      <c r="Z65" s="6"/>
      <c r="AA65" s="6"/>
      <c r="AB65" s="6"/>
      <c r="AC65" s="6"/>
      <c r="AD65" s="6"/>
      <c r="AE65" s="6"/>
      <c r="AF65" s="6"/>
      <c r="AG65" s="6"/>
      <c r="AH65" s="6"/>
      <c r="AI65" s="6"/>
      <c r="AJ65" s="6"/>
      <c r="AK65" s="6"/>
    </row>
    <row r="66" spans="1:37" x14ac:dyDescent="0.3">
      <c r="A66" s="38" t="s">
        <v>93</v>
      </c>
      <c r="B66" s="39">
        <v>45326</v>
      </c>
      <c r="C66" s="38" t="s">
        <v>19</v>
      </c>
      <c r="D66" s="38" t="s">
        <v>13</v>
      </c>
      <c r="E66" s="38" t="s">
        <v>21</v>
      </c>
      <c r="F66" s="40">
        <v>31</v>
      </c>
      <c r="G66" s="38">
        <v>93</v>
      </c>
      <c r="H66" s="38">
        <f>IFERROR('Automated raw'!$F66+'Automated raw'!$G66,"-")</f>
        <v>124</v>
      </c>
      <c r="I66" s="38">
        <v>8</v>
      </c>
      <c r="J66" s="38">
        <v>59</v>
      </c>
      <c r="K66" s="38">
        <v>12</v>
      </c>
      <c r="L66" s="38">
        <v>1784</v>
      </c>
      <c r="M66" s="38">
        <v>2480</v>
      </c>
      <c r="N66" s="38">
        <f>'Automated raw'!$G66/'Automated raw'!$H66</f>
        <v>0.75</v>
      </c>
      <c r="O66" s="41">
        <f>IFERROR('Automated raw'!$G66/'Automated raw'!$H66,"incomplete")</f>
        <v>0.75</v>
      </c>
      <c r="P66" s="38">
        <f>'Automated raw'!$F66</f>
        <v>31</v>
      </c>
      <c r="Q66" s="42">
        <f>IFERROR('Automated raw'!$P66*'Automated raw'!$L66,0)</f>
        <v>55304</v>
      </c>
      <c r="R66" s="38" t="str">
        <f>IF('Automated raw'!$O66&gt;=60%,"High",IF('Automated raw'!$O66&gt;=30%,"Avg",IF('Automated raw'!$O66&lt;30%,"Dead Stock","Incomplete")))</f>
        <v>High</v>
      </c>
      <c r="S66" s="43" t="str">
        <f>TEXT('Automated raw'!$B66,"mmm")</f>
        <v>Feb</v>
      </c>
      <c r="T66" s="82">
        <f>'Automated raw'!$G66*'Automated raw'!$M66</f>
        <v>230640</v>
      </c>
      <c r="U66" s="6">
        <f>IFERROR((Table7[[#This Row],[Stock In(Total)]]+Table7[[#This Row],[In Stock or Remaining]])/2,"-")</f>
        <v>77.5</v>
      </c>
      <c r="V66" s="93">
        <f>IFERROR(Table7[[#This Row],[Stock_Out]]/Table7[[#This Row],[Avg Inventory]],"-")</f>
        <v>1.2</v>
      </c>
      <c r="W66" s="6"/>
      <c r="X66" s="6"/>
      <c r="Y66" s="6"/>
      <c r="Z66" s="6"/>
      <c r="AA66" s="6"/>
      <c r="AB66" s="6"/>
      <c r="AC66" s="6"/>
      <c r="AD66" s="6"/>
      <c r="AE66" s="6"/>
      <c r="AF66" s="6"/>
      <c r="AG66" s="6"/>
      <c r="AH66" s="6"/>
      <c r="AI66" s="6"/>
      <c r="AJ66" s="6"/>
      <c r="AK66" s="6"/>
    </row>
    <row r="67" spans="1:37" x14ac:dyDescent="0.3">
      <c r="A67" s="44" t="s">
        <v>94</v>
      </c>
      <c r="B67" s="45">
        <v>45478</v>
      </c>
      <c r="C67" s="44" t="s">
        <v>12</v>
      </c>
      <c r="D67" s="44" t="s">
        <v>20</v>
      </c>
      <c r="E67" s="44" t="s">
        <v>14</v>
      </c>
      <c r="F67" s="40">
        <v>112</v>
      </c>
      <c r="G67" s="44">
        <v>5</v>
      </c>
      <c r="H67" s="44">
        <f>IFERROR('Automated raw'!$F67+'Automated raw'!$G67,"-")</f>
        <v>117</v>
      </c>
      <c r="I67" s="44">
        <v>76</v>
      </c>
      <c r="J67" s="44">
        <v>30</v>
      </c>
      <c r="K67" s="44">
        <v>11</v>
      </c>
      <c r="L67" s="44">
        <v>1368</v>
      </c>
      <c r="M67" s="44">
        <v>2067</v>
      </c>
      <c r="N67" s="44">
        <f>'Automated raw'!$G67/'Automated raw'!$H67</f>
        <v>4.2735042735042736E-2</v>
      </c>
      <c r="O67" s="46">
        <f>IFERROR('Automated raw'!$G67/'Automated raw'!$H67,"incomplete")</f>
        <v>4.2735042735042736E-2</v>
      </c>
      <c r="P67" s="44">
        <f>'Automated raw'!$F67</f>
        <v>112</v>
      </c>
      <c r="Q67" s="47">
        <f>IFERROR('Automated raw'!$P67*'Automated raw'!$L67,0)</f>
        <v>153216</v>
      </c>
      <c r="R67" s="44" t="str">
        <f>IF('Automated raw'!$O67&gt;=60%,"High",IF('Automated raw'!$O67&gt;=30%,"Avg",IF('Automated raw'!$O67&lt;30%,"Dead Stock","Incomplete")))</f>
        <v>Dead Stock</v>
      </c>
      <c r="S67" s="48" t="str">
        <f>TEXT('Automated raw'!$B67,"mmm")</f>
        <v>Jul</v>
      </c>
      <c r="T67" s="83">
        <f>'Automated raw'!$G67*'Automated raw'!$M67</f>
        <v>10335</v>
      </c>
      <c r="U67" s="6">
        <f>IFERROR((Table7[[#This Row],[Stock In(Total)]]+Table7[[#This Row],[In Stock or Remaining]])/2,"-")</f>
        <v>114.5</v>
      </c>
      <c r="V67" s="93">
        <f>IFERROR(Table7[[#This Row],[Stock_Out]]/Table7[[#This Row],[Avg Inventory]],"-")</f>
        <v>4.3668122270742356E-2</v>
      </c>
      <c r="W67" s="6"/>
      <c r="X67" s="6"/>
      <c r="Y67" s="6"/>
      <c r="Z67" s="6"/>
      <c r="AA67" s="6"/>
      <c r="AB67" s="6"/>
      <c r="AC67" s="6"/>
      <c r="AD67" s="6"/>
      <c r="AE67" s="6"/>
      <c r="AF67" s="6"/>
      <c r="AG67" s="6"/>
      <c r="AH67" s="6"/>
      <c r="AI67" s="6"/>
      <c r="AJ67" s="6"/>
      <c r="AK67" s="6"/>
    </row>
    <row r="68" spans="1:37" x14ac:dyDescent="0.3">
      <c r="A68" s="44" t="s">
        <v>370</v>
      </c>
      <c r="B68" s="45">
        <v>45642</v>
      </c>
      <c r="C68" s="44" t="s">
        <v>19</v>
      </c>
      <c r="D68" s="44" t="s">
        <v>20</v>
      </c>
      <c r="E68" s="44" t="s">
        <v>21</v>
      </c>
      <c r="F68" s="40">
        <v>6</v>
      </c>
      <c r="G68" s="44">
        <v>3</v>
      </c>
      <c r="H68" s="44">
        <f>IFERROR('Automated raw'!$F337+'Automated raw'!$G337,"-")</f>
        <v>148</v>
      </c>
      <c r="I68" s="44">
        <v>100</v>
      </c>
      <c r="J68" s="44">
        <v>76</v>
      </c>
      <c r="K68" s="44">
        <v>8</v>
      </c>
      <c r="L68" s="44">
        <v>480</v>
      </c>
      <c r="M68" s="44">
        <v>810</v>
      </c>
      <c r="N68" s="44">
        <f>'Automated raw'!$G337/'Automated raw'!$H337</f>
        <v>0.45161290322580644</v>
      </c>
      <c r="O68" s="46">
        <f>IFERROR('Automated raw'!$G337/'Automated raw'!$H337,"incomplete")</f>
        <v>0.45161290322580644</v>
      </c>
      <c r="P68" s="44">
        <f>'Automated raw'!$F337</f>
        <v>78</v>
      </c>
      <c r="Q68" s="47">
        <f>IFERROR('Automated raw'!$P337*'Automated raw'!$L337,0)</f>
        <v>44550</v>
      </c>
      <c r="R68" s="44" t="str">
        <f>IF('Automated raw'!$O337&gt;=60%,"High",IF('Automated raw'!$O337&gt;=30%,"Avg",IF('Automated raw'!$O337&lt;30%,"Dead Stock","Incomplete")))</f>
        <v>Avg</v>
      </c>
      <c r="S68" s="48" t="str">
        <f>TEXT('Automated raw'!$B337,"mmm")</f>
        <v>May</v>
      </c>
      <c r="T68" s="83">
        <f>'Automated raw'!$G337*'Automated raw'!$M337</f>
        <v>131670</v>
      </c>
      <c r="U68" s="6">
        <f>IFERROR((Table7[[#This Row],[Stock In(Total)]]+Table7[[#This Row],[In Stock or Remaining]])/2,"-")</f>
        <v>77</v>
      </c>
      <c r="V68" s="93">
        <f>IFERROR(Table7[[#This Row],[Stock_Out]]/Table7[[#This Row],[Avg Inventory]],"-")</f>
        <v>3.896103896103896E-2</v>
      </c>
      <c r="W68" s="6"/>
      <c r="X68" s="6"/>
      <c r="Y68" s="6"/>
      <c r="Z68" s="6"/>
      <c r="AA68" s="6"/>
      <c r="AB68" s="6"/>
      <c r="AC68" s="6"/>
      <c r="AD68" s="6"/>
      <c r="AE68" s="6"/>
      <c r="AF68" s="6"/>
      <c r="AG68" s="6"/>
      <c r="AH68" s="6"/>
      <c r="AI68" s="6"/>
      <c r="AJ68" s="6"/>
      <c r="AK68" s="6"/>
    </row>
    <row r="69" spans="1:37" x14ac:dyDescent="0.3">
      <c r="A69" s="44" t="s">
        <v>442</v>
      </c>
      <c r="B69" s="45">
        <v>45426</v>
      </c>
      <c r="C69" s="44" t="s">
        <v>45</v>
      </c>
      <c r="D69" s="44" t="s">
        <v>20</v>
      </c>
      <c r="E69" s="44" t="s">
        <v>21</v>
      </c>
      <c r="F69" s="40">
        <v>111</v>
      </c>
      <c r="G69" s="44">
        <v>56</v>
      </c>
      <c r="H69" s="44">
        <f>IFERROR('Automated raw'!$F409+'Automated raw'!$G409,"-")</f>
        <v>33</v>
      </c>
      <c r="I69" s="44">
        <v>43</v>
      </c>
      <c r="J69" s="44">
        <v>65</v>
      </c>
      <c r="K69" s="44">
        <v>14</v>
      </c>
      <c r="L69" s="44">
        <v>1207</v>
      </c>
      <c r="M69" s="44">
        <v>1931</v>
      </c>
      <c r="N69" s="44">
        <f>'Automated raw'!$G409/'Automated raw'!$H409</f>
        <v>9.2391304347826081E-2</v>
      </c>
      <c r="O69" s="46">
        <f>IFERROR('Automated raw'!$G409/'Automated raw'!$H409,"incomplete")</f>
        <v>9.2391304347826081E-2</v>
      </c>
      <c r="P69" s="44">
        <f>'Automated raw'!$F409</f>
        <v>16</v>
      </c>
      <c r="Q69" s="47">
        <f>IFERROR('Automated raw'!$P409*'Automated raw'!$L409,0)</f>
        <v>195126</v>
      </c>
      <c r="R69" s="44" t="str">
        <f>IF('Automated raw'!$O409&gt;=60%,"High",IF('Automated raw'!$O409&gt;=30%,"Avg",IF('Automated raw'!$O409&lt;30%,"Dead Stock","Incomplete")))</f>
        <v>High</v>
      </c>
      <c r="S69" s="48" t="str">
        <f>TEXT('Automated raw'!$B409,"mmm")</f>
        <v>Apr</v>
      </c>
      <c r="T69" s="83">
        <f>'Automated raw'!$G409*'Automated raw'!$M409</f>
        <v>44421</v>
      </c>
      <c r="U69" s="6">
        <f>IFERROR((Table7[[#This Row],[Stock In(Total)]]+Table7[[#This Row],[In Stock or Remaining]])/2,"-")</f>
        <v>72</v>
      </c>
      <c r="V69" s="93">
        <f>IFERROR(Table7[[#This Row],[Stock_Out]]/Table7[[#This Row],[Avg Inventory]],"-")</f>
        <v>0.77777777777777779</v>
      </c>
      <c r="W69" s="6"/>
      <c r="X69" s="6"/>
      <c r="Y69" s="6"/>
      <c r="Z69" s="6"/>
      <c r="AA69" s="6"/>
      <c r="AB69" s="6"/>
      <c r="AC69" s="6"/>
      <c r="AD69" s="6"/>
      <c r="AE69" s="6"/>
      <c r="AF69" s="6"/>
      <c r="AG69" s="6"/>
      <c r="AH69" s="6"/>
      <c r="AI69" s="6"/>
      <c r="AJ69" s="6"/>
      <c r="AK69" s="6"/>
    </row>
    <row r="70" spans="1:37" x14ac:dyDescent="0.3">
      <c r="A70" s="44" t="s">
        <v>114</v>
      </c>
      <c r="B70" s="45">
        <v>45493</v>
      </c>
      <c r="C70" s="44" t="s">
        <v>12</v>
      </c>
      <c r="D70" s="44" t="s">
        <v>20</v>
      </c>
      <c r="E70" s="44" t="s">
        <v>21</v>
      </c>
      <c r="F70" s="40">
        <v>119</v>
      </c>
      <c r="G70" s="44">
        <v>61</v>
      </c>
      <c r="H70" s="44">
        <f>IFERROR('Automated raw'!$F87+'Automated raw'!$G87,"-")</f>
        <v>175</v>
      </c>
      <c r="I70" s="44">
        <v>271</v>
      </c>
      <c r="J70" s="44">
        <v>33</v>
      </c>
      <c r="K70" s="44">
        <v>10</v>
      </c>
      <c r="L70" s="44">
        <v>772</v>
      </c>
      <c r="M70" s="44">
        <v>1790</v>
      </c>
      <c r="N70" s="44">
        <f>'Automated raw'!$G87/'Automated raw'!$H87</f>
        <v>0.29756097560975608</v>
      </c>
      <c r="O70" s="46">
        <f>IFERROR('Automated raw'!$G87/'Automated raw'!$H87,"incomplete")</f>
        <v>0.29756097560975608</v>
      </c>
      <c r="P70" s="44">
        <f>'Automated raw'!$F87</f>
        <v>114</v>
      </c>
      <c r="Q70" s="47">
        <f>IFERROR('Automated raw'!$P87*'Automated raw'!$L87,0)</f>
        <v>110628</v>
      </c>
      <c r="R70" s="44" t="str">
        <f>IF('Automated raw'!$O87&gt;=60%,"High",IF('Automated raw'!$O87&gt;=30%,"Avg",IF('Automated raw'!$O87&lt;30%,"Dead Stock","Incomplete")))</f>
        <v>High</v>
      </c>
      <c r="S70" s="48" t="str">
        <f>TEXT('Automated raw'!$B87,"mmm")</f>
        <v>Nov</v>
      </c>
      <c r="T70" s="83">
        <f>'Automated raw'!$G87*'Automated raw'!$M87</f>
        <v>66063</v>
      </c>
      <c r="U70" s="6">
        <f>IFERROR((Table7[[#This Row],[Stock In(Total)]]+Table7[[#This Row],[In Stock or Remaining]])/2,"-")</f>
        <v>147</v>
      </c>
      <c r="V70" s="93">
        <f>IFERROR(Table7[[#This Row],[Stock_Out]]/Table7[[#This Row],[Avg Inventory]],"-")</f>
        <v>0.41496598639455784</v>
      </c>
      <c r="W70" s="6"/>
      <c r="X70" s="6"/>
      <c r="Y70" s="6"/>
      <c r="Z70" s="6"/>
      <c r="AA70" s="6"/>
      <c r="AB70" s="6"/>
      <c r="AC70" s="6"/>
      <c r="AD70" s="6"/>
      <c r="AE70" s="6"/>
      <c r="AF70" s="6"/>
      <c r="AG70" s="6"/>
      <c r="AH70" s="6"/>
      <c r="AI70" s="6"/>
      <c r="AJ70" s="6"/>
      <c r="AK70" s="6"/>
    </row>
    <row r="71" spans="1:37" x14ac:dyDescent="0.3">
      <c r="A71" s="44" t="s">
        <v>124</v>
      </c>
      <c r="B71" s="45">
        <v>45587</v>
      </c>
      <c r="C71" s="44" t="s">
        <v>53</v>
      </c>
      <c r="D71" s="44" t="s">
        <v>17</v>
      </c>
      <c r="E71" s="44" t="s">
        <v>14</v>
      </c>
      <c r="F71" s="40">
        <v>113</v>
      </c>
      <c r="G71" s="44">
        <v>58</v>
      </c>
      <c r="H71" s="44">
        <f>IFERROR('Automated raw'!$F97+'Automated raw'!$G97,"-")</f>
        <v>139</v>
      </c>
      <c r="I71" s="44">
        <v>199</v>
      </c>
      <c r="J71" s="44">
        <v>49</v>
      </c>
      <c r="K71" s="44">
        <v>7</v>
      </c>
      <c r="L71" s="44">
        <v>1251</v>
      </c>
      <c r="M71" s="44">
        <v>1701</v>
      </c>
      <c r="N71" s="44">
        <f>'Automated raw'!$G97/'Automated raw'!$H97</f>
        <v>0.83050847457627119</v>
      </c>
      <c r="O71" s="46">
        <f>IFERROR('Automated raw'!$G97/'Automated raw'!$H97,"incomplete")</f>
        <v>0.83050847457627119</v>
      </c>
      <c r="P71" s="44">
        <f>'Automated raw'!$F97</f>
        <v>90</v>
      </c>
      <c r="Q71" s="47">
        <f>IFERROR('Automated raw'!$P97*'Automated raw'!$L97,0)</f>
        <v>30492</v>
      </c>
      <c r="R71" s="44" t="str">
        <f>IF('Automated raw'!$O97&gt;=60%,"High",IF('Automated raw'!$O97&gt;=30%,"Avg",IF('Automated raw'!$O97&lt;30%,"Dead Stock","Incomplete")))</f>
        <v>Dead Stock</v>
      </c>
      <c r="S71" s="48" t="str">
        <f>TEXT('Automated raw'!$B97,"mmm")</f>
        <v>Jun</v>
      </c>
      <c r="T71" s="83">
        <f>'Automated raw'!$G97*'Automated raw'!$M97</f>
        <v>103684</v>
      </c>
      <c r="U71" s="6">
        <f>IFERROR((Table7[[#This Row],[Stock In(Total)]]+Table7[[#This Row],[In Stock or Remaining]])/2,"-")</f>
        <v>126</v>
      </c>
      <c r="V71" s="93">
        <f>IFERROR(Table7[[#This Row],[Stock_Out]]/Table7[[#This Row],[Avg Inventory]],"-")</f>
        <v>0.46031746031746029</v>
      </c>
      <c r="W71" s="6"/>
      <c r="X71" s="6"/>
      <c r="Y71" s="6"/>
      <c r="Z71" s="6"/>
      <c r="AA71" s="6"/>
      <c r="AB71" s="6"/>
      <c r="AC71" s="6"/>
      <c r="AD71" s="6"/>
      <c r="AE71" s="6"/>
      <c r="AF71" s="6"/>
      <c r="AG71" s="6"/>
      <c r="AH71" s="6"/>
      <c r="AI71" s="6"/>
      <c r="AJ71" s="6"/>
      <c r="AK71" s="6"/>
    </row>
    <row r="72" spans="1:37" x14ac:dyDescent="0.3">
      <c r="A72" s="44" t="s">
        <v>462</v>
      </c>
      <c r="B72" s="45">
        <v>45326</v>
      </c>
      <c r="C72" s="44" t="s">
        <v>26</v>
      </c>
      <c r="D72" s="44" t="s">
        <v>13</v>
      </c>
      <c r="E72" s="44" t="s">
        <v>38</v>
      </c>
      <c r="F72" s="40">
        <v>60</v>
      </c>
      <c r="G72" s="44">
        <v>31</v>
      </c>
      <c r="H72" s="44">
        <f>IFERROR('Automated raw'!$F429+'Automated raw'!$G429,"-")</f>
        <v>189</v>
      </c>
      <c r="I72" s="44">
        <v>20</v>
      </c>
      <c r="J72" s="44">
        <v>43</v>
      </c>
      <c r="K72" s="44">
        <v>9</v>
      </c>
      <c r="L72" s="44">
        <v>629</v>
      </c>
      <c r="M72" s="44">
        <v>1112</v>
      </c>
      <c r="N72" s="44">
        <f>'Automated raw'!$G429/'Automated raw'!$H429</f>
        <v>0.47393364928909953</v>
      </c>
      <c r="O72" s="46">
        <f>IFERROR('Automated raw'!$G429/'Automated raw'!$H429,"incomplete")</f>
        <v>0.47393364928909953</v>
      </c>
      <c r="P72" s="44">
        <f>'Automated raw'!$F429</f>
        <v>89</v>
      </c>
      <c r="Q72" s="47">
        <f>IFERROR('Automated raw'!$P429*'Automated raw'!$L429,0)</f>
        <v>63570</v>
      </c>
      <c r="R72" s="44" t="str">
        <f>IF('Automated raw'!$O429&gt;=60%,"High",IF('Automated raw'!$O429&gt;=30%,"Avg",IF('Automated raw'!$O429&lt;30%,"Dead Stock","Incomplete")))</f>
        <v>High</v>
      </c>
      <c r="S72" s="48" t="str">
        <f>TEXT('Automated raw'!$B429,"mmm")</f>
        <v>Oct</v>
      </c>
      <c r="T72" s="83">
        <f>'Automated raw'!$G429*'Automated raw'!$M429</f>
        <v>102900</v>
      </c>
      <c r="U72" s="6">
        <f>IFERROR((Table7[[#This Row],[Stock In(Total)]]+Table7[[#This Row],[In Stock or Remaining]])/2,"-")</f>
        <v>124.5</v>
      </c>
      <c r="V72" s="93">
        <f>IFERROR(Table7[[#This Row],[Stock_Out]]/Table7[[#This Row],[Avg Inventory]],"-")</f>
        <v>0.24899598393574296</v>
      </c>
      <c r="W72" s="6"/>
      <c r="X72" s="6"/>
      <c r="Y72" s="6"/>
      <c r="Z72" s="6"/>
      <c r="AA72" s="6"/>
      <c r="AB72" s="6"/>
      <c r="AC72" s="6"/>
      <c r="AD72" s="6"/>
      <c r="AE72" s="6"/>
      <c r="AF72" s="6"/>
      <c r="AG72" s="6"/>
      <c r="AH72" s="6"/>
      <c r="AI72" s="6"/>
      <c r="AJ72" s="6"/>
      <c r="AK72" s="6"/>
    </row>
    <row r="73" spans="1:37" x14ac:dyDescent="0.3">
      <c r="A73" s="44" t="s">
        <v>100</v>
      </c>
      <c r="B73" s="45">
        <v>45301</v>
      </c>
      <c r="C73" s="44" t="s">
        <v>53</v>
      </c>
      <c r="D73" s="44" t="s">
        <v>17</v>
      </c>
      <c r="E73" s="44" t="s">
        <v>33</v>
      </c>
      <c r="F73" s="40">
        <v>34</v>
      </c>
      <c r="G73" s="44">
        <v>74</v>
      </c>
      <c r="H73" s="44">
        <f>IFERROR('Automated raw'!$F73+'Automated raw'!$G73,"-")</f>
        <v>108</v>
      </c>
      <c r="I73" s="44">
        <v>265</v>
      </c>
      <c r="J73" s="44">
        <v>48</v>
      </c>
      <c r="K73" s="44">
        <v>12</v>
      </c>
      <c r="L73" s="44">
        <v>660</v>
      </c>
      <c r="M73" s="44">
        <v>1348</v>
      </c>
      <c r="N73" s="44">
        <f>'Automated raw'!$G73/'Automated raw'!$H73</f>
        <v>0.68518518518518523</v>
      </c>
      <c r="O73" s="46">
        <f>IFERROR('Automated raw'!$G73/'Automated raw'!$H73,"incomplete")</f>
        <v>0.68518518518518523</v>
      </c>
      <c r="P73" s="44">
        <f>'Automated raw'!$F73</f>
        <v>34</v>
      </c>
      <c r="Q73" s="47">
        <f>IFERROR('Automated raw'!$P73*'Automated raw'!$L73,0)</f>
        <v>22440</v>
      </c>
      <c r="R73" s="44" t="str">
        <f>IF('Automated raw'!$O73&gt;=60%,"High",IF('Automated raw'!$O73&gt;=30%,"Avg",IF('Automated raw'!$O73&lt;30%,"Dead Stock","Incomplete")))</f>
        <v>High</v>
      </c>
      <c r="S73" s="48" t="str">
        <f>TEXT('Automated raw'!$B73,"mmm")</f>
        <v>Jan</v>
      </c>
      <c r="T73" s="83">
        <f>'Automated raw'!$G73*'Automated raw'!$M73</f>
        <v>99752</v>
      </c>
      <c r="U73" s="6">
        <f>IFERROR((Table7[[#This Row],[Stock In(Total)]]+Table7[[#This Row],[In Stock or Remaining]])/2,"-")</f>
        <v>71</v>
      </c>
      <c r="V73" s="93">
        <f>IFERROR(Table7[[#This Row],[Stock_Out]]/Table7[[#This Row],[Avg Inventory]],"-")</f>
        <v>1.0422535211267605</v>
      </c>
      <c r="W73" s="6"/>
      <c r="X73" s="6"/>
      <c r="Y73" s="6"/>
      <c r="Z73" s="6"/>
      <c r="AA73" s="6"/>
      <c r="AB73" s="6"/>
      <c r="AC73" s="6"/>
      <c r="AD73" s="6"/>
      <c r="AE73" s="6"/>
      <c r="AF73" s="6"/>
      <c r="AG73" s="6"/>
      <c r="AH73" s="6"/>
      <c r="AI73" s="6"/>
      <c r="AJ73" s="6"/>
      <c r="AK73" s="6"/>
    </row>
    <row r="74" spans="1:37" x14ac:dyDescent="0.3">
      <c r="A74" s="44" t="s">
        <v>396</v>
      </c>
      <c r="B74" s="45">
        <v>45584</v>
      </c>
      <c r="C74" s="44" t="s">
        <v>12</v>
      </c>
      <c r="D74" s="44" t="s">
        <v>13</v>
      </c>
      <c r="E74" s="44" t="s">
        <v>21</v>
      </c>
      <c r="F74" s="40">
        <v>89</v>
      </c>
      <c r="G74" s="44">
        <v>46</v>
      </c>
      <c r="H74" s="44">
        <f>IFERROR('Automated raw'!$F363+'Automated raw'!$G363,"-")</f>
        <v>226</v>
      </c>
      <c r="I74" s="44">
        <v>224</v>
      </c>
      <c r="J74" s="44">
        <v>47</v>
      </c>
      <c r="K74" s="44">
        <v>5</v>
      </c>
      <c r="L74" s="44">
        <v>771</v>
      </c>
      <c r="M74" s="44">
        <v>1057</v>
      </c>
      <c r="N74" s="44">
        <f>'Automated raw'!$G363/'Automated raw'!$H363</f>
        <v>0.77464788732394363</v>
      </c>
      <c r="O74" s="46">
        <f>IFERROR('Automated raw'!$G363/'Automated raw'!$H363,"incomplete")</f>
        <v>0.77464788732394363</v>
      </c>
      <c r="P74" s="44">
        <f>'Automated raw'!$F363</f>
        <v>116</v>
      </c>
      <c r="Q74" s="47">
        <f>IFERROR('Automated raw'!$P363*'Automated raw'!$L363,0)</f>
        <v>70528</v>
      </c>
      <c r="R74" s="44" t="str">
        <f>IF('Automated raw'!$O363&gt;=60%,"High",IF('Automated raw'!$O363&gt;=30%,"Avg",IF('Automated raw'!$O363&lt;30%,"Dead Stock","Incomplete")))</f>
        <v>Avg</v>
      </c>
      <c r="S74" s="48" t="str">
        <f>TEXT('Automated raw'!$B363,"mmm")</f>
        <v>May</v>
      </c>
      <c r="T74" s="83">
        <f>'Automated raw'!$G363*'Automated raw'!$M363</f>
        <v>275330</v>
      </c>
      <c r="U74" s="6">
        <f>IFERROR((Table7[[#This Row],[Stock In(Total)]]+Table7[[#This Row],[In Stock or Remaining]])/2,"-")</f>
        <v>157.5</v>
      </c>
      <c r="V74" s="93">
        <f>IFERROR(Table7[[#This Row],[Stock_Out]]/Table7[[#This Row],[Avg Inventory]],"-")</f>
        <v>0.29206349206349208</v>
      </c>
      <c r="W74" s="6"/>
      <c r="X74" s="6"/>
      <c r="Y74" s="6"/>
      <c r="Z74" s="6"/>
      <c r="AA74" s="6"/>
      <c r="AB74" s="6"/>
      <c r="AC74" s="6"/>
      <c r="AD74" s="6"/>
      <c r="AE74" s="6"/>
      <c r="AF74" s="6"/>
      <c r="AG74" s="6"/>
      <c r="AH74" s="6"/>
      <c r="AI74" s="6"/>
      <c r="AJ74" s="6"/>
      <c r="AK74" s="6"/>
    </row>
    <row r="75" spans="1:37" x14ac:dyDescent="0.3">
      <c r="A75" s="38" t="s">
        <v>79</v>
      </c>
      <c r="B75" s="39">
        <v>45459</v>
      </c>
      <c r="C75" s="38" t="s">
        <v>19</v>
      </c>
      <c r="D75" s="38" t="s">
        <v>13</v>
      </c>
      <c r="E75" s="38" t="s">
        <v>33</v>
      </c>
      <c r="F75" s="40">
        <v>144</v>
      </c>
      <c r="G75" s="38">
        <v>75</v>
      </c>
      <c r="H75" s="38">
        <f>IFERROR('Automated raw'!$F52+'Automated raw'!$G52,"-")</f>
        <v>163</v>
      </c>
      <c r="I75" s="38">
        <v>178</v>
      </c>
      <c r="J75" s="38">
        <v>74</v>
      </c>
      <c r="K75" s="38">
        <v>5</v>
      </c>
      <c r="L75" s="38">
        <v>1839</v>
      </c>
      <c r="M75" s="38">
        <v>2710</v>
      </c>
      <c r="N75" s="38">
        <f>'Automated raw'!$G52/'Automated raw'!$H52</f>
        <v>0.23963133640552994</v>
      </c>
      <c r="O75" s="41">
        <f>IFERROR('Automated raw'!$G52/'Automated raw'!$H52,"incomplete")</f>
        <v>0.23963133640552994</v>
      </c>
      <c r="P75" s="38">
        <f>'Automated raw'!$F52</f>
        <v>111</v>
      </c>
      <c r="Q75" s="42">
        <f>IFERROR('Automated raw'!$P52*'Automated raw'!$L52,0)</f>
        <v>110556</v>
      </c>
      <c r="R75" s="38" t="str">
        <f>IF('Automated raw'!$O52&gt;=60%,"High",IF('Automated raw'!$O52&gt;=30%,"Avg",IF('Automated raw'!$O52&lt;30%,"Dead Stock","Incomplete")))</f>
        <v>Dead Stock</v>
      </c>
      <c r="S75" s="43" t="str">
        <f>TEXT('Automated raw'!$B52,"mmm")</f>
        <v>Sep</v>
      </c>
      <c r="T75" s="82">
        <f>'Automated raw'!$G52*'Automated raw'!$M52</f>
        <v>58292</v>
      </c>
      <c r="U75" s="6">
        <f>IFERROR((Table7[[#This Row],[Stock In(Total)]]+Table7[[#This Row],[In Stock or Remaining]])/2,"-")</f>
        <v>153.5</v>
      </c>
      <c r="V75" s="93">
        <f>IFERROR(Table7[[#This Row],[Stock_Out]]/Table7[[#This Row],[Avg Inventory]],"-")</f>
        <v>0.48859934853420195</v>
      </c>
      <c r="W75" s="6"/>
      <c r="X75" s="6"/>
      <c r="Y75" s="6"/>
      <c r="Z75" s="6"/>
      <c r="AA75" s="6"/>
      <c r="AB75" s="6"/>
      <c r="AC75" s="6"/>
      <c r="AD75" s="6"/>
      <c r="AE75" s="6"/>
      <c r="AF75" s="6"/>
      <c r="AG75" s="6"/>
      <c r="AH75" s="6"/>
      <c r="AI75" s="6"/>
      <c r="AJ75" s="6"/>
      <c r="AK75" s="6"/>
    </row>
    <row r="76" spans="1:37" x14ac:dyDescent="0.3">
      <c r="A76" s="38" t="s">
        <v>172</v>
      </c>
      <c r="B76" s="39">
        <v>45335</v>
      </c>
      <c r="C76" s="38" t="s">
        <v>37</v>
      </c>
      <c r="D76" s="38" t="s">
        <v>13</v>
      </c>
      <c r="E76" s="38" t="s">
        <v>38</v>
      </c>
      <c r="F76" s="40">
        <v>136</v>
      </c>
      <c r="G76" s="38">
        <v>71</v>
      </c>
      <c r="H76" s="38">
        <f>IFERROR('Automated raw'!$F142+'Automated raw'!$G142,"-")</f>
        <v>196</v>
      </c>
      <c r="I76" s="38">
        <v>130</v>
      </c>
      <c r="J76" s="38">
        <v>76</v>
      </c>
      <c r="K76" s="38">
        <v>15</v>
      </c>
      <c r="L76" s="38">
        <v>1168</v>
      </c>
      <c r="M76" s="38">
        <v>1733</v>
      </c>
      <c r="N76" s="38">
        <f>'Automated raw'!$G142/'Automated raw'!$H142</f>
        <v>0.39037433155080214</v>
      </c>
      <c r="O76" s="41">
        <f>IFERROR('Automated raw'!$G142/'Automated raw'!$H142,"incomplete")</f>
        <v>0.39037433155080214</v>
      </c>
      <c r="P76" s="38">
        <f>'Automated raw'!$F142</f>
        <v>123</v>
      </c>
      <c r="Q76" s="42">
        <f>IFERROR('Automated raw'!$P142*'Automated raw'!$L142,0)</f>
        <v>93990</v>
      </c>
      <c r="R76" s="38" t="str">
        <f>IF('Automated raw'!$O142&gt;=60%,"High",IF('Automated raw'!$O142&gt;=30%,"Avg",IF('Automated raw'!$O142&lt;30%,"Dead Stock","Incomplete")))</f>
        <v>High</v>
      </c>
      <c r="S76" s="43" t="str">
        <f>TEXT('Automated raw'!$B142,"mmm")</f>
        <v>Jan</v>
      </c>
      <c r="T76" s="82">
        <f>'Automated raw'!$G142*'Automated raw'!$M142</f>
        <v>84534</v>
      </c>
      <c r="U76" s="6">
        <f>IFERROR((Table7[[#This Row],[Stock In(Total)]]+Table7[[#This Row],[In Stock or Remaining]])/2,"-")</f>
        <v>166</v>
      </c>
      <c r="V76" s="93">
        <f>IFERROR(Table7[[#This Row],[Stock_Out]]/Table7[[#This Row],[Avg Inventory]],"-")</f>
        <v>0.42771084337349397</v>
      </c>
      <c r="W76" s="6"/>
      <c r="X76" s="6"/>
      <c r="Y76" s="6"/>
      <c r="Z76" s="6"/>
      <c r="AA76" s="6"/>
      <c r="AB76" s="6"/>
      <c r="AC76" s="6"/>
      <c r="AD76" s="6"/>
      <c r="AE76" s="6"/>
      <c r="AF76" s="6"/>
      <c r="AG76" s="6"/>
      <c r="AH76" s="6"/>
      <c r="AI76" s="6"/>
      <c r="AJ76" s="6"/>
      <c r="AK76" s="6"/>
    </row>
    <row r="77" spans="1:37" x14ac:dyDescent="0.3">
      <c r="A77" s="38" t="s">
        <v>107</v>
      </c>
      <c r="B77" s="39">
        <v>45520</v>
      </c>
      <c r="C77" s="38" t="s">
        <v>30</v>
      </c>
      <c r="D77" s="38" t="s">
        <v>13</v>
      </c>
      <c r="E77" s="38" t="s">
        <v>33</v>
      </c>
      <c r="F77" s="40">
        <v>130</v>
      </c>
      <c r="G77" s="38">
        <v>68</v>
      </c>
      <c r="H77" s="38">
        <f>IFERROR('Automated raw'!$F80+'Automated raw'!$G80,"-")</f>
        <v>180</v>
      </c>
      <c r="I77" s="38">
        <v>185</v>
      </c>
      <c r="J77" s="38">
        <v>40</v>
      </c>
      <c r="K77" s="38">
        <v>10</v>
      </c>
      <c r="L77" s="38">
        <v>866</v>
      </c>
      <c r="M77" s="38">
        <v>2276</v>
      </c>
      <c r="N77" s="38">
        <f>'Automated raw'!$G80/'Automated raw'!$H80</f>
        <v>0.5535714285714286</v>
      </c>
      <c r="O77" s="41">
        <f>IFERROR('Automated raw'!$G80/'Automated raw'!$H80,"incomplete")</f>
        <v>0.5535714285714286</v>
      </c>
      <c r="P77" s="38">
        <f>'Automated raw'!$F80</f>
        <v>118</v>
      </c>
      <c r="Q77" s="42">
        <f>IFERROR('Automated raw'!$P80*'Automated raw'!$L80,0)</f>
        <v>111687</v>
      </c>
      <c r="R77" s="38" t="str">
        <f>IF('Automated raw'!$O80&gt;=60%,"High",IF('Automated raw'!$O80&gt;=30%,"Avg",IF('Automated raw'!$O80&lt;30%,"Dead Stock","Incomplete")))</f>
        <v>Dead Stock</v>
      </c>
      <c r="S77" s="43" t="str">
        <f>TEXT('Automated raw'!$B80,"mmm")</f>
        <v>Nov</v>
      </c>
      <c r="T77" s="82">
        <f>'Automated raw'!$G80*'Automated raw'!$M80</f>
        <v>207948</v>
      </c>
      <c r="U77" s="6">
        <f>IFERROR((Table7[[#This Row],[Stock In(Total)]]+Table7[[#This Row],[In Stock or Remaining]])/2,"-")</f>
        <v>155</v>
      </c>
      <c r="V77" s="93">
        <f>IFERROR(Table7[[#This Row],[Stock_Out]]/Table7[[#This Row],[Avg Inventory]],"-")</f>
        <v>0.43870967741935485</v>
      </c>
      <c r="W77" s="6"/>
      <c r="X77" s="6"/>
      <c r="Y77" s="6"/>
      <c r="Z77" s="6"/>
      <c r="AA77" s="6"/>
      <c r="AB77" s="6"/>
      <c r="AC77" s="6"/>
      <c r="AD77" s="6"/>
      <c r="AE77" s="6"/>
      <c r="AF77" s="6"/>
      <c r="AG77" s="6"/>
      <c r="AH77" s="6"/>
      <c r="AI77" s="6"/>
      <c r="AJ77" s="6"/>
      <c r="AK77" s="6"/>
    </row>
    <row r="78" spans="1:37" x14ac:dyDescent="0.3">
      <c r="A78" s="38" t="s">
        <v>105</v>
      </c>
      <c r="B78" s="39">
        <v>45337</v>
      </c>
      <c r="C78" s="38" t="s">
        <v>30</v>
      </c>
      <c r="D78" s="38" t="s">
        <v>20</v>
      </c>
      <c r="E78" s="38" t="s">
        <v>33</v>
      </c>
      <c r="F78" s="40">
        <v>25</v>
      </c>
      <c r="G78" s="38">
        <v>42</v>
      </c>
      <c r="H78" s="38">
        <f>IFERROR('Automated raw'!$F78+'Automated raw'!$G78,"-")</f>
        <v>67</v>
      </c>
      <c r="I78" s="38">
        <v>184</v>
      </c>
      <c r="J78" s="38">
        <v>77</v>
      </c>
      <c r="K78" s="38">
        <v>10</v>
      </c>
      <c r="L78" s="38">
        <v>882</v>
      </c>
      <c r="M78" s="38">
        <v>1802</v>
      </c>
      <c r="N78" s="38">
        <f>'Automated raw'!$G78/'Automated raw'!$H78</f>
        <v>0.62686567164179108</v>
      </c>
      <c r="O78" s="41">
        <f>IFERROR('Automated raw'!$G78/'Automated raw'!$H78,"incomplete")</f>
        <v>0.62686567164179108</v>
      </c>
      <c r="P78" s="38">
        <f>'Automated raw'!$F78</f>
        <v>25</v>
      </c>
      <c r="Q78" s="42">
        <f>IFERROR('Automated raw'!$P78*'Automated raw'!$L78,0)</f>
        <v>22050</v>
      </c>
      <c r="R78" s="38" t="str">
        <f>IF('Automated raw'!$O78&gt;=60%,"High",IF('Automated raw'!$O78&gt;=30%,"Avg",IF('Automated raw'!$O78&lt;30%,"Dead Stock","Incomplete")))</f>
        <v>High</v>
      </c>
      <c r="S78" s="43" t="str">
        <f>TEXT('Automated raw'!$B78,"mmm")</f>
        <v>Feb</v>
      </c>
      <c r="T78" s="82">
        <f>'Automated raw'!$G78*'Automated raw'!$M78</f>
        <v>75684</v>
      </c>
      <c r="U78" s="6">
        <f>IFERROR((Table7[[#This Row],[Stock In(Total)]]+Table7[[#This Row],[In Stock or Remaining]])/2,"-")</f>
        <v>46</v>
      </c>
      <c r="V78" s="93">
        <f>IFERROR(Table7[[#This Row],[Stock_Out]]/Table7[[#This Row],[Avg Inventory]],"-")</f>
        <v>0.91304347826086951</v>
      </c>
      <c r="W78" s="6"/>
      <c r="X78" s="6"/>
      <c r="Y78" s="6"/>
      <c r="Z78" s="6"/>
      <c r="AA78" s="6"/>
      <c r="AB78" s="6"/>
      <c r="AC78" s="6"/>
      <c r="AD78" s="6"/>
      <c r="AE78" s="6"/>
      <c r="AF78" s="6"/>
      <c r="AG78" s="6"/>
      <c r="AH78" s="6"/>
      <c r="AI78" s="6"/>
      <c r="AJ78" s="6"/>
      <c r="AK78" s="6"/>
    </row>
    <row r="79" spans="1:37" x14ac:dyDescent="0.3">
      <c r="A79" s="38" t="s">
        <v>18</v>
      </c>
      <c r="B79" s="39">
        <v>45521</v>
      </c>
      <c r="C79" s="38" t="s">
        <v>19</v>
      </c>
      <c r="D79" s="38" t="s">
        <v>20</v>
      </c>
      <c r="E79" s="38" t="s">
        <v>21</v>
      </c>
      <c r="F79" s="40">
        <v>147</v>
      </c>
      <c r="G79" s="38">
        <v>77</v>
      </c>
      <c r="H79" s="38">
        <f>IFERROR('Automated raw'!$F4+'Automated raw'!$G4,"-")</f>
        <v>160</v>
      </c>
      <c r="I79" s="38">
        <v>160</v>
      </c>
      <c r="J79" s="38">
        <v>36</v>
      </c>
      <c r="K79" s="38">
        <v>5</v>
      </c>
      <c r="L79" s="38">
        <v>247</v>
      </c>
      <c r="M79" s="38">
        <v>1178</v>
      </c>
      <c r="N79" s="38">
        <f>'Automated raw'!$G4/'Automated raw'!$H4</f>
        <v>0.20689655172413793</v>
      </c>
      <c r="O79" s="41">
        <f>IFERROR('Automated raw'!$G4/'Automated raw'!$H4,"incomplete")</f>
        <v>0.20689655172413793</v>
      </c>
      <c r="P79" s="38">
        <f>'Automated raw'!$F4</f>
        <v>112</v>
      </c>
      <c r="Q79" s="42">
        <f>IFERROR('Automated raw'!$P4*'Automated raw'!$L4,0)</f>
        <v>70110</v>
      </c>
      <c r="R79" s="38" t="str">
        <f>IF('Automated raw'!$O4&gt;=60%,"High",IF('Automated raw'!$O4&gt;=30%,"Avg",IF('Automated raw'!$O4&lt;30%,"Dead Stock","Incomplete")))</f>
        <v>Avg</v>
      </c>
      <c r="S79" s="43" t="str">
        <f>TEXT('Automated raw'!$B4,"mmm")</f>
        <v>Jun</v>
      </c>
      <c r="T79" s="82">
        <f>'Automated raw'!$G4*'Automated raw'!$M4</f>
        <v>49872</v>
      </c>
      <c r="U79" s="6">
        <f>IFERROR((Table7[[#This Row],[Stock In(Total)]]+Table7[[#This Row],[In Stock or Remaining]])/2,"-")</f>
        <v>153.5</v>
      </c>
      <c r="V79" s="93">
        <f>IFERROR(Table7[[#This Row],[Stock_Out]]/Table7[[#This Row],[Avg Inventory]],"-")</f>
        <v>0.50162866449511401</v>
      </c>
      <c r="W79" s="6"/>
      <c r="X79" s="6"/>
      <c r="Y79" s="6"/>
      <c r="Z79" s="6"/>
      <c r="AA79" s="6"/>
      <c r="AB79" s="6"/>
      <c r="AC79" s="6"/>
      <c r="AD79" s="6"/>
      <c r="AE79" s="6"/>
      <c r="AF79" s="6"/>
      <c r="AG79" s="6"/>
      <c r="AH79" s="6"/>
      <c r="AI79" s="6"/>
      <c r="AJ79" s="6"/>
      <c r="AK79" s="6"/>
    </row>
    <row r="80" spans="1:37" x14ac:dyDescent="0.3">
      <c r="A80" s="38" t="s">
        <v>373</v>
      </c>
      <c r="B80" s="39">
        <v>45624</v>
      </c>
      <c r="C80" s="38" t="s">
        <v>19</v>
      </c>
      <c r="D80" s="38" t="s">
        <v>13</v>
      </c>
      <c r="E80" s="38" t="s">
        <v>23</v>
      </c>
      <c r="F80" s="40">
        <v>118</v>
      </c>
      <c r="G80" s="38">
        <v>62</v>
      </c>
      <c r="H80" s="38">
        <f>IFERROR('Automated raw'!$F340+'Automated raw'!$G340,"-")</f>
        <v>112</v>
      </c>
      <c r="I80" s="38">
        <v>86</v>
      </c>
      <c r="J80" s="38">
        <v>70</v>
      </c>
      <c r="K80" s="38">
        <v>4</v>
      </c>
      <c r="L80" s="38">
        <v>1893</v>
      </c>
      <c r="M80" s="38">
        <v>3354</v>
      </c>
      <c r="N80" s="38">
        <f>'Automated raw'!$G340/'Automated raw'!$H340</f>
        <v>0.26633165829145727</v>
      </c>
      <c r="O80" s="41">
        <f>IFERROR('Automated raw'!$G340/'Automated raw'!$H340,"incomplete")</f>
        <v>0.26633165829145727</v>
      </c>
      <c r="P80" s="38">
        <f>'Automated raw'!$F340</f>
        <v>59</v>
      </c>
      <c r="Q80" s="42">
        <f>IFERROR('Automated raw'!$P340*'Automated raw'!$L340,0)</f>
        <v>153338</v>
      </c>
      <c r="R80" s="38" t="str">
        <f>IF('Automated raw'!$O340&gt;=60%,"High",IF('Automated raw'!$O340&gt;=30%,"Avg",IF('Automated raw'!$O340&lt;30%,"Dead Stock","Incomplete")))</f>
        <v>Avg</v>
      </c>
      <c r="S80" s="43" t="str">
        <f>TEXT('Automated raw'!$B340,"mmm")</f>
        <v>Mar</v>
      </c>
      <c r="T80" s="82">
        <f>'Automated raw'!$G340*'Automated raw'!$M340</f>
        <v>143948</v>
      </c>
      <c r="U80" s="6">
        <f>IFERROR((Table7[[#This Row],[Stock In(Total)]]+Table7[[#This Row],[In Stock or Remaining]])/2,"-")</f>
        <v>115</v>
      </c>
      <c r="V80" s="93">
        <f>IFERROR(Table7[[#This Row],[Stock_Out]]/Table7[[#This Row],[Avg Inventory]],"-")</f>
        <v>0.53913043478260869</v>
      </c>
      <c r="W80" s="6"/>
      <c r="X80" s="6"/>
      <c r="Y80" s="6"/>
      <c r="Z80" s="6"/>
      <c r="AA80" s="6"/>
      <c r="AB80" s="6"/>
      <c r="AC80" s="6"/>
      <c r="AD80" s="6"/>
      <c r="AE80" s="6"/>
      <c r="AF80" s="6"/>
      <c r="AG80" s="6"/>
      <c r="AH80" s="6"/>
      <c r="AI80" s="6"/>
      <c r="AJ80" s="6"/>
      <c r="AK80" s="6"/>
    </row>
    <row r="81" spans="1:56" x14ac:dyDescent="0.3">
      <c r="A81" s="44" t="s">
        <v>108</v>
      </c>
      <c r="B81" s="45">
        <v>45367</v>
      </c>
      <c r="C81" s="44" t="s">
        <v>16</v>
      </c>
      <c r="D81" s="44" t="s">
        <v>20</v>
      </c>
      <c r="E81" s="44" t="s">
        <v>33</v>
      </c>
      <c r="F81" s="40">
        <v>12</v>
      </c>
      <c r="G81" s="44">
        <v>66</v>
      </c>
      <c r="H81" s="44">
        <f>IFERROR('Automated raw'!$F81+'Automated raw'!$G81,"-")</f>
        <v>78</v>
      </c>
      <c r="I81" s="44">
        <v>33</v>
      </c>
      <c r="J81" s="44">
        <v>38</v>
      </c>
      <c r="K81" s="44">
        <v>3</v>
      </c>
      <c r="L81" s="44">
        <v>767</v>
      </c>
      <c r="M81" s="44">
        <v>1627</v>
      </c>
      <c r="N81" s="44">
        <f>'Automated raw'!$G81/'Automated raw'!$H81</f>
        <v>0.84615384615384615</v>
      </c>
      <c r="O81" s="46">
        <f>IFERROR('Automated raw'!$G81/'Automated raw'!$H81,"incomplete")</f>
        <v>0.84615384615384615</v>
      </c>
      <c r="P81" s="44">
        <f>'Automated raw'!$F81</f>
        <v>12</v>
      </c>
      <c r="Q81" s="47">
        <f>IFERROR('Automated raw'!$P81*'Automated raw'!$L81,0)</f>
        <v>9204</v>
      </c>
      <c r="R81" s="44" t="str">
        <f>IF('Automated raw'!$O81&gt;=60%,"High",IF('Automated raw'!$O81&gt;=30%,"Avg",IF('Automated raw'!$O81&lt;30%,"Dead Stock","Incomplete")))</f>
        <v>High</v>
      </c>
      <c r="S81" s="48" t="str">
        <f>TEXT('Automated raw'!$B81,"mmm")</f>
        <v>Mar</v>
      </c>
      <c r="T81" s="83">
        <f>'Automated raw'!$G81*'Automated raw'!$M81</f>
        <v>107382</v>
      </c>
      <c r="U81" s="6">
        <f>IFERROR((Table7[[#This Row],[Stock In(Total)]]+Table7[[#This Row],[In Stock or Remaining]])/2,"-")</f>
        <v>45</v>
      </c>
      <c r="V81" s="93">
        <f>IFERROR(Table7[[#This Row],[Stock_Out]]/Table7[[#This Row],[Avg Inventory]],"-")</f>
        <v>1.4666666666666666</v>
      </c>
      <c r="W81" s="6"/>
      <c r="X81" s="6"/>
      <c r="Y81" s="6"/>
      <c r="Z81" s="6"/>
      <c r="AA81" s="6"/>
      <c r="AB81" s="6"/>
      <c r="AC81" s="6"/>
      <c r="AD81" s="6"/>
      <c r="AE81" s="6"/>
      <c r="AF81" s="6"/>
      <c r="AG81" s="6"/>
      <c r="AH81" s="6"/>
      <c r="AI81" s="6"/>
      <c r="AJ81" s="6"/>
      <c r="AK81" s="6"/>
    </row>
    <row r="82" spans="1:56" x14ac:dyDescent="0.3">
      <c r="A82" s="38" t="s">
        <v>109</v>
      </c>
      <c r="B82" s="39">
        <v>45656</v>
      </c>
      <c r="C82" s="38" t="s">
        <v>53</v>
      </c>
      <c r="D82" s="38" t="s">
        <v>17</v>
      </c>
      <c r="E82" s="38" t="s">
        <v>33</v>
      </c>
      <c r="F82" s="40">
        <v>38</v>
      </c>
      <c r="G82" s="38">
        <v>7</v>
      </c>
      <c r="H82" s="38">
        <f>IFERROR('Automated raw'!$F82+'Automated raw'!$G82,"-")</f>
        <v>45</v>
      </c>
      <c r="I82" s="38">
        <v>49</v>
      </c>
      <c r="J82" s="38">
        <v>58</v>
      </c>
      <c r="K82" s="38">
        <v>11</v>
      </c>
      <c r="L82" s="38">
        <v>991</v>
      </c>
      <c r="M82" s="38">
        <v>2483</v>
      </c>
      <c r="N82" s="38">
        <f>'Automated raw'!$G82/'Automated raw'!$H82</f>
        <v>0.15555555555555556</v>
      </c>
      <c r="O82" s="41">
        <f>IFERROR('Automated raw'!$G82/'Automated raw'!$H82,"incomplete")</f>
        <v>0.15555555555555556</v>
      </c>
      <c r="P82" s="38">
        <f>'Automated raw'!$F82</f>
        <v>38</v>
      </c>
      <c r="Q82" s="42">
        <f>IFERROR('Automated raw'!$P82*'Automated raw'!$L82,0)</f>
        <v>37658</v>
      </c>
      <c r="R82" s="38" t="str">
        <f>IF('Automated raw'!$O82&gt;=60%,"High",IF('Automated raw'!$O82&gt;=30%,"Avg",IF('Automated raw'!$O82&lt;30%,"Dead Stock","Incomplete")))</f>
        <v>Dead Stock</v>
      </c>
      <c r="S82" s="43" t="str">
        <f>TEXT('Automated raw'!$B82,"mmm")</f>
        <v>Dec</v>
      </c>
      <c r="T82" s="82">
        <f>'Automated raw'!$G82*'Automated raw'!$M82</f>
        <v>17381</v>
      </c>
      <c r="U82" s="6">
        <f>IFERROR((Table7[[#This Row],[Stock In(Total)]]+Table7[[#This Row],[In Stock or Remaining]])/2,"-")</f>
        <v>41.5</v>
      </c>
      <c r="V82" s="93">
        <f>IFERROR(Table7[[#This Row],[Stock_Out]]/Table7[[#This Row],[Avg Inventory]],"-")</f>
        <v>0.16867469879518071</v>
      </c>
      <c r="W82" s="6"/>
      <c r="X82" s="6"/>
      <c r="Y82" s="6"/>
      <c r="Z82" s="6"/>
      <c r="AA82" s="6"/>
      <c r="AB82" s="6"/>
      <c r="AC82" s="6"/>
      <c r="AD82" s="6"/>
      <c r="AE82" s="6"/>
      <c r="AF82" s="6"/>
      <c r="AG82" s="6"/>
      <c r="AH82" s="6"/>
      <c r="AI82" s="6"/>
      <c r="AJ82" s="6"/>
      <c r="AK82" s="6"/>
    </row>
    <row r="83" spans="1:56" x14ac:dyDescent="0.3">
      <c r="A83" s="44" t="s">
        <v>110</v>
      </c>
      <c r="B83" s="45">
        <v>45510</v>
      </c>
      <c r="C83" s="44" t="s">
        <v>30</v>
      </c>
      <c r="D83" s="44" t="s">
        <v>20</v>
      </c>
      <c r="E83" s="44" t="s">
        <v>14</v>
      </c>
      <c r="F83" s="40">
        <v>49</v>
      </c>
      <c r="G83" s="44">
        <v>4</v>
      </c>
      <c r="H83" s="44">
        <f>IFERROR('Automated raw'!$F83+'Automated raw'!$G83,"-")</f>
        <v>53</v>
      </c>
      <c r="I83" s="44">
        <v>18</v>
      </c>
      <c r="J83" s="44">
        <v>41</v>
      </c>
      <c r="K83" s="44">
        <v>9</v>
      </c>
      <c r="L83" s="44">
        <v>298</v>
      </c>
      <c r="M83" s="44">
        <v>432</v>
      </c>
      <c r="N83" s="44">
        <f>'Automated raw'!$G83/'Automated raw'!$H83</f>
        <v>7.5471698113207544E-2</v>
      </c>
      <c r="O83" s="46">
        <f>IFERROR('Automated raw'!$G83/'Automated raw'!$H83,"incomplete")</f>
        <v>7.5471698113207544E-2</v>
      </c>
      <c r="P83" s="44">
        <f>'Automated raw'!$F83</f>
        <v>49</v>
      </c>
      <c r="Q83" s="47">
        <f>IFERROR('Automated raw'!$P83*'Automated raw'!$L83,0)</f>
        <v>14602</v>
      </c>
      <c r="R83" s="44" t="str">
        <f>IF('Automated raw'!$O83&gt;=60%,"High",IF('Automated raw'!$O83&gt;=30%,"Avg",IF('Automated raw'!$O83&lt;30%,"Dead Stock","Incomplete")))</f>
        <v>Dead Stock</v>
      </c>
      <c r="S83" s="48" t="str">
        <f>TEXT('Automated raw'!$B83,"mmm")</f>
        <v>Aug</v>
      </c>
      <c r="T83" s="83">
        <f>'Automated raw'!$G83*'Automated raw'!$M83</f>
        <v>1728</v>
      </c>
      <c r="U83" s="6">
        <f>IFERROR((Table7[[#This Row],[Stock In(Total)]]+Table7[[#This Row],[In Stock or Remaining]])/2,"-")</f>
        <v>51</v>
      </c>
      <c r="V83" s="93">
        <f>IFERROR(Table7[[#This Row],[Stock_Out]]/Table7[[#This Row],[Avg Inventory]],"-")</f>
        <v>7.8431372549019607E-2</v>
      </c>
      <c r="W83" s="6"/>
      <c r="X83" s="6"/>
      <c r="Y83" s="6"/>
      <c r="Z83" s="6"/>
      <c r="AA83" s="6"/>
      <c r="AB83" s="6"/>
      <c r="AC83" s="6"/>
      <c r="AD83" s="6"/>
      <c r="AE83" s="6"/>
      <c r="AF83" s="6"/>
      <c r="AG83" s="6"/>
      <c r="AH83" s="6"/>
      <c r="AI83" s="6"/>
      <c r="AJ83" s="6"/>
      <c r="AK83" s="6"/>
    </row>
    <row r="84" spans="1:56" x14ac:dyDescent="0.3">
      <c r="A84" s="38" t="s">
        <v>111</v>
      </c>
      <c r="B84" s="39">
        <v>45602</v>
      </c>
      <c r="C84" s="38" t="s">
        <v>19</v>
      </c>
      <c r="D84" s="38" t="s">
        <v>17</v>
      </c>
      <c r="E84" s="38" t="s">
        <v>38</v>
      </c>
      <c r="F84" s="40">
        <v>107</v>
      </c>
      <c r="G84" s="38">
        <v>24</v>
      </c>
      <c r="H84" s="38">
        <f>IFERROR('Automated raw'!$F84+'Automated raw'!$G84,"-")</f>
        <v>131</v>
      </c>
      <c r="I84" s="38">
        <v>89</v>
      </c>
      <c r="J84" s="38">
        <v>46</v>
      </c>
      <c r="K84" s="38">
        <v>10</v>
      </c>
      <c r="L84" s="38">
        <v>855</v>
      </c>
      <c r="M84" s="38">
        <v>2335</v>
      </c>
      <c r="N84" s="38">
        <f>'Automated raw'!$G84/'Automated raw'!$H84</f>
        <v>0.18320610687022901</v>
      </c>
      <c r="O84" s="41">
        <f>IFERROR('Automated raw'!$G84/'Automated raw'!$H84,"incomplete")</f>
        <v>0.18320610687022901</v>
      </c>
      <c r="P84" s="38">
        <f>'Automated raw'!$F84</f>
        <v>107</v>
      </c>
      <c r="Q84" s="42">
        <f>IFERROR('Automated raw'!$P84*'Automated raw'!$L84,0)</f>
        <v>91485</v>
      </c>
      <c r="R84" s="38" t="str">
        <f>IF('Automated raw'!$O84&gt;=60%,"High",IF('Automated raw'!$O84&gt;=30%,"Avg",IF('Automated raw'!$O84&lt;30%,"Dead Stock","Incomplete")))</f>
        <v>Dead Stock</v>
      </c>
      <c r="S84" s="43" t="str">
        <f>TEXT('Automated raw'!$B84,"mmm")</f>
        <v>Nov</v>
      </c>
      <c r="T84" s="82">
        <f>'Automated raw'!$G84*'Automated raw'!$M84</f>
        <v>56040</v>
      </c>
      <c r="U84" s="6">
        <f>IFERROR((Table7[[#This Row],[Stock In(Total)]]+Table7[[#This Row],[In Stock or Remaining]])/2,"-")</f>
        <v>119</v>
      </c>
      <c r="V84" s="93">
        <f>IFERROR(Table7[[#This Row],[Stock_Out]]/Table7[[#This Row],[Avg Inventory]],"-")</f>
        <v>0.20168067226890757</v>
      </c>
      <c r="W84" s="6"/>
      <c r="X84" s="6"/>
      <c r="Y84" s="6"/>
      <c r="Z84" s="6"/>
      <c r="AA84" s="6"/>
      <c r="AB84" s="6"/>
      <c r="AC84" s="6"/>
      <c r="AD84" s="6"/>
      <c r="AE84" s="6"/>
      <c r="AF84" s="6"/>
      <c r="AG84" s="6"/>
      <c r="AH84" s="6"/>
      <c r="AI84" s="6"/>
      <c r="AJ84" s="6"/>
      <c r="AK84" s="6"/>
    </row>
    <row r="85" spans="1:56" x14ac:dyDescent="0.3">
      <c r="A85" s="44" t="s">
        <v>112</v>
      </c>
      <c r="B85" s="45">
        <v>45328</v>
      </c>
      <c r="C85" s="44" t="s">
        <v>26</v>
      </c>
      <c r="D85" s="44" t="s">
        <v>17</v>
      </c>
      <c r="E85" s="44" t="s">
        <v>21</v>
      </c>
      <c r="F85" s="40">
        <v>9</v>
      </c>
      <c r="G85" s="44">
        <v>96</v>
      </c>
      <c r="H85" s="44">
        <f>IFERROR('Automated raw'!$F85+'Automated raw'!$G85,"-")</f>
        <v>105</v>
      </c>
      <c r="I85" s="44">
        <v>49</v>
      </c>
      <c r="J85" s="44">
        <v>61</v>
      </c>
      <c r="K85" s="44">
        <v>6</v>
      </c>
      <c r="L85" s="44">
        <v>911</v>
      </c>
      <c r="M85" s="44">
        <v>1909</v>
      </c>
      <c r="N85" s="44">
        <f>'Automated raw'!$G85/'Automated raw'!$H85</f>
        <v>0.91428571428571426</v>
      </c>
      <c r="O85" s="46">
        <f>IFERROR('Automated raw'!$G85/'Automated raw'!$H85,"incomplete")</f>
        <v>0.91428571428571426</v>
      </c>
      <c r="P85" s="44">
        <f>'Automated raw'!$F85</f>
        <v>9</v>
      </c>
      <c r="Q85" s="47">
        <f>IFERROR('Automated raw'!$P85*'Automated raw'!$L85,0)</f>
        <v>8199</v>
      </c>
      <c r="R85" s="44" t="str">
        <f>IF('Automated raw'!$O85&gt;=60%,"High",IF('Automated raw'!$O85&gt;=30%,"Avg",IF('Automated raw'!$O85&lt;30%,"Dead Stock","Incomplete")))</f>
        <v>High</v>
      </c>
      <c r="S85" s="48" t="str">
        <f>TEXT('Automated raw'!$B85,"mmm")</f>
        <v>Feb</v>
      </c>
      <c r="T85" s="83">
        <f>'Automated raw'!$G85*'Automated raw'!$M85</f>
        <v>183264</v>
      </c>
      <c r="U85" s="6">
        <f>IFERROR((Table7[[#This Row],[Stock In(Total)]]+Table7[[#This Row],[In Stock or Remaining]])/2,"-")</f>
        <v>57</v>
      </c>
      <c r="V85" s="93">
        <f>IFERROR(Table7[[#This Row],[Stock_Out]]/Table7[[#This Row],[Avg Inventory]],"-")</f>
        <v>1.6842105263157894</v>
      </c>
      <c r="W85" s="6"/>
      <c r="X85" s="6"/>
      <c r="Y85" s="6"/>
      <c r="Z85" s="6"/>
      <c r="AA85" s="6"/>
      <c r="AB85" s="6"/>
      <c r="AC85" s="6"/>
      <c r="AD85" s="6"/>
      <c r="AE85" s="6"/>
      <c r="AF85" s="6"/>
      <c r="AG85" s="6"/>
      <c r="AH85" s="6"/>
      <c r="AI85" s="6"/>
      <c r="AJ85" s="6"/>
      <c r="AK85" s="6"/>
    </row>
    <row r="86" spans="1:56" x14ac:dyDescent="0.3">
      <c r="A86" s="38" t="s">
        <v>113</v>
      </c>
      <c r="B86" s="39">
        <v>45604</v>
      </c>
      <c r="C86" s="38" t="s">
        <v>19</v>
      </c>
      <c r="D86" s="38" t="s">
        <v>20</v>
      </c>
      <c r="E86" s="38" t="s">
        <v>21</v>
      </c>
      <c r="F86" s="40">
        <v>74</v>
      </c>
      <c r="G86" s="38">
        <v>120</v>
      </c>
      <c r="H86" s="38">
        <f>IFERROR('Automated raw'!$F86+'Automated raw'!$G86,"-")</f>
        <v>194</v>
      </c>
      <c r="I86" s="38">
        <v>24</v>
      </c>
      <c r="J86" s="38">
        <v>54</v>
      </c>
      <c r="K86" s="38">
        <v>5</v>
      </c>
      <c r="L86" s="38">
        <v>1200</v>
      </c>
      <c r="M86" s="38">
        <v>2502</v>
      </c>
      <c r="N86" s="38">
        <f>'Automated raw'!$G86/'Automated raw'!$H86</f>
        <v>0.61855670103092786</v>
      </c>
      <c r="O86" s="41">
        <f>IFERROR('Automated raw'!$G86/'Automated raw'!$H86,"incomplete")</f>
        <v>0.61855670103092786</v>
      </c>
      <c r="P86" s="38">
        <f>'Automated raw'!$F86</f>
        <v>74</v>
      </c>
      <c r="Q86" s="42">
        <f>IFERROR('Automated raw'!$P86*'Automated raw'!$L86,0)</f>
        <v>88800</v>
      </c>
      <c r="R86" s="38" t="str">
        <f>IF('Automated raw'!$O86&gt;=60%,"High",IF('Automated raw'!$O86&gt;=30%,"Avg",IF('Automated raw'!$O86&lt;30%,"Dead Stock","Incomplete")))</f>
        <v>High</v>
      </c>
      <c r="S86" s="43" t="str">
        <f>TEXT('Automated raw'!$B86,"mmm")</f>
        <v>Nov</v>
      </c>
      <c r="T86" s="82">
        <f>'Automated raw'!$G86*'Automated raw'!$M86</f>
        <v>300240</v>
      </c>
      <c r="U86" s="6">
        <f>IFERROR((Table7[[#This Row],[Stock In(Total)]]+Table7[[#This Row],[In Stock or Remaining]])/2,"-")</f>
        <v>134</v>
      </c>
      <c r="V86" s="93">
        <f>IFERROR(Table7[[#This Row],[Stock_Out]]/Table7[[#This Row],[Avg Inventory]],"-")</f>
        <v>0.89552238805970152</v>
      </c>
      <c r="W86" s="6"/>
      <c r="X86" s="6"/>
      <c r="Y86" s="6"/>
      <c r="Z86" s="6"/>
      <c r="AA86" s="6"/>
      <c r="AB86" s="6"/>
      <c r="AC86" s="6"/>
      <c r="AD86" s="6"/>
      <c r="AE86" s="6"/>
      <c r="AF86" s="6"/>
      <c r="AG86" s="6"/>
      <c r="AH86" s="6"/>
      <c r="AI86" s="6"/>
      <c r="AJ86" s="6"/>
      <c r="AK86" s="6"/>
    </row>
    <row r="87" spans="1:56" x14ac:dyDescent="0.3">
      <c r="A87" s="38" t="s">
        <v>194</v>
      </c>
      <c r="B87" s="39">
        <v>45617</v>
      </c>
      <c r="C87" s="38" t="s">
        <v>53</v>
      </c>
      <c r="D87" s="38" t="s">
        <v>17</v>
      </c>
      <c r="E87" s="38" t="s">
        <v>38</v>
      </c>
      <c r="F87" s="40">
        <v>114</v>
      </c>
      <c r="G87" s="38">
        <v>61</v>
      </c>
      <c r="H87" s="38">
        <f>IFERROR('Automated raw'!$F164+'Automated raw'!$G164,"-")</f>
        <v>205</v>
      </c>
      <c r="I87" s="38">
        <v>127</v>
      </c>
      <c r="J87" s="38">
        <v>44</v>
      </c>
      <c r="K87" s="38">
        <v>7</v>
      </c>
      <c r="L87" s="38">
        <v>878</v>
      </c>
      <c r="M87" s="38">
        <v>1083</v>
      </c>
      <c r="N87" s="38">
        <f>'Automated raw'!$G164/'Automated raw'!$H164</f>
        <v>0.73831775700934577</v>
      </c>
      <c r="O87" s="41">
        <f>IFERROR('Automated raw'!$G164/'Automated raw'!$H164,"incomplete")</f>
        <v>0.73831775700934577</v>
      </c>
      <c r="P87" s="38">
        <f>'Automated raw'!$F164</f>
        <v>126</v>
      </c>
      <c r="Q87" s="42">
        <f>IFERROR('Automated raw'!$P164*'Automated raw'!$L164,0)</f>
        <v>35836</v>
      </c>
      <c r="R87" s="38" t="str">
        <f>IF('Automated raw'!$O164&gt;=60%,"High",IF('Automated raw'!$O164&gt;=30%,"Avg",IF('Automated raw'!$O164&lt;30%,"Dead Stock","Incomplete")))</f>
        <v>High</v>
      </c>
      <c r="S87" s="43" t="str">
        <f>TEXT('Automated raw'!$B164,"mmm")</f>
        <v>Jul</v>
      </c>
      <c r="T87" s="82">
        <f>'Automated raw'!$G164*'Automated raw'!$M164</f>
        <v>145834</v>
      </c>
      <c r="U87" s="6">
        <f>IFERROR((Table7[[#This Row],[Stock In(Total)]]+Table7[[#This Row],[In Stock or Remaining]])/2,"-")</f>
        <v>159.5</v>
      </c>
      <c r="V87" s="93">
        <f>IFERROR(Table7[[#This Row],[Stock_Out]]/Table7[[#This Row],[Avg Inventory]],"-")</f>
        <v>0.38244514106583072</v>
      </c>
      <c r="W87" s="6"/>
      <c r="X87" s="6"/>
      <c r="Y87" s="6"/>
      <c r="Z87" s="6"/>
      <c r="AA87" s="6"/>
      <c r="AB87" s="6"/>
      <c r="AC87" s="6"/>
      <c r="AD87" s="6"/>
      <c r="AE87" s="6"/>
      <c r="AF87" s="6"/>
      <c r="AG87" s="6"/>
      <c r="AH87" s="6"/>
      <c r="AI87" s="6"/>
      <c r="AJ87" s="6"/>
      <c r="AK87" s="6"/>
    </row>
    <row r="88" spans="1:56" x14ac:dyDescent="0.3">
      <c r="A88" s="44" t="s">
        <v>193</v>
      </c>
      <c r="B88" s="45">
        <v>45443</v>
      </c>
      <c r="C88" s="44" t="s">
        <v>157</v>
      </c>
      <c r="D88" s="44" t="s">
        <v>20</v>
      </c>
      <c r="E88" s="44" t="s">
        <v>33</v>
      </c>
      <c r="F88" s="40">
        <v>56</v>
      </c>
      <c r="G88" s="44">
        <v>30</v>
      </c>
      <c r="H88" s="44">
        <f>IFERROR('Automated raw'!$F163+'Automated raw'!$G163,"-")</f>
        <v>156</v>
      </c>
      <c r="I88" s="44">
        <v>182</v>
      </c>
      <c r="J88" s="44">
        <v>77</v>
      </c>
      <c r="K88" s="44">
        <v>13</v>
      </c>
      <c r="L88" s="44">
        <v>413</v>
      </c>
      <c r="M88" s="44">
        <v>1888</v>
      </c>
      <c r="N88" s="44">
        <f>'Automated raw'!$G163/'Automated raw'!$H163</f>
        <v>0.32432432432432434</v>
      </c>
      <c r="O88" s="46">
        <f>IFERROR('Automated raw'!$G163/'Automated raw'!$H163,"incomplete")</f>
        <v>0.32432432432432434</v>
      </c>
      <c r="P88" s="44">
        <f>'Automated raw'!$F163</f>
        <v>96</v>
      </c>
      <c r="Q88" s="47">
        <f>IFERROR('Automated raw'!$P163*'Automated raw'!$L163,0)</f>
        <v>150922</v>
      </c>
      <c r="R88" s="44" t="str">
        <f>IF('Automated raw'!$O163&gt;=60%,"High",IF('Automated raw'!$O163&gt;=30%,"Avg",IF('Automated raw'!$O163&lt;30%,"Dead Stock","Incomplete")))</f>
        <v>Avg</v>
      </c>
      <c r="S88" s="48" t="str">
        <f>TEXT('Automated raw'!$B163,"mmm")</f>
        <v>Sep</v>
      </c>
      <c r="T88" s="83">
        <f>'Automated raw'!$G163*'Automated raw'!$M163</f>
        <v>147120</v>
      </c>
      <c r="U88" s="6">
        <f>IFERROR((Table7[[#This Row],[Stock In(Total)]]+Table7[[#This Row],[In Stock or Remaining]])/2,"-")</f>
        <v>106</v>
      </c>
      <c r="V88" s="93">
        <f>IFERROR(Table7[[#This Row],[Stock_Out]]/Table7[[#This Row],[Avg Inventory]],"-")</f>
        <v>0.28301886792452829</v>
      </c>
      <c r="W88" s="6"/>
      <c r="X88" s="6"/>
      <c r="Y88" s="6"/>
      <c r="Z88" s="6"/>
      <c r="AA88" s="6"/>
      <c r="AB88" s="6"/>
      <c r="AC88" s="6"/>
      <c r="AD88" s="6"/>
      <c r="AE88" s="6"/>
      <c r="AF88" s="6"/>
      <c r="AG88" s="6"/>
      <c r="AH88" s="6"/>
      <c r="AI88" s="6"/>
      <c r="AJ88" s="6"/>
      <c r="AK88" s="6"/>
    </row>
    <row r="89" spans="1:56" x14ac:dyDescent="0.3">
      <c r="A89" s="44" t="s">
        <v>116</v>
      </c>
      <c r="B89" s="45">
        <v>45443</v>
      </c>
      <c r="C89" s="44" t="s">
        <v>16</v>
      </c>
      <c r="D89" s="44" t="s">
        <v>13</v>
      </c>
      <c r="E89" s="44" t="s">
        <v>14</v>
      </c>
      <c r="F89" s="40">
        <v>51</v>
      </c>
      <c r="G89" s="44">
        <v>81</v>
      </c>
      <c r="H89" s="44">
        <f>IFERROR('Automated raw'!$F89+'Automated raw'!$G89,"-")</f>
        <v>132</v>
      </c>
      <c r="I89" s="44">
        <v>93</v>
      </c>
      <c r="J89" s="44">
        <v>38</v>
      </c>
      <c r="K89" s="44">
        <v>6</v>
      </c>
      <c r="L89" s="44">
        <v>1075</v>
      </c>
      <c r="M89" s="44">
        <v>2413</v>
      </c>
      <c r="N89" s="44">
        <f>'Automated raw'!$G89/'Automated raw'!$H89</f>
        <v>0.61363636363636365</v>
      </c>
      <c r="O89" s="46">
        <f>IFERROR('Automated raw'!$G89/'Automated raw'!$H89,"incomplete")</f>
        <v>0.61363636363636365</v>
      </c>
      <c r="P89" s="44">
        <f>'Automated raw'!$F89</f>
        <v>51</v>
      </c>
      <c r="Q89" s="47">
        <f>IFERROR('Automated raw'!$P89*'Automated raw'!$L89,0)</f>
        <v>54825</v>
      </c>
      <c r="R89" s="44" t="str">
        <f>IF('Automated raw'!$O89&gt;=60%,"High",IF('Automated raw'!$O89&gt;=30%,"Avg",IF('Automated raw'!$O89&lt;30%,"Dead Stock","Incomplete")))</f>
        <v>High</v>
      </c>
      <c r="S89" s="48" t="str">
        <f>TEXT('Automated raw'!$B89,"mmm")</f>
        <v>May</v>
      </c>
      <c r="T89" s="83">
        <f>'Automated raw'!$G89*'Automated raw'!$M89</f>
        <v>195453</v>
      </c>
      <c r="U89" s="6">
        <f>IFERROR((Table7[[#This Row],[Stock In(Total)]]+Table7[[#This Row],[In Stock or Remaining]])/2,"-")</f>
        <v>91.5</v>
      </c>
      <c r="V89" s="93">
        <f>IFERROR(Table7[[#This Row],[Stock_Out]]/Table7[[#This Row],[Avg Inventory]],"-")</f>
        <v>0.88524590163934425</v>
      </c>
      <c r="W89" s="6"/>
      <c r="X89" s="6"/>
      <c r="Y89" s="6"/>
      <c r="Z89" s="6"/>
      <c r="AA89" s="6"/>
      <c r="AB89" s="6"/>
      <c r="AC89" s="6"/>
      <c r="AD89" s="6"/>
      <c r="AE89" s="6"/>
      <c r="AF89" s="6"/>
      <c r="AG89" s="6"/>
      <c r="AH89" s="6"/>
      <c r="AI89" s="6"/>
      <c r="AJ89" s="6"/>
      <c r="AK89" s="6"/>
    </row>
    <row r="90" spans="1:56" x14ac:dyDescent="0.3">
      <c r="A90" s="38" t="s">
        <v>117</v>
      </c>
      <c r="B90" s="39">
        <v>45613</v>
      </c>
      <c r="C90" s="38" t="s">
        <v>37</v>
      </c>
      <c r="D90" s="38" t="s">
        <v>13</v>
      </c>
      <c r="E90" s="38" t="s">
        <v>33</v>
      </c>
      <c r="F90" s="40" t="s">
        <v>23</v>
      </c>
      <c r="G90" s="38">
        <v>17</v>
      </c>
      <c r="H90" s="38" t="str">
        <f>IFERROR('Automated raw'!$F90+'Automated raw'!$G90,"-")</f>
        <v>-</v>
      </c>
      <c r="I90" s="38">
        <v>235</v>
      </c>
      <c r="J90" s="38">
        <v>73</v>
      </c>
      <c r="K90" s="38">
        <v>5</v>
      </c>
      <c r="L90" s="38">
        <v>1992</v>
      </c>
      <c r="M90" s="38">
        <v>2468</v>
      </c>
      <c r="N90" s="38" t="e">
        <f>'Automated raw'!$G90/'Automated raw'!$H90</f>
        <v>#VALUE!</v>
      </c>
      <c r="O90" s="49" t="str">
        <f>IFERROR('Automated raw'!$G90/'Automated raw'!$H90,"incomplete")</f>
        <v>incomplete</v>
      </c>
      <c r="P90" s="38" t="str">
        <f>'Automated raw'!$F90</f>
        <v>Not Available</v>
      </c>
      <c r="Q90" s="42">
        <f>IFERROR('Automated raw'!$P90*'Automated raw'!$L90,0)</f>
        <v>0</v>
      </c>
      <c r="R90" s="38" t="str">
        <f>IF('Automated raw'!$O90&gt;=60%,"High",IF('Automated raw'!$O90&gt;=30%,"Avg",IF('Automated raw'!$O90&lt;30%,"Dead Stock","Incomplete")))</f>
        <v>High</v>
      </c>
      <c r="S90" s="43" t="str">
        <f>TEXT('Automated raw'!$B90,"mmm")</f>
        <v>Nov</v>
      </c>
      <c r="T90" s="82">
        <f>'Automated raw'!$G90*'Automated raw'!$M90</f>
        <v>41956</v>
      </c>
      <c r="U90" s="6" t="str">
        <f>IFERROR((Table7[[#This Row],[Stock In(Total)]]+Table7[[#This Row],[In Stock or Remaining]])/2,"-")</f>
        <v>-</v>
      </c>
      <c r="V90" s="93" t="str">
        <f>IFERROR(Table7[[#This Row],[Stock_Out]]/Table7[[#This Row],[Avg Inventory]],"-")</f>
        <v>-</v>
      </c>
      <c r="W90" s="6"/>
      <c r="X90" s="6"/>
      <c r="Y90" s="6"/>
      <c r="Z90" s="6"/>
      <c r="AA90" s="6"/>
      <c r="AB90" s="6"/>
      <c r="AC90" s="6"/>
      <c r="AD90" s="6"/>
      <c r="AE90" s="6"/>
      <c r="AF90" s="6"/>
      <c r="AG90" s="6"/>
      <c r="AH90" s="6"/>
      <c r="AI90" s="6"/>
      <c r="AJ90" s="6"/>
      <c r="AK90" s="6"/>
    </row>
    <row r="91" spans="1:56" x14ac:dyDescent="0.3">
      <c r="A91" s="38" t="s">
        <v>242</v>
      </c>
      <c r="B91" s="39">
        <v>45422</v>
      </c>
      <c r="C91" s="38" t="s">
        <v>16</v>
      </c>
      <c r="D91" s="38" t="s">
        <v>17</v>
      </c>
      <c r="E91" s="38" t="s">
        <v>21</v>
      </c>
      <c r="F91" s="40">
        <v>110</v>
      </c>
      <c r="G91" s="38">
        <v>59</v>
      </c>
      <c r="H91" s="38">
        <f>IFERROR('Automated raw'!$F212+'Automated raw'!$G212,"-")</f>
        <v>234</v>
      </c>
      <c r="I91" s="38">
        <v>118</v>
      </c>
      <c r="J91" s="38">
        <v>34</v>
      </c>
      <c r="K91" s="38">
        <v>4</v>
      </c>
      <c r="L91" s="38">
        <v>1015</v>
      </c>
      <c r="M91" s="38">
        <v>2511</v>
      </c>
      <c r="N91" s="38">
        <f>'Automated raw'!$G212/'Automated raw'!$H212</f>
        <v>0.42222222222222222</v>
      </c>
      <c r="O91" s="41">
        <f>IFERROR('Automated raw'!$G212/'Automated raw'!$H212,"incomplete")</f>
        <v>0.42222222222222222</v>
      </c>
      <c r="P91" s="38">
        <f>'Automated raw'!$F212</f>
        <v>139</v>
      </c>
      <c r="Q91" s="42">
        <f>IFERROR('Automated raw'!$P212*'Automated raw'!$L212,0)</f>
        <v>106245</v>
      </c>
      <c r="R91" s="38" t="str">
        <f>IF('Automated raw'!$O212&gt;=60%,"High",IF('Automated raw'!$O212&gt;=30%,"Avg",IF('Automated raw'!$O212&lt;30%,"Dead Stock","Incomplete")))</f>
        <v>Avg</v>
      </c>
      <c r="S91" s="43" t="str">
        <f>TEXT('Automated raw'!$B212,"mmm")</f>
        <v>Apr</v>
      </c>
      <c r="T91" s="82">
        <f>'Automated raw'!$G212*'Automated raw'!$M212</f>
        <v>155040</v>
      </c>
      <c r="U91" s="6">
        <f>IFERROR((Table7[[#This Row],[Stock In(Total)]]+Table7[[#This Row],[In Stock or Remaining]])/2,"-")</f>
        <v>172</v>
      </c>
      <c r="V91" s="93">
        <f>IFERROR(Table7[[#This Row],[Stock_Out]]/Table7[[#This Row],[Avg Inventory]],"-")</f>
        <v>0.34302325581395349</v>
      </c>
      <c r="W91" s="6"/>
      <c r="X91" s="6"/>
      <c r="Y91" s="6"/>
      <c r="Z91" s="6"/>
      <c r="AA91" s="6"/>
      <c r="AB91" s="6"/>
      <c r="AC91" s="6"/>
      <c r="AD91" s="6"/>
      <c r="AE91" s="6"/>
      <c r="AF91" s="6"/>
      <c r="AG91" s="6"/>
      <c r="AH91" s="6"/>
      <c r="AI91" s="6"/>
      <c r="AJ91" s="6"/>
      <c r="AK91" s="6"/>
    </row>
    <row r="92" spans="1:56" x14ac:dyDescent="0.3">
      <c r="A92" s="38" t="s">
        <v>184</v>
      </c>
      <c r="B92" s="39">
        <v>45429</v>
      </c>
      <c r="C92" s="38" t="s">
        <v>53</v>
      </c>
      <c r="D92" s="38" t="s">
        <v>13</v>
      </c>
      <c r="E92" s="38" t="s">
        <v>33</v>
      </c>
      <c r="F92" s="40">
        <v>80</v>
      </c>
      <c r="G92" s="38">
        <v>43</v>
      </c>
      <c r="H92" s="38">
        <f>IFERROR('Automated raw'!$F154+'Automated raw'!$G154,"-")</f>
        <v>150</v>
      </c>
      <c r="I92" s="38">
        <v>124</v>
      </c>
      <c r="J92" s="38">
        <v>38</v>
      </c>
      <c r="K92" s="38">
        <v>13</v>
      </c>
      <c r="L92" s="38">
        <v>1537</v>
      </c>
      <c r="M92" s="38">
        <v>2089</v>
      </c>
      <c r="N92" s="38">
        <f>'Automated raw'!$G154/'Automated raw'!$H154</f>
        <v>0.36774193548387096</v>
      </c>
      <c r="O92" s="41">
        <f>IFERROR('Automated raw'!$G154/'Automated raw'!$H154,"incomplete")</f>
        <v>0.36774193548387096</v>
      </c>
      <c r="P92" s="38">
        <f>'Automated raw'!$F154</f>
        <v>93</v>
      </c>
      <c r="Q92" s="42">
        <f>IFERROR('Automated raw'!$P154*'Automated raw'!$L154,0)</f>
        <v>167904</v>
      </c>
      <c r="R92" s="38" t="str">
        <f>IF('Automated raw'!$O154&gt;=60%,"High",IF('Automated raw'!$O154&gt;=30%,"Avg",IF('Automated raw'!$O154&lt;30%,"Dead Stock","Incomplete")))</f>
        <v>Avg</v>
      </c>
      <c r="S92" s="43" t="str">
        <f>TEXT('Automated raw'!$B154,"mmm")</f>
        <v>Mar</v>
      </c>
      <c r="T92" s="82">
        <f>'Automated raw'!$G154*'Automated raw'!$M154</f>
        <v>138909</v>
      </c>
      <c r="U92" s="6">
        <f>IFERROR((Table7[[#This Row],[Stock In(Total)]]+Table7[[#This Row],[In Stock or Remaining]])/2,"-")</f>
        <v>115</v>
      </c>
      <c r="V92" s="93">
        <f>IFERROR(Table7[[#This Row],[Stock_Out]]/Table7[[#This Row],[Avg Inventory]],"-")</f>
        <v>0.37391304347826088</v>
      </c>
      <c r="W92" s="6"/>
      <c r="X92" s="6"/>
      <c r="Y92" s="6"/>
      <c r="Z92" s="6"/>
      <c r="AA92" s="6"/>
      <c r="AB92" s="6"/>
      <c r="AC92" s="6"/>
      <c r="AD92" s="6"/>
      <c r="AE92" s="6"/>
      <c r="AF92" s="6"/>
      <c r="AG92" s="6"/>
      <c r="AH92" s="6"/>
      <c r="AI92" s="6"/>
      <c r="AJ92" s="6"/>
      <c r="AK92" s="6"/>
    </row>
    <row r="93" spans="1:56" x14ac:dyDescent="0.3">
      <c r="A93" s="44" t="s">
        <v>120</v>
      </c>
      <c r="B93" s="45">
        <v>45295</v>
      </c>
      <c r="C93" s="44" t="s">
        <v>12</v>
      </c>
      <c r="D93" s="44" t="s">
        <v>13</v>
      </c>
      <c r="E93" s="44" t="s">
        <v>38</v>
      </c>
      <c r="F93" s="40">
        <v>141</v>
      </c>
      <c r="G93" s="44">
        <v>30</v>
      </c>
      <c r="H93" s="44">
        <f>IFERROR('Automated raw'!$F93+'Automated raw'!$G93,"-")</f>
        <v>171</v>
      </c>
      <c r="I93" s="44">
        <v>37</v>
      </c>
      <c r="J93" s="44">
        <v>67</v>
      </c>
      <c r="K93" s="44">
        <v>9</v>
      </c>
      <c r="L93" s="44">
        <v>1746</v>
      </c>
      <c r="M93" s="44">
        <v>2123</v>
      </c>
      <c r="N93" s="44">
        <f>'Automated raw'!$G93/'Automated raw'!$H93</f>
        <v>0.17543859649122806</v>
      </c>
      <c r="O93" s="46">
        <f>IFERROR('Automated raw'!$G93/'Automated raw'!$H93,"incomplete")</f>
        <v>0.17543859649122806</v>
      </c>
      <c r="P93" s="44">
        <f>'Automated raw'!$F93</f>
        <v>141</v>
      </c>
      <c r="Q93" s="47">
        <f>IFERROR('Automated raw'!$P93*'Automated raw'!$L93,0)</f>
        <v>246186</v>
      </c>
      <c r="R93" s="44" t="str">
        <f>IF('Automated raw'!$O93&gt;=60%,"High",IF('Automated raw'!$O93&gt;=30%,"Avg",IF('Automated raw'!$O93&lt;30%,"Dead Stock","Incomplete")))</f>
        <v>Dead Stock</v>
      </c>
      <c r="S93" s="48" t="str">
        <f>TEXT('Automated raw'!$B93,"mmm")</f>
        <v>Jan</v>
      </c>
      <c r="T93" s="83">
        <f>'Automated raw'!$G93*'Automated raw'!$M93</f>
        <v>63690</v>
      </c>
      <c r="U93" s="6">
        <f>IFERROR((Table7[[#This Row],[Stock In(Total)]]+Table7[[#This Row],[In Stock or Remaining]])/2,"-")</f>
        <v>156</v>
      </c>
      <c r="V93" s="93">
        <f>IFERROR(Table7[[#This Row],[Stock_Out]]/Table7[[#This Row],[Avg Inventory]],"-")</f>
        <v>0.19230769230769232</v>
      </c>
      <c r="W93" s="6"/>
      <c r="X93" s="6"/>
      <c r="Y93" s="6"/>
      <c r="Z93" s="6"/>
      <c r="AA93" s="6"/>
      <c r="AB93" s="6"/>
      <c r="AC93" s="6"/>
      <c r="AD93" s="6"/>
      <c r="AE93" s="6"/>
      <c r="AF93" s="6"/>
      <c r="AG93" s="6"/>
      <c r="AH93" s="6"/>
      <c r="AI93" s="6"/>
      <c r="AJ93" s="6"/>
      <c r="AK93" s="6"/>
    </row>
    <row r="94" spans="1:56" x14ac:dyDescent="0.3">
      <c r="A94" s="44" t="s">
        <v>374</v>
      </c>
      <c r="B94" s="45">
        <v>45327</v>
      </c>
      <c r="C94" s="44" t="s">
        <v>26</v>
      </c>
      <c r="D94" s="44" t="s">
        <v>17</v>
      </c>
      <c r="E94" s="44" t="s">
        <v>33</v>
      </c>
      <c r="F94" s="40">
        <v>89</v>
      </c>
      <c r="G94" s="44">
        <v>48</v>
      </c>
      <c r="H94" s="44">
        <f>IFERROR('Automated raw'!$F341+'Automated raw'!$G341,"-")</f>
        <v>76</v>
      </c>
      <c r="I94" s="44">
        <v>72</v>
      </c>
      <c r="J94" s="44">
        <v>47</v>
      </c>
      <c r="K94" s="44">
        <v>14</v>
      </c>
      <c r="L94" s="44">
        <v>686</v>
      </c>
      <c r="M94" s="44">
        <v>923</v>
      </c>
      <c r="N94" s="44">
        <f>'Automated raw'!$G341/'Automated raw'!$H341</f>
        <v>0.16</v>
      </c>
      <c r="O94" s="46">
        <f>IFERROR('Automated raw'!$G341/'Automated raw'!$H341,"incomplete")</f>
        <v>0.16</v>
      </c>
      <c r="P94" s="44">
        <f>'Automated raw'!$F341</f>
        <v>40</v>
      </c>
      <c r="Q94" s="47">
        <f>IFERROR('Automated raw'!$P341*'Automated raw'!$L341,0)</f>
        <v>158544</v>
      </c>
      <c r="R94" s="44" t="str">
        <f>IF('Automated raw'!$O341&gt;=60%,"High",IF('Automated raw'!$O341&gt;=30%,"Avg",IF('Automated raw'!$O341&lt;30%,"Dead Stock","Incomplete")))</f>
        <v>High</v>
      </c>
      <c r="S94" s="48" t="str">
        <f>TEXT('Automated raw'!$B341,"mmm")</f>
        <v>Oct</v>
      </c>
      <c r="T94" s="83">
        <f>'Automated raw'!$G341*'Automated raw'!$M341</f>
        <v>89496</v>
      </c>
      <c r="U94" s="6">
        <f>IFERROR((Table7[[#This Row],[Stock In(Total)]]+Table7[[#This Row],[In Stock or Remaining]])/2,"-")</f>
        <v>82.5</v>
      </c>
      <c r="V94" s="93">
        <f>IFERROR(Table7[[#This Row],[Stock_Out]]/Table7[[#This Row],[Avg Inventory]],"-")</f>
        <v>0.58181818181818179</v>
      </c>
      <c r="W94" s="6"/>
      <c r="X94" s="6"/>
      <c r="Y94" s="6"/>
      <c r="Z94" s="6"/>
      <c r="AA94" s="6"/>
      <c r="AB94" s="6"/>
      <c r="AC94" s="6"/>
      <c r="AD94" s="6"/>
      <c r="AE94" s="6"/>
      <c r="AF94" s="6"/>
      <c r="AG94" s="6"/>
      <c r="AH94" s="6"/>
      <c r="AI94" s="6"/>
      <c r="AJ94" s="6"/>
      <c r="AK94" s="6"/>
    </row>
    <row r="95" spans="1:56" x14ac:dyDescent="0.3">
      <c r="A95" s="44" t="s">
        <v>122</v>
      </c>
      <c r="B95" s="45">
        <v>45488</v>
      </c>
      <c r="C95" s="44" t="s">
        <v>37</v>
      </c>
      <c r="D95" s="44" t="s">
        <v>20</v>
      </c>
      <c r="E95" s="44" t="s">
        <v>21</v>
      </c>
      <c r="F95" s="40">
        <v>28</v>
      </c>
      <c r="G95" s="44">
        <v>74</v>
      </c>
      <c r="H95" s="44">
        <f>IFERROR('Automated raw'!$F95+'Automated raw'!$G95,"-")</f>
        <v>102</v>
      </c>
      <c r="I95" s="44">
        <v>2</v>
      </c>
      <c r="J95" s="44">
        <v>45</v>
      </c>
      <c r="K95" s="44">
        <v>11</v>
      </c>
      <c r="L95" s="44">
        <v>600</v>
      </c>
      <c r="M95" s="44">
        <v>1986</v>
      </c>
      <c r="N95" s="44">
        <f>'Automated raw'!$G95/'Automated raw'!$H95</f>
        <v>0.72549019607843135</v>
      </c>
      <c r="O95" s="46">
        <f>IFERROR('Automated raw'!$G95/'Automated raw'!$H95,"incomplete")</f>
        <v>0.72549019607843135</v>
      </c>
      <c r="P95" s="44">
        <f>'Automated raw'!$F95</f>
        <v>28</v>
      </c>
      <c r="Q95" s="47">
        <f>IFERROR('Automated raw'!$P95*'Automated raw'!$L95,0)</f>
        <v>16800</v>
      </c>
      <c r="R95" s="44" t="str">
        <f>IF('Automated raw'!$O95&gt;=60%,"High",IF('Automated raw'!$O95&gt;=30%,"Avg",IF('Automated raw'!$O95&lt;30%,"Dead Stock","Incomplete")))</f>
        <v>High</v>
      </c>
      <c r="S95" s="48" t="str">
        <f>TEXT('Automated raw'!$B95,"mmm")</f>
        <v>Jul</v>
      </c>
      <c r="T95" s="83">
        <f>'Automated raw'!$G95*'Automated raw'!$M95</f>
        <v>146964</v>
      </c>
      <c r="U95" s="6">
        <f>IFERROR((Table7[[#This Row],[Stock In(Total)]]+Table7[[#This Row],[In Stock or Remaining]])/2,"-")</f>
        <v>65</v>
      </c>
      <c r="V95" s="93">
        <f>IFERROR(Table7[[#This Row],[Stock_Out]]/Table7[[#This Row],[Avg Inventory]],"-")</f>
        <v>1.1384615384615384</v>
      </c>
      <c r="W95" s="6"/>
      <c r="X95" s="6"/>
      <c r="Y95" s="6"/>
      <c r="Z95" s="6"/>
      <c r="AA95" s="6"/>
      <c r="AB95" s="6"/>
      <c r="AC95" s="6"/>
      <c r="AD95" s="6"/>
      <c r="AE95" s="6"/>
      <c r="AF95" s="6"/>
      <c r="AG95" s="6"/>
      <c r="AH95" s="6"/>
      <c r="AI95" s="6"/>
      <c r="AJ95" s="6"/>
      <c r="AK95" s="6"/>
    </row>
    <row r="96" spans="1:56" x14ac:dyDescent="0.3">
      <c r="A96" s="38" t="s">
        <v>123</v>
      </c>
      <c r="B96" s="39">
        <v>45309</v>
      </c>
      <c r="C96" s="38" t="s">
        <v>12</v>
      </c>
      <c r="D96" s="38" t="s">
        <v>20</v>
      </c>
      <c r="E96" s="38" t="s">
        <v>38</v>
      </c>
      <c r="F96" s="40">
        <v>72</v>
      </c>
      <c r="G96" s="38">
        <v>4</v>
      </c>
      <c r="H96" s="38">
        <f>IFERROR('Automated raw'!$F96+'Automated raw'!$G96,"-")</f>
        <v>76</v>
      </c>
      <c r="I96" s="38">
        <v>286</v>
      </c>
      <c r="J96" s="38">
        <v>73</v>
      </c>
      <c r="K96" s="38">
        <v>12</v>
      </c>
      <c r="L96" s="38">
        <v>257</v>
      </c>
      <c r="M96" s="38">
        <v>1490</v>
      </c>
      <c r="N96" s="38">
        <f>'Automated raw'!$G96/'Automated raw'!$H96</f>
        <v>5.2631578947368418E-2</v>
      </c>
      <c r="O96" s="41">
        <f>IFERROR('Automated raw'!$G96/'Automated raw'!$H96,"incomplete")</f>
        <v>5.2631578947368418E-2</v>
      </c>
      <c r="P96" s="38">
        <f>'Automated raw'!$F96</f>
        <v>72</v>
      </c>
      <c r="Q96" s="42">
        <f>IFERROR('Automated raw'!$P96*'Automated raw'!$L96,0)</f>
        <v>18504</v>
      </c>
      <c r="R96" s="38" t="str">
        <f>IF('Automated raw'!$O96&gt;=60%,"High",IF('Automated raw'!$O96&gt;=30%,"Avg",IF('Automated raw'!$O96&lt;30%,"Dead Stock","Incomplete")))</f>
        <v>Dead Stock</v>
      </c>
      <c r="S96" s="43" t="str">
        <f>TEXT('Automated raw'!$B96,"mmm")</f>
        <v>Jan</v>
      </c>
      <c r="T96" s="82">
        <f>'Automated raw'!$G96*'Automated raw'!$M96</f>
        <v>5960</v>
      </c>
      <c r="U96" s="6">
        <f>IFERROR((Table7[[#This Row],[Stock In(Total)]]+Table7[[#This Row],[In Stock or Remaining]])/2,"-")</f>
        <v>74</v>
      </c>
      <c r="V96" s="93">
        <f>IFERROR(Table7[[#This Row],[Stock_Out]]/Table7[[#This Row],[Avg Inventory]],"-")</f>
        <v>5.4054054054054057E-2</v>
      </c>
      <c r="W96" s="6"/>
      <c r="X96" s="6"/>
      <c r="Y96" s="6"/>
      <c r="Z96" s="6"/>
      <c r="AA96" s="6"/>
      <c r="AB96" s="6"/>
      <c r="AC96" s="6"/>
      <c r="AD96" s="6"/>
      <c r="AE96" s="6"/>
      <c r="AF96" s="6"/>
      <c r="AG96" s="6"/>
      <c r="AH96" s="6"/>
      <c r="AI96" s="6"/>
      <c r="AJ96" s="6"/>
      <c r="AK96" s="6"/>
      <c r="AL96" s="1" t="s">
        <v>0</v>
      </c>
      <c r="AM96" s="14" t="s">
        <v>1</v>
      </c>
      <c r="AN96" s="1" t="s">
        <v>2</v>
      </c>
      <c r="AO96" s="1" t="s">
        <v>3</v>
      </c>
      <c r="AP96" s="1" t="s">
        <v>4</v>
      </c>
      <c r="AQ96" s="8" t="s">
        <v>540</v>
      </c>
      <c r="AR96" s="1" t="s">
        <v>5</v>
      </c>
      <c r="AS96" s="1" t="s">
        <v>542</v>
      </c>
      <c r="AT96" s="1" t="s">
        <v>6</v>
      </c>
      <c r="AU96" s="1" t="s">
        <v>7</v>
      </c>
      <c r="AV96" s="1" t="s">
        <v>8</v>
      </c>
      <c r="AW96" s="1" t="s">
        <v>9</v>
      </c>
      <c r="AX96" s="1" t="s">
        <v>10</v>
      </c>
      <c r="AY96" s="1" t="s">
        <v>541</v>
      </c>
      <c r="AZ96" s="2" t="s">
        <v>537</v>
      </c>
      <c r="BA96" s="1" t="s">
        <v>535</v>
      </c>
      <c r="BB96" s="4" t="s">
        <v>536</v>
      </c>
      <c r="BC96" s="1" t="s">
        <v>538</v>
      </c>
      <c r="BD96" s="16" t="s">
        <v>550</v>
      </c>
    </row>
    <row r="97" spans="1:56" x14ac:dyDescent="0.3">
      <c r="A97" s="44" t="s">
        <v>207</v>
      </c>
      <c r="B97" s="45">
        <v>45447</v>
      </c>
      <c r="C97" s="44" t="s">
        <v>26</v>
      </c>
      <c r="D97" s="44" t="s">
        <v>20</v>
      </c>
      <c r="E97" s="44" t="s">
        <v>14</v>
      </c>
      <c r="F97" s="40">
        <v>90</v>
      </c>
      <c r="G97" s="44">
        <v>49</v>
      </c>
      <c r="H97" s="44">
        <f>IFERROR('Automated raw'!$F177+'Automated raw'!$G177,"-")</f>
        <v>59</v>
      </c>
      <c r="I97" s="44">
        <v>267</v>
      </c>
      <c r="J97" s="44">
        <v>44</v>
      </c>
      <c r="K97" s="44">
        <v>13</v>
      </c>
      <c r="L97" s="44">
        <v>847</v>
      </c>
      <c r="M97" s="44">
        <v>2116</v>
      </c>
      <c r="N97" s="44">
        <f>'Automated raw'!$G177/'Automated raw'!$H177</f>
        <v>0.11165048543689321</v>
      </c>
      <c r="O97" s="46">
        <f>IFERROR('Automated raw'!$G177/'Automated raw'!$H177,"incomplete")</f>
        <v>0.11165048543689321</v>
      </c>
      <c r="P97" s="44">
        <f>'Automated raw'!$F177</f>
        <v>36</v>
      </c>
      <c r="Q97" s="47">
        <f>IFERROR('Automated raw'!$P177*'Automated raw'!$L177,0)</f>
        <v>39750</v>
      </c>
      <c r="R97" s="44" t="str">
        <f>IF('Automated raw'!$O177&gt;=60%,"High",IF('Automated raw'!$O177&gt;=30%,"Avg",IF('Automated raw'!$O177&lt;30%,"Dead Stock","Incomplete")))</f>
        <v>Avg</v>
      </c>
      <c r="S97" s="48" t="str">
        <f>TEXT('Automated raw'!$B177,"mmm")</f>
        <v>Jun</v>
      </c>
      <c r="T97" s="83">
        <f>'Automated raw'!$G177*'Automated raw'!$M177</f>
        <v>37053</v>
      </c>
      <c r="U97" s="6">
        <f>IFERROR((Table7[[#This Row],[Stock In(Total)]]+Table7[[#This Row],[In Stock or Remaining]])/2,"-")</f>
        <v>74.5</v>
      </c>
      <c r="V97" s="93">
        <f>IFERROR(Table7[[#This Row],[Stock_Out]]/Table7[[#This Row],[Avg Inventory]],"-")</f>
        <v>0.65771812080536918</v>
      </c>
      <c r="W97" s="6"/>
      <c r="X97" s="6"/>
      <c r="Y97" s="6"/>
      <c r="Z97" s="6"/>
      <c r="AA97" s="6"/>
      <c r="AB97" s="6"/>
      <c r="AC97" s="6"/>
      <c r="AD97" s="6"/>
      <c r="AE97" s="6"/>
      <c r="AF97" s="6"/>
      <c r="AG97" s="6"/>
      <c r="AH97" s="6"/>
      <c r="AI97" s="6"/>
      <c r="AJ97" s="6"/>
      <c r="AK97" s="6"/>
      <c r="AL97" s="26" t="s">
        <v>263</v>
      </c>
      <c r="AM97" s="24">
        <v>45477</v>
      </c>
      <c r="AN97" s="24" t="s">
        <v>19</v>
      </c>
      <c r="AO97" s="24" t="s">
        <v>20</v>
      </c>
      <c r="AP97" s="24" t="s">
        <v>38</v>
      </c>
      <c r="AQ97" s="24">
        <v>148</v>
      </c>
      <c r="AR97" s="24">
        <v>35</v>
      </c>
      <c r="AS97" s="24">
        <v>183</v>
      </c>
      <c r="AT97" s="24">
        <v>30</v>
      </c>
      <c r="AU97" s="24">
        <v>72</v>
      </c>
      <c r="AV97" s="24">
        <v>9</v>
      </c>
      <c r="AW97" s="24">
        <v>1999</v>
      </c>
      <c r="AX97" s="24">
        <v>3447</v>
      </c>
      <c r="AY97" s="24">
        <v>0.19125683060109289</v>
      </c>
      <c r="AZ97" s="24">
        <v>0.19125683060109289</v>
      </c>
      <c r="BA97" s="24">
        <v>148</v>
      </c>
      <c r="BB97" s="24">
        <v>295852</v>
      </c>
      <c r="BC97" s="24" t="s">
        <v>547</v>
      </c>
      <c r="BD97" s="27" t="s">
        <v>556</v>
      </c>
    </row>
    <row r="98" spans="1:56" x14ac:dyDescent="0.3">
      <c r="A98" s="38" t="s">
        <v>230</v>
      </c>
      <c r="B98" s="39">
        <v>45505</v>
      </c>
      <c r="C98" s="38" t="s">
        <v>37</v>
      </c>
      <c r="D98" s="38" t="s">
        <v>20</v>
      </c>
      <c r="E98" s="38" t="s">
        <v>21</v>
      </c>
      <c r="F98" s="40">
        <v>149</v>
      </c>
      <c r="G98" s="38">
        <v>83</v>
      </c>
      <c r="H98" s="38">
        <f>IFERROR('Automated raw'!$F200+'Automated raw'!$G200,"-")</f>
        <v>233</v>
      </c>
      <c r="I98" s="38">
        <v>239</v>
      </c>
      <c r="J98" s="38">
        <v>54</v>
      </c>
      <c r="K98" s="38">
        <v>11</v>
      </c>
      <c r="L98" s="38">
        <v>1869</v>
      </c>
      <c r="M98" s="38">
        <v>3147</v>
      </c>
      <c r="N98" s="38">
        <f>'Automated raw'!$G200/'Automated raw'!$H200</f>
        <v>0.4170403587443946</v>
      </c>
      <c r="O98" s="41">
        <f>IFERROR('Automated raw'!$G200/'Automated raw'!$H200,"incomplete")</f>
        <v>0.4170403587443946</v>
      </c>
      <c r="P98" s="38">
        <f>'Automated raw'!$F200</f>
        <v>140</v>
      </c>
      <c r="Q98" s="42">
        <f>IFERROR('Automated raw'!$P200*'Automated raw'!$L200,0)</f>
        <v>263126</v>
      </c>
      <c r="R98" s="38" t="str">
        <f>IF('Automated raw'!$O200&gt;=60%,"High",IF('Automated raw'!$O200&gt;=30%,"Avg",IF('Automated raw'!$O200&lt;30%,"Dead Stock","Incomplete")))</f>
        <v>Avg</v>
      </c>
      <c r="S98" s="43" t="str">
        <f>TEXT('Automated raw'!$B200,"mmm")</f>
        <v>Apr</v>
      </c>
      <c r="T98" s="82">
        <f>'Automated raw'!$G200*'Automated raw'!$M200</f>
        <v>302436</v>
      </c>
      <c r="U98" s="6">
        <f>IFERROR((Table7[[#This Row],[Stock In(Total)]]+Table7[[#This Row],[In Stock or Remaining]])/2,"-")</f>
        <v>191</v>
      </c>
      <c r="V98" s="93">
        <f>IFERROR(Table7[[#This Row],[Stock_Out]]/Table7[[#This Row],[Avg Inventory]],"-")</f>
        <v>0.43455497382198954</v>
      </c>
      <c r="W98" s="6"/>
      <c r="X98" s="6"/>
      <c r="Y98" s="6"/>
      <c r="Z98" s="6"/>
      <c r="AA98" s="6"/>
      <c r="AB98" s="6"/>
      <c r="AC98" s="6"/>
      <c r="AD98" s="6"/>
      <c r="AE98" s="6"/>
      <c r="AF98" s="6"/>
      <c r="AG98" s="6"/>
      <c r="AH98" s="6"/>
      <c r="AI98" s="6"/>
      <c r="AJ98" s="6"/>
      <c r="AK98" s="6"/>
      <c r="AL98" s="26" t="s">
        <v>495</v>
      </c>
      <c r="AM98" s="24">
        <v>45508</v>
      </c>
      <c r="AN98" s="24" t="s">
        <v>19</v>
      </c>
      <c r="AO98" s="24" t="s">
        <v>13</v>
      </c>
      <c r="AP98" s="24" t="s">
        <v>38</v>
      </c>
      <c r="AQ98" s="24">
        <v>147</v>
      </c>
      <c r="AR98" s="24">
        <v>24</v>
      </c>
      <c r="AS98" s="24">
        <v>171</v>
      </c>
      <c r="AT98" s="24">
        <v>45</v>
      </c>
      <c r="AU98" s="24">
        <v>70</v>
      </c>
      <c r="AV98" s="24">
        <v>15</v>
      </c>
      <c r="AW98" s="24">
        <v>1918</v>
      </c>
      <c r="AX98" s="24">
        <v>2648</v>
      </c>
      <c r="AY98" s="24">
        <v>0.14035087719298245</v>
      </c>
      <c r="AZ98" s="24">
        <v>0.14035087719298245</v>
      </c>
      <c r="BA98" s="24">
        <v>147</v>
      </c>
      <c r="BB98" s="24">
        <v>281946</v>
      </c>
      <c r="BC98" s="24" t="s">
        <v>547</v>
      </c>
      <c r="BD98" s="27" t="s">
        <v>554</v>
      </c>
    </row>
    <row r="99" spans="1:56" x14ac:dyDescent="0.3">
      <c r="A99" s="44" t="s">
        <v>126</v>
      </c>
      <c r="B99" s="45">
        <v>45442</v>
      </c>
      <c r="C99" s="44" t="s">
        <v>26</v>
      </c>
      <c r="D99" s="44" t="s">
        <v>13</v>
      </c>
      <c r="E99" s="44" t="s">
        <v>21</v>
      </c>
      <c r="F99" s="40">
        <v>139</v>
      </c>
      <c r="G99" s="44">
        <v>4</v>
      </c>
      <c r="H99" s="44">
        <f>IFERROR('Automated raw'!$F99+'Automated raw'!$G99,"-")</f>
        <v>143</v>
      </c>
      <c r="I99" s="44">
        <v>204</v>
      </c>
      <c r="J99" s="44">
        <v>44</v>
      </c>
      <c r="K99" s="44">
        <v>14</v>
      </c>
      <c r="L99" s="44">
        <v>1343</v>
      </c>
      <c r="M99" s="44">
        <v>1898</v>
      </c>
      <c r="N99" s="44">
        <f>'Automated raw'!$G99/'Automated raw'!$H99</f>
        <v>2.7972027972027972E-2</v>
      </c>
      <c r="O99" s="46">
        <f>IFERROR('Automated raw'!$G99/'Automated raw'!$H99,"incomplete")</f>
        <v>2.7972027972027972E-2</v>
      </c>
      <c r="P99" s="44">
        <f>'Automated raw'!$F99</f>
        <v>139</v>
      </c>
      <c r="Q99" s="47">
        <f>IFERROR('Automated raw'!$P99*'Automated raw'!$L99,0)</f>
        <v>186677</v>
      </c>
      <c r="R99" s="44" t="str">
        <f>IF('Automated raw'!$O99&gt;=60%,"High",IF('Automated raw'!$O99&gt;=30%,"Avg",IF('Automated raw'!$O99&lt;30%,"Dead Stock","Incomplete")))</f>
        <v>Dead Stock</v>
      </c>
      <c r="S99" s="48" t="str">
        <f>TEXT('Automated raw'!$B99,"mmm")</f>
        <v>May</v>
      </c>
      <c r="T99" s="83">
        <f>'Automated raw'!$G99*'Automated raw'!$M99</f>
        <v>7592</v>
      </c>
      <c r="U99" s="6">
        <f>IFERROR((Table7[[#This Row],[Stock In(Total)]]+Table7[[#This Row],[In Stock or Remaining]])/2,"-")</f>
        <v>141</v>
      </c>
      <c r="V99" s="93">
        <f>IFERROR(Table7[[#This Row],[Stock_Out]]/Table7[[#This Row],[Avg Inventory]],"-")</f>
        <v>2.8368794326241134E-2</v>
      </c>
      <c r="W99" s="6"/>
      <c r="X99" s="6"/>
      <c r="Y99" s="6"/>
      <c r="Z99" s="6"/>
      <c r="AA99" s="6"/>
      <c r="AB99" s="6"/>
      <c r="AC99" s="6"/>
      <c r="AD99" s="6"/>
      <c r="AE99" s="6"/>
      <c r="AF99" s="6"/>
      <c r="AG99" s="6"/>
      <c r="AH99" s="6"/>
      <c r="AI99" s="6"/>
      <c r="AJ99" s="6"/>
      <c r="AK99" s="6"/>
      <c r="AL99" s="26" t="s">
        <v>400</v>
      </c>
      <c r="AM99" s="24">
        <v>45611</v>
      </c>
      <c r="AN99" s="24" t="s">
        <v>35</v>
      </c>
      <c r="AO99" s="24" t="s">
        <v>20</v>
      </c>
      <c r="AP99" s="24" t="s">
        <v>33</v>
      </c>
      <c r="AQ99" s="24">
        <v>146</v>
      </c>
      <c r="AR99" s="24">
        <v>18</v>
      </c>
      <c r="AS99" s="24">
        <v>164</v>
      </c>
      <c r="AT99" s="24">
        <v>40</v>
      </c>
      <c r="AU99" s="24">
        <v>51</v>
      </c>
      <c r="AV99" s="24">
        <v>6</v>
      </c>
      <c r="AW99" s="24">
        <v>1868</v>
      </c>
      <c r="AX99" s="24">
        <v>2725</v>
      </c>
      <c r="AY99" s="24">
        <v>0.10975609756097561</v>
      </c>
      <c r="AZ99" s="24">
        <v>0.10975609756097561</v>
      </c>
      <c r="BA99" s="24">
        <v>146</v>
      </c>
      <c r="BB99" s="24">
        <v>272728</v>
      </c>
      <c r="BC99" s="24" t="s">
        <v>547</v>
      </c>
      <c r="BD99" s="27" t="s">
        <v>564</v>
      </c>
    </row>
    <row r="100" spans="1:56" x14ac:dyDescent="0.3">
      <c r="A100" s="38" t="s">
        <v>127</v>
      </c>
      <c r="B100" s="39">
        <v>45374</v>
      </c>
      <c r="C100" s="38" t="s">
        <v>53</v>
      </c>
      <c r="D100" s="38" t="s">
        <v>13</v>
      </c>
      <c r="E100" s="38" t="s">
        <v>38</v>
      </c>
      <c r="F100" s="40">
        <v>48</v>
      </c>
      <c r="G100" s="38">
        <v>74</v>
      </c>
      <c r="H100" s="38">
        <f>IFERROR('Automated raw'!$F100+'Automated raw'!$G100,"-")</f>
        <v>122</v>
      </c>
      <c r="I100" s="38">
        <v>155</v>
      </c>
      <c r="J100" s="38">
        <v>37</v>
      </c>
      <c r="K100" s="38">
        <v>10</v>
      </c>
      <c r="L100" s="38">
        <v>908</v>
      </c>
      <c r="M100" s="38">
        <v>2375</v>
      </c>
      <c r="N100" s="38">
        <f>'Automated raw'!$G100/'Automated raw'!$H100</f>
        <v>0.60655737704918034</v>
      </c>
      <c r="O100" s="41">
        <f>IFERROR('Automated raw'!$G100/'Automated raw'!$H100,"incomplete")</f>
        <v>0.60655737704918034</v>
      </c>
      <c r="P100" s="38">
        <f>'Automated raw'!$F100</f>
        <v>48</v>
      </c>
      <c r="Q100" s="42">
        <f>IFERROR('Automated raw'!$P100*'Automated raw'!$L100,0)</f>
        <v>43584</v>
      </c>
      <c r="R100" s="38" t="str">
        <f>IF('Automated raw'!$O100&gt;=60%,"High",IF('Automated raw'!$O100&gt;=30%,"Avg",IF('Automated raw'!$O100&lt;30%,"Dead Stock","Incomplete")))</f>
        <v>High</v>
      </c>
      <c r="S100" s="43" t="str">
        <f>TEXT('Automated raw'!$B100,"mmm")</f>
        <v>Mar</v>
      </c>
      <c r="T100" s="82">
        <f>'Automated raw'!$G100*'Automated raw'!$M100</f>
        <v>175750</v>
      </c>
      <c r="U100" s="6">
        <f>IFERROR((Table7[[#This Row],[Stock In(Total)]]+Table7[[#This Row],[In Stock or Remaining]])/2,"-")</f>
        <v>85</v>
      </c>
      <c r="V100" s="93">
        <f>IFERROR(Table7[[#This Row],[Stock_Out]]/Table7[[#This Row],[Avg Inventory]],"-")</f>
        <v>0.87058823529411766</v>
      </c>
      <c r="W100" s="6"/>
      <c r="X100" s="6"/>
      <c r="Y100" s="6"/>
      <c r="Z100" s="6"/>
      <c r="AA100" s="6"/>
      <c r="AB100" s="6"/>
      <c r="AC100" s="6"/>
      <c r="AD100" s="6"/>
      <c r="AE100" s="6"/>
      <c r="AF100" s="6"/>
      <c r="AG100" s="6"/>
      <c r="AH100" s="6"/>
      <c r="AI100" s="6"/>
      <c r="AJ100" s="6"/>
      <c r="AK100" s="6"/>
      <c r="AL100" s="26" t="s">
        <v>375</v>
      </c>
      <c r="AM100" s="24">
        <v>45596</v>
      </c>
      <c r="AN100" s="24" t="s">
        <v>19</v>
      </c>
      <c r="AO100" s="24" t="s">
        <v>13</v>
      </c>
      <c r="AP100" s="24" t="s">
        <v>33</v>
      </c>
      <c r="AQ100" s="24">
        <v>146</v>
      </c>
      <c r="AR100" s="24">
        <v>48</v>
      </c>
      <c r="AS100" s="24">
        <v>194</v>
      </c>
      <c r="AT100" s="24">
        <v>78</v>
      </c>
      <c r="AU100" s="24">
        <v>48</v>
      </c>
      <c r="AV100" s="24">
        <v>5</v>
      </c>
      <c r="AW100" s="24">
        <v>1859</v>
      </c>
      <c r="AX100" s="24">
        <v>2411</v>
      </c>
      <c r="AY100" s="24">
        <v>0.24742268041237114</v>
      </c>
      <c r="AZ100" s="24">
        <v>0.24742268041237114</v>
      </c>
      <c r="BA100" s="24">
        <v>146</v>
      </c>
      <c r="BB100" s="24">
        <v>271414</v>
      </c>
      <c r="BC100" s="24" t="s">
        <v>547</v>
      </c>
      <c r="BD100" s="27" t="s">
        <v>565</v>
      </c>
    </row>
    <row r="101" spans="1:56" x14ac:dyDescent="0.3">
      <c r="A101" s="44" t="s">
        <v>128</v>
      </c>
      <c r="B101" s="45">
        <v>45555</v>
      </c>
      <c r="C101" s="44" t="s">
        <v>37</v>
      </c>
      <c r="D101" s="44" t="s">
        <v>20</v>
      </c>
      <c r="E101" s="44" t="s">
        <v>33</v>
      </c>
      <c r="F101" s="40">
        <v>28</v>
      </c>
      <c r="G101" s="44">
        <v>4</v>
      </c>
      <c r="H101" s="44">
        <f>IFERROR('Automated raw'!$F101+'Automated raw'!$G101,"-")</f>
        <v>32</v>
      </c>
      <c r="I101" s="44">
        <v>278</v>
      </c>
      <c r="J101" s="44">
        <v>62</v>
      </c>
      <c r="K101" s="44">
        <v>11</v>
      </c>
      <c r="L101" s="44">
        <v>1495</v>
      </c>
      <c r="M101" s="44">
        <v>1908</v>
      </c>
      <c r="N101" s="44">
        <f>'Automated raw'!$G101/'Automated raw'!$H101</f>
        <v>0.125</v>
      </c>
      <c r="O101" s="46">
        <f>IFERROR('Automated raw'!$G101/'Automated raw'!$H101,"incomplete")</f>
        <v>0.125</v>
      </c>
      <c r="P101" s="44">
        <f>'Automated raw'!$F101</f>
        <v>28</v>
      </c>
      <c r="Q101" s="47">
        <f>IFERROR('Automated raw'!$P101*'Automated raw'!$L101,0)</f>
        <v>41860</v>
      </c>
      <c r="R101" s="44" t="str">
        <f>IF('Automated raw'!$O101&gt;=60%,"High",IF('Automated raw'!$O101&gt;=30%,"Avg",IF('Automated raw'!$O101&lt;30%,"Dead Stock","Incomplete")))</f>
        <v>Dead Stock</v>
      </c>
      <c r="S101" s="48" t="str">
        <f>TEXT('Automated raw'!$B101,"mmm")</f>
        <v>Sep</v>
      </c>
      <c r="T101" s="83">
        <f>'Automated raw'!$G101*'Automated raw'!$M101</f>
        <v>7632</v>
      </c>
      <c r="U101" s="6">
        <f>IFERROR((Table7[[#This Row],[Stock In(Total)]]+Table7[[#This Row],[In Stock or Remaining]])/2,"-")</f>
        <v>30</v>
      </c>
      <c r="V101" s="93">
        <f>IFERROR(Table7[[#This Row],[Stock_Out]]/Table7[[#This Row],[Avg Inventory]],"-")</f>
        <v>0.13333333333333333</v>
      </c>
      <c r="W101" s="6"/>
      <c r="X101" s="6"/>
      <c r="Y101" s="6"/>
      <c r="Z101" s="6"/>
      <c r="AA101" s="6"/>
      <c r="AB101" s="6"/>
      <c r="AC101" s="6"/>
      <c r="AD101" s="6"/>
      <c r="AE101" s="6"/>
      <c r="AF101" s="6"/>
      <c r="AG101" s="6"/>
      <c r="AH101" s="6"/>
      <c r="AI101" s="6"/>
      <c r="AJ101" s="6"/>
      <c r="AK101" s="6"/>
      <c r="AL101" s="26" t="s">
        <v>237</v>
      </c>
      <c r="AM101" s="24">
        <v>45572</v>
      </c>
      <c r="AN101" s="24" t="s">
        <v>53</v>
      </c>
      <c r="AO101" s="24" t="s">
        <v>20</v>
      </c>
      <c r="AP101" s="24" t="s">
        <v>38</v>
      </c>
      <c r="AQ101" s="24">
        <v>136</v>
      </c>
      <c r="AR101" s="24">
        <v>9</v>
      </c>
      <c r="AS101" s="24">
        <v>145</v>
      </c>
      <c r="AT101" s="24">
        <v>242</v>
      </c>
      <c r="AU101" s="24">
        <v>69</v>
      </c>
      <c r="AV101" s="24">
        <v>10</v>
      </c>
      <c r="AW101" s="24">
        <v>1927</v>
      </c>
      <c r="AX101" s="24">
        <v>2236</v>
      </c>
      <c r="AY101" s="24">
        <v>6.2068965517241378E-2</v>
      </c>
      <c r="AZ101" s="24">
        <v>6.2068965517241378E-2</v>
      </c>
      <c r="BA101" s="24">
        <v>136</v>
      </c>
      <c r="BB101" s="24">
        <v>262072</v>
      </c>
      <c r="BC101" s="24" t="s">
        <v>547</v>
      </c>
      <c r="BD101" s="27" t="s">
        <v>565</v>
      </c>
    </row>
    <row r="102" spans="1:56" x14ac:dyDescent="0.3">
      <c r="A102" s="38" t="s">
        <v>129</v>
      </c>
      <c r="B102" s="39">
        <v>45499</v>
      </c>
      <c r="C102" s="38" t="s">
        <v>30</v>
      </c>
      <c r="D102" s="38" t="s">
        <v>17</v>
      </c>
      <c r="E102" s="38" t="s">
        <v>38</v>
      </c>
      <c r="F102" s="40">
        <v>27</v>
      </c>
      <c r="G102" s="38">
        <v>89</v>
      </c>
      <c r="H102" s="38">
        <f>IFERROR('Automated raw'!$F102+'Automated raw'!$G102,"-")</f>
        <v>116</v>
      </c>
      <c r="I102" s="38">
        <v>54</v>
      </c>
      <c r="J102" s="38">
        <v>72</v>
      </c>
      <c r="K102" s="38">
        <v>11</v>
      </c>
      <c r="L102" s="38">
        <v>1122</v>
      </c>
      <c r="M102" s="38">
        <v>1755</v>
      </c>
      <c r="N102" s="38">
        <f>'Automated raw'!$G102/'Automated raw'!$H102</f>
        <v>0.76724137931034486</v>
      </c>
      <c r="O102" s="41">
        <f>IFERROR('Automated raw'!$G102/'Automated raw'!$H102,"incomplete")</f>
        <v>0.76724137931034486</v>
      </c>
      <c r="P102" s="38">
        <f>'Automated raw'!$F102</f>
        <v>27</v>
      </c>
      <c r="Q102" s="42">
        <f>IFERROR('Automated raw'!$P102*'Automated raw'!$L102,0)</f>
        <v>30294</v>
      </c>
      <c r="R102" s="38" t="str">
        <f>IF('Automated raw'!$O102&gt;=60%,"High",IF('Automated raw'!$O102&gt;=30%,"Avg",IF('Automated raw'!$O102&lt;30%,"Dead Stock","Incomplete")))</f>
        <v>High</v>
      </c>
      <c r="S102" s="43" t="str">
        <f>TEXT('Automated raw'!$B102,"mmm")</f>
        <v>Jul</v>
      </c>
      <c r="T102" s="82">
        <f>'Automated raw'!$G102*'Automated raw'!$M102</f>
        <v>156195</v>
      </c>
      <c r="U102" s="6">
        <f>IFERROR((Table7[[#This Row],[Stock In(Total)]]+Table7[[#This Row],[In Stock or Remaining]])/2,"-")</f>
        <v>71.5</v>
      </c>
      <c r="V102" s="93">
        <f>IFERROR(Table7[[#This Row],[Stock_Out]]/Table7[[#This Row],[Avg Inventory]],"-")</f>
        <v>1.2447552447552448</v>
      </c>
      <c r="W102" s="6"/>
      <c r="X102" s="6"/>
      <c r="Y102" s="6"/>
      <c r="Z102" s="6"/>
      <c r="AA102" s="6"/>
      <c r="AB102" s="6"/>
      <c r="AC102" s="6"/>
      <c r="AD102" s="6"/>
      <c r="AE102" s="6"/>
      <c r="AF102" s="6"/>
      <c r="AG102" s="6"/>
      <c r="AH102" s="6"/>
      <c r="AI102" s="6"/>
      <c r="AJ102" s="6"/>
      <c r="AK102" s="6"/>
      <c r="AL102" s="26" t="s">
        <v>167</v>
      </c>
      <c r="AM102" s="24">
        <v>45569</v>
      </c>
      <c r="AN102" s="24" t="s">
        <v>53</v>
      </c>
      <c r="AO102" s="24" t="s">
        <v>20</v>
      </c>
      <c r="AP102" s="24" t="s">
        <v>14</v>
      </c>
      <c r="AQ102" s="24">
        <v>137</v>
      </c>
      <c r="AR102" s="24">
        <v>22</v>
      </c>
      <c r="AS102" s="24">
        <v>159</v>
      </c>
      <c r="AT102" s="24">
        <v>23</v>
      </c>
      <c r="AU102" s="24">
        <v>61</v>
      </c>
      <c r="AV102" s="24">
        <v>2</v>
      </c>
      <c r="AW102" s="24">
        <v>1822</v>
      </c>
      <c r="AX102" s="24">
        <v>3022</v>
      </c>
      <c r="AY102" s="24">
        <v>0.13836477987421383</v>
      </c>
      <c r="AZ102" s="24">
        <v>0.13836477987421383</v>
      </c>
      <c r="BA102" s="24">
        <v>137</v>
      </c>
      <c r="BB102" s="24">
        <v>249614</v>
      </c>
      <c r="BC102" s="24" t="s">
        <v>547</v>
      </c>
      <c r="BD102" s="27" t="s">
        <v>565</v>
      </c>
    </row>
    <row r="103" spans="1:56" x14ac:dyDescent="0.3">
      <c r="A103" s="44" t="s">
        <v>130</v>
      </c>
      <c r="B103" s="45">
        <v>45620</v>
      </c>
      <c r="C103" s="44" t="s">
        <v>37</v>
      </c>
      <c r="D103" s="44" t="s">
        <v>20</v>
      </c>
      <c r="E103" s="44" t="s">
        <v>14</v>
      </c>
      <c r="F103" s="40">
        <v>79</v>
      </c>
      <c r="G103" s="44">
        <v>15</v>
      </c>
      <c r="H103" s="44">
        <f>IFERROR('Automated raw'!$F103+'Automated raw'!$G103,"-")</f>
        <v>94</v>
      </c>
      <c r="I103" s="44">
        <v>191</v>
      </c>
      <c r="J103" s="44">
        <v>32</v>
      </c>
      <c r="K103" s="44">
        <v>6</v>
      </c>
      <c r="L103" s="44">
        <v>963</v>
      </c>
      <c r="M103" s="44">
        <v>2172</v>
      </c>
      <c r="N103" s="44">
        <f>'Automated raw'!$G103/'Automated raw'!$H103</f>
        <v>0.15957446808510639</v>
      </c>
      <c r="O103" s="46">
        <f>IFERROR('Automated raw'!$G103/'Automated raw'!$H103,"incomplete")</f>
        <v>0.15957446808510639</v>
      </c>
      <c r="P103" s="44">
        <f>'Automated raw'!$F103</f>
        <v>79</v>
      </c>
      <c r="Q103" s="47">
        <f>IFERROR('Automated raw'!$P103*'Automated raw'!$L103,0)</f>
        <v>76077</v>
      </c>
      <c r="R103" s="44" t="str">
        <f>IF('Automated raw'!$O103&gt;=60%,"High",IF('Automated raw'!$O103&gt;=30%,"Avg",IF('Automated raw'!$O103&lt;30%,"Dead Stock","Incomplete")))</f>
        <v>Dead Stock</v>
      </c>
      <c r="S103" s="48" t="str">
        <f>TEXT('Automated raw'!$B103,"mmm")</f>
        <v>Nov</v>
      </c>
      <c r="T103" s="83">
        <f>'Automated raw'!$G103*'Automated raw'!$M103</f>
        <v>32580</v>
      </c>
      <c r="U103" s="6">
        <f>IFERROR((Table7[[#This Row],[Stock In(Total)]]+Table7[[#This Row],[In Stock or Remaining]])/2,"-")</f>
        <v>86.5</v>
      </c>
      <c r="V103" s="93">
        <f>IFERROR(Table7[[#This Row],[Stock_Out]]/Table7[[#This Row],[Avg Inventory]],"-")</f>
        <v>0.17341040462427745</v>
      </c>
      <c r="W103" s="6"/>
      <c r="X103" s="6"/>
      <c r="Y103" s="6"/>
      <c r="Z103" s="6"/>
      <c r="AA103" s="6"/>
      <c r="AB103" s="6"/>
      <c r="AC103" s="6"/>
      <c r="AD103" s="6"/>
      <c r="AE103" s="6"/>
      <c r="AF103" s="6"/>
      <c r="AG103" s="6"/>
      <c r="AH103" s="6"/>
      <c r="AI103" s="6"/>
      <c r="AJ103" s="6"/>
      <c r="AK103" s="6"/>
      <c r="AL103" s="26" t="s">
        <v>486</v>
      </c>
      <c r="AM103" s="24">
        <v>45421</v>
      </c>
      <c r="AN103" s="24" t="s">
        <v>12</v>
      </c>
      <c r="AO103" s="24" t="s">
        <v>20</v>
      </c>
      <c r="AP103" s="24" t="s">
        <v>14</v>
      </c>
      <c r="AQ103" s="24">
        <v>140</v>
      </c>
      <c r="AR103" s="24">
        <v>29</v>
      </c>
      <c r="AS103" s="24">
        <v>169</v>
      </c>
      <c r="AT103" s="24">
        <v>125</v>
      </c>
      <c r="AU103" s="24">
        <v>61</v>
      </c>
      <c r="AV103" s="24">
        <v>7</v>
      </c>
      <c r="AW103" s="24">
        <v>1759</v>
      </c>
      <c r="AX103" s="24">
        <v>1987</v>
      </c>
      <c r="AY103" s="24">
        <v>0.17159763313609466</v>
      </c>
      <c r="AZ103" s="24">
        <v>0.17159763313609466</v>
      </c>
      <c r="BA103" s="24">
        <v>140</v>
      </c>
      <c r="BB103" s="24">
        <v>246260</v>
      </c>
      <c r="BC103" s="24" t="s">
        <v>547</v>
      </c>
      <c r="BD103" s="27" t="s">
        <v>561</v>
      </c>
    </row>
    <row r="104" spans="1:56" x14ac:dyDescent="0.3">
      <c r="A104" s="38" t="s">
        <v>131</v>
      </c>
      <c r="B104" s="39">
        <v>45467</v>
      </c>
      <c r="C104" s="38" t="s">
        <v>30</v>
      </c>
      <c r="D104" s="38" t="s">
        <v>20</v>
      </c>
      <c r="E104" s="38" t="s">
        <v>14</v>
      </c>
      <c r="F104" s="40">
        <v>13</v>
      </c>
      <c r="G104" s="38">
        <v>71</v>
      </c>
      <c r="H104" s="38">
        <f>IFERROR('Automated raw'!$F104+'Automated raw'!$G104,"-")</f>
        <v>84</v>
      </c>
      <c r="I104" s="38">
        <v>187</v>
      </c>
      <c r="J104" s="38">
        <v>48</v>
      </c>
      <c r="K104" s="38">
        <v>2</v>
      </c>
      <c r="L104" s="38">
        <v>1686</v>
      </c>
      <c r="M104" s="38">
        <v>2263</v>
      </c>
      <c r="N104" s="38">
        <f>'Automated raw'!$G104/'Automated raw'!$H104</f>
        <v>0.84523809523809523</v>
      </c>
      <c r="O104" s="41">
        <f>IFERROR('Automated raw'!$G104/'Automated raw'!$H104,"incomplete")</f>
        <v>0.84523809523809523</v>
      </c>
      <c r="P104" s="38">
        <f>'Automated raw'!$F104</f>
        <v>13</v>
      </c>
      <c r="Q104" s="42">
        <f>IFERROR('Automated raw'!$P104*'Automated raw'!$L104,0)</f>
        <v>21918</v>
      </c>
      <c r="R104" s="38" t="str">
        <f>IF('Automated raw'!$O104&gt;=60%,"High",IF('Automated raw'!$O104&gt;=30%,"Avg",IF('Automated raw'!$O104&lt;30%,"Dead Stock","Incomplete")))</f>
        <v>High</v>
      </c>
      <c r="S104" s="43" t="str">
        <f>TEXT('Automated raw'!$B104,"mmm")</f>
        <v>Jun</v>
      </c>
      <c r="T104" s="82">
        <f>'Automated raw'!$G104*'Automated raw'!$M104</f>
        <v>160673</v>
      </c>
      <c r="U104" s="6">
        <f>IFERROR((Table7[[#This Row],[Stock In(Total)]]+Table7[[#This Row],[In Stock or Remaining]])/2,"-")</f>
        <v>48.5</v>
      </c>
      <c r="V104" s="93">
        <f>IFERROR(Table7[[#This Row],[Stock_Out]]/Table7[[#This Row],[Avg Inventory]],"-")</f>
        <v>1.4639175257731958</v>
      </c>
      <c r="W104" s="6"/>
      <c r="X104" s="6"/>
      <c r="Y104" s="6"/>
      <c r="Z104" s="6"/>
      <c r="AA104" s="6"/>
      <c r="AB104" s="6"/>
      <c r="AC104" s="6"/>
      <c r="AD104" s="6"/>
      <c r="AE104" s="6"/>
      <c r="AF104" s="6"/>
      <c r="AG104" s="6"/>
      <c r="AH104" s="6"/>
      <c r="AI104" s="6"/>
      <c r="AJ104" s="6"/>
      <c r="AK104" s="6"/>
      <c r="AL104" s="26" t="s">
        <v>120</v>
      </c>
      <c r="AM104" s="24">
        <v>45295</v>
      </c>
      <c r="AN104" s="24" t="s">
        <v>12</v>
      </c>
      <c r="AO104" s="24" t="s">
        <v>13</v>
      </c>
      <c r="AP104" s="24" t="s">
        <v>38</v>
      </c>
      <c r="AQ104" s="24">
        <v>141</v>
      </c>
      <c r="AR104" s="24">
        <v>30</v>
      </c>
      <c r="AS104" s="24">
        <v>171</v>
      </c>
      <c r="AT104" s="24">
        <v>37</v>
      </c>
      <c r="AU104" s="24">
        <v>67</v>
      </c>
      <c r="AV104" s="24">
        <v>9</v>
      </c>
      <c r="AW104" s="24">
        <v>1746</v>
      </c>
      <c r="AX104" s="24">
        <v>2123</v>
      </c>
      <c r="AY104" s="24">
        <v>0.17543859649122806</v>
      </c>
      <c r="AZ104" s="24">
        <v>0.17543859649122806</v>
      </c>
      <c r="BA104" s="24">
        <v>141</v>
      </c>
      <c r="BB104" s="24">
        <v>246186</v>
      </c>
      <c r="BC104" s="24" t="s">
        <v>547</v>
      </c>
      <c r="BD104" s="27" t="s">
        <v>557</v>
      </c>
    </row>
    <row r="105" spans="1:56" x14ac:dyDescent="0.3">
      <c r="A105" s="38" t="s">
        <v>291</v>
      </c>
      <c r="B105" s="39">
        <v>45312</v>
      </c>
      <c r="C105" s="38" t="s">
        <v>26</v>
      </c>
      <c r="D105" s="38" t="s">
        <v>13</v>
      </c>
      <c r="E105" s="38" t="s">
        <v>21</v>
      </c>
      <c r="F105" s="40">
        <v>61</v>
      </c>
      <c r="G105" s="38">
        <v>34</v>
      </c>
      <c r="H105" s="38">
        <f>IFERROR('Automated raw'!$F260+'Automated raw'!$G260,"-")</f>
        <v>150</v>
      </c>
      <c r="I105" s="38">
        <v>133</v>
      </c>
      <c r="J105" s="38">
        <v>49</v>
      </c>
      <c r="K105" s="38">
        <v>2</v>
      </c>
      <c r="L105" s="38">
        <v>377</v>
      </c>
      <c r="M105" s="38">
        <v>1122</v>
      </c>
      <c r="N105" s="38">
        <f>'Automated raw'!$G260/'Automated raw'!$H260</f>
        <v>0.69473684210526321</v>
      </c>
      <c r="O105" s="41">
        <f>IFERROR('Automated raw'!$G260/'Automated raw'!$H260,"incomplete")</f>
        <v>0.69473684210526321</v>
      </c>
      <c r="P105" s="38">
        <f>'Automated raw'!$F260</f>
        <v>84</v>
      </c>
      <c r="Q105" s="42">
        <f>IFERROR('Automated raw'!$P260*'Automated raw'!$L260,0)</f>
        <v>120170</v>
      </c>
      <c r="R105" s="38" t="str">
        <f>IF('Automated raw'!$O260&gt;=60%,"High",IF('Automated raw'!$O260&gt;=30%,"Avg",IF('Automated raw'!$O260&lt;30%,"Dead Stock","Incomplete")))</f>
        <v>Dead Stock</v>
      </c>
      <c r="S105" s="43" t="str">
        <f>TEXT('Automated raw'!$B260,"mmm")</f>
        <v>Oct</v>
      </c>
      <c r="T105" s="82">
        <f>'Automated raw'!$G260*'Automated raw'!$M260</f>
        <v>212586</v>
      </c>
      <c r="U105" s="6">
        <f>IFERROR((Table7[[#This Row],[Stock In(Total)]]+Table7[[#This Row],[In Stock or Remaining]])/2,"-")</f>
        <v>105.5</v>
      </c>
      <c r="V105" s="93">
        <f>IFERROR(Table7[[#This Row],[Stock_Out]]/Table7[[#This Row],[Avg Inventory]],"-")</f>
        <v>0.32227488151658767</v>
      </c>
      <c r="W105" s="6"/>
      <c r="X105" s="6"/>
      <c r="Y105" s="6"/>
      <c r="Z105" s="6"/>
      <c r="AA105" s="6"/>
      <c r="AB105" s="6"/>
      <c r="AC105" s="6"/>
      <c r="AD105" s="6"/>
      <c r="AE105" s="6"/>
      <c r="AF105" s="6"/>
      <c r="AG105" s="6"/>
      <c r="AH105" s="6"/>
      <c r="AI105" s="6"/>
      <c r="AJ105" s="6"/>
      <c r="AK105" s="6"/>
      <c r="AL105" s="26" t="s">
        <v>383</v>
      </c>
      <c r="AM105" s="24">
        <v>45498</v>
      </c>
      <c r="AN105" s="24" t="s">
        <v>37</v>
      </c>
      <c r="AO105" s="24" t="s">
        <v>13</v>
      </c>
      <c r="AP105" s="24" t="s">
        <v>33</v>
      </c>
      <c r="AQ105" s="24">
        <v>136</v>
      </c>
      <c r="AR105" s="24">
        <v>18</v>
      </c>
      <c r="AS105" s="24">
        <v>154</v>
      </c>
      <c r="AT105" s="24">
        <v>21</v>
      </c>
      <c r="AU105" s="24">
        <v>55</v>
      </c>
      <c r="AV105" s="24">
        <v>4</v>
      </c>
      <c r="AW105" s="24">
        <v>1777</v>
      </c>
      <c r="AX105" s="24">
        <v>2868</v>
      </c>
      <c r="AY105" s="24">
        <v>0.11688311688311688</v>
      </c>
      <c r="AZ105" s="24">
        <v>0.11688311688311688</v>
      </c>
      <c r="BA105" s="24">
        <v>136</v>
      </c>
      <c r="BB105" s="24">
        <v>241672</v>
      </c>
      <c r="BC105" s="24" t="s">
        <v>547</v>
      </c>
      <c r="BD105" s="27" t="s">
        <v>556</v>
      </c>
    </row>
    <row r="106" spans="1:56" x14ac:dyDescent="0.3">
      <c r="A106" s="38" t="s">
        <v>133</v>
      </c>
      <c r="B106" s="39">
        <v>45533</v>
      </c>
      <c r="C106" s="38" t="s">
        <v>12</v>
      </c>
      <c r="D106" s="38" t="s">
        <v>20</v>
      </c>
      <c r="E106" s="38" t="s">
        <v>23</v>
      </c>
      <c r="F106" s="40">
        <v>67</v>
      </c>
      <c r="G106" s="38">
        <v>8</v>
      </c>
      <c r="H106" s="38">
        <f>IFERROR('Automated raw'!$F106+'Automated raw'!$G106,"-")</f>
        <v>75</v>
      </c>
      <c r="I106" s="38">
        <v>48</v>
      </c>
      <c r="J106" s="38">
        <v>64</v>
      </c>
      <c r="K106" s="38">
        <v>8</v>
      </c>
      <c r="L106" s="38">
        <v>517</v>
      </c>
      <c r="M106" s="38">
        <v>1957</v>
      </c>
      <c r="N106" s="38">
        <f>'Automated raw'!$G106/'Automated raw'!$H106</f>
        <v>0.10666666666666667</v>
      </c>
      <c r="O106" s="41">
        <f>IFERROR('Automated raw'!$G106/'Automated raw'!$H106,"incomplete")</f>
        <v>0.10666666666666667</v>
      </c>
      <c r="P106" s="38">
        <f>'Automated raw'!$F106</f>
        <v>67</v>
      </c>
      <c r="Q106" s="42">
        <f>IFERROR('Automated raw'!$P106*'Automated raw'!$L106,0)</f>
        <v>34639</v>
      </c>
      <c r="R106" s="38" t="str">
        <f>IF('Automated raw'!$O106&gt;=60%,"High",IF('Automated raw'!$O106&gt;=30%,"Avg",IF('Automated raw'!$O106&lt;30%,"Dead Stock","Incomplete")))</f>
        <v>Dead Stock</v>
      </c>
      <c r="S106" s="43" t="str">
        <f>TEXT('Automated raw'!$B106,"mmm")</f>
        <v>Aug</v>
      </c>
      <c r="T106" s="82">
        <f>'Automated raw'!$G106*'Automated raw'!$M106</f>
        <v>15656</v>
      </c>
      <c r="U106" s="6">
        <f>IFERROR((Table7[[#This Row],[Stock In(Total)]]+Table7[[#This Row],[In Stock or Remaining]])/2,"-")</f>
        <v>71</v>
      </c>
      <c r="V106" s="93">
        <f>IFERROR(Table7[[#This Row],[Stock_Out]]/Table7[[#This Row],[Avg Inventory]],"-")</f>
        <v>0.11267605633802817</v>
      </c>
      <c r="W106" s="6"/>
      <c r="X106" s="6"/>
      <c r="Y106" s="6"/>
      <c r="Z106" s="6"/>
      <c r="AA106" s="6"/>
      <c r="AB106" s="6"/>
      <c r="AC106" s="6"/>
      <c r="AD106" s="6"/>
      <c r="AE106" s="6"/>
      <c r="AF106" s="6"/>
      <c r="AG106" s="6"/>
      <c r="AH106" s="6"/>
      <c r="AI106" s="6"/>
      <c r="AJ106" s="6"/>
      <c r="AK106" s="6"/>
      <c r="AL106" s="26" t="s">
        <v>65</v>
      </c>
      <c r="AM106" s="24">
        <v>45455</v>
      </c>
      <c r="AN106" s="24" t="s">
        <v>16</v>
      </c>
      <c r="AO106" s="24" t="s">
        <v>20</v>
      </c>
      <c r="AP106" s="24" t="s">
        <v>33</v>
      </c>
      <c r="AQ106" s="24">
        <v>138</v>
      </c>
      <c r="AR106" s="24">
        <v>57</v>
      </c>
      <c r="AS106" s="24">
        <v>195</v>
      </c>
      <c r="AT106" s="24">
        <v>254</v>
      </c>
      <c r="AU106" s="24">
        <v>50</v>
      </c>
      <c r="AV106" s="24">
        <v>11</v>
      </c>
      <c r="AW106" s="24">
        <v>1681</v>
      </c>
      <c r="AX106" s="24">
        <v>3013</v>
      </c>
      <c r="AY106" s="24">
        <v>0.29230769230769232</v>
      </c>
      <c r="AZ106" s="24">
        <v>0.29230769230769232</v>
      </c>
      <c r="BA106" s="24">
        <v>138</v>
      </c>
      <c r="BB106" s="24">
        <v>231978</v>
      </c>
      <c r="BC106" s="24" t="s">
        <v>547</v>
      </c>
      <c r="BD106" s="27" t="s">
        <v>559</v>
      </c>
    </row>
    <row r="107" spans="1:56" x14ac:dyDescent="0.3">
      <c r="A107" s="44" t="s">
        <v>134</v>
      </c>
      <c r="B107" s="45">
        <v>45604</v>
      </c>
      <c r="C107" s="44" t="s">
        <v>12</v>
      </c>
      <c r="D107" s="44" t="s">
        <v>17</v>
      </c>
      <c r="E107" s="44" t="s">
        <v>33</v>
      </c>
      <c r="F107" s="40">
        <v>28</v>
      </c>
      <c r="G107" s="44">
        <v>111</v>
      </c>
      <c r="H107" s="44">
        <f>IFERROR('Automated raw'!$F107+'Automated raw'!$G107,"-")</f>
        <v>139</v>
      </c>
      <c r="I107" s="44">
        <v>185</v>
      </c>
      <c r="J107" s="44">
        <v>45</v>
      </c>
      <c r="K107" s="44">
        <v>8</v>
      </c>
      <c r="L107" s="44">
        <v>272</v>
      </c>
      <c r="M107" s="44">
        <v>907</v>
      </c>
      <c r="N107" s="44">
        <f>'Automated raw'!$G107/'Automated raw'!$H107</f>
        <v>0.79856115107913672</v>
      </c>
      <c r="O107" s="46">
        <f>IFERROR('Automated raw'!$G107/'Automated raw'!$H107,"incomplete")</f>
        <v>0.79856115107913672</v>
      </c>
      <c r="P107" s="44">
        <f>'Automated raw'!$F107</f>
        <v>28</v>
      </c>
      <c r="Q107" s="47">
        <f>IFERROR('Automated raw'!$P107*'Automated raw'!$L107,0)</f>
        <v>7616</v>
      </c>
      <c r="R107" s="44" t="str">
        <f>IF('Automated raw'!$O107&gt;=60%,"High",IF('Automated raw'!$O107&gt;=30%,"Avg",IF('Automated raw'!$O107&lt;30%,"Dead Stock","Incomplete")))</f>
        <v>High</v>
      </c>
      <c r="S107" s="48" t="str">
        <f>TEXT('Automated raw'!$B107,"mmm")</f>
        <v>Nov</v>
      </c>
      <c r="T107" s="83">
        <f>'Automated raw'!$G107*'Automated raw'!$M107</f>
        <v>100677</v>
      </c>
      <c r="U107" s="6">
        <f>IFERROR((Table7[[#This Row],[Stock In(Total)]]+Table7[[#This Row],[In Stock or Remaining]])/2,"-")</f>
        <v>83.5</v>
      </c>
      <c r="V107" s="93">
        <f>IFERROR(Table7[[#This Row],[Stock_Out]]/Table7[[#This Row],[Avg Inventory]],"-")</f>
        <v>1.3293413173652695</v>
      </c>
      <c r="W107" s="6"/>
      <c r="X107" s="6"/>
      <c r="Y107" s="6"/>
      <c r="Z107" s="6"/>
      <c r="AA107" s="6"/>
      <c r="AB107" s="6"/>
      <c r="AC107" s="6"/>
      <c r="AD107" s="6"/>
      <c r="AE107" s="6"/>
      <c r="AF107" s="6"/>
      <c r="AG107" s="6"/>
      <c r="AH107" s="6"/>
      <c r="AI107" s="6"/>
      <c r="AJ107" s="6"/>
      <c r="AK107" s="6"/>
      <c r="AL107" s="26" t="s">
        <v>39</v>
      </c>
      <c r="AM107" s="24">
        <v>45314</v>
      </c>
      <c r="AN107" s="24" t="s">
        <v>30</v>
      </c>
      <c r="AO107" s="24" t="s">
        <v>17</v>
      </c>
      <c r="AP107" s="24" t="s">
        <v>21</v>
      </c>
      <c r="AQ107" s="24">
        <v>128</v>
      </c>
      <c r="AR107" s="24">
        <v>19</v>
      </c>
      <c r="AS107" s="24">
        <v>147</v>
      </c>
      <c r="AT107" s="24">
        <v>143</v>
      </c>
      <c r="AU107" s="24">
        <v>64</v>
      </c>
      <c r="AV107" s="24">
        <v>9</v>
      </c>
      <c r="AW107" s="24">
        <v>1727</v>
      </c>
      <c r="AX107" s="24">
        <v>2198</v>
      </c>
      <c r="AY107" s="24">
        <v>0.12925170068027211</v>
      </c>
      <c r="AZ107" s="24">
        <v>0.12925170068027211</v>
      </c>
      <c r="BA107" s="24">
        <v>128</v>
      </c>
      <c r="BB107" s="24">
        <v>221056</v>
      </c>
      <c r="BC107" s="24" t="s">
        <v>547</v>
      </c>
      <c r="BD107" s="27" t="s">
        <v>557</v>
      </c>
    </row>
    <row r="108" spans="1:56" x14ac:dyDescent="0.3">
      <c r="A108" s="38" t="s">
        <v>417</v>
      </c>
      <c r="B108" s="39">
        <v>45563</v>
      </c>
      <c r="C108" s="38" t="s">
        <v>30</v>
      </c>
      <c r="D108" s="38" t="s">
        <v>20</v>
      </c>
      <c r="E108" s="38" t="s">
        <v>14</v>
      </c>
      <c r="F108" s="40">
        <v>150</v>
      </c>
      <c r="G108" s="38">
        <v>84</v>
      </c>
      <c r="H108" s="38">
        <f>IFERROR('Automated raw'!$F384+'Automated raw'!$G384,"-")</f>
        <v>148</v>
      </c>
      <c r="I108" s="38">
        <v>49</v>
      </c>
      <c r="J108" s="38">
        <v>40</v>
      </c>
      <c r="K108" s="38">
        <v>2</v>
      </c>
      <c r="L108" s="38">
        <v>234</v>
      </c>
      <c r="M108" s="38">
        <v>994</v>
      </c>
      <c r="N108" s="38">
        <f>'Automated raw'!$G384/'Automated raw'!$H384</f>
        <v>0.6198347107438017</v>
      </c>
      <c r="O108" s="41">
        <f>IFERROR('Automated raw'!$G384/'Automated raw'!$H384,"incomplete")</f>
        <v>0.6198347107438017</v>
      </c>
      <c r="P108" s="38">
        <f>'Automated raw'!$F384</f>
        <v>73</v>
      </c>
      <c r="Q108" s="42">
        <f>IFERROR('Automated raw'!$P384*'Automated raw'!$L384,0)</f>
        <v>66139</v>
      </c>
      <c r="R108" s="38" t="str">
        <f>IF('Automated raw'!$O384&gt;=60%,"High",IF('Automated raw'!$O384&gt;=30%,"Avg",IF('Automated raw'!$O384&lt;30%,"Dead Stock","Incomplete")))</f>
        <v>Avg</v>
      </c>
      <c r="S108" s="43" t="str">
        <f>TEXT('Automated raw'!$B384,"mmm")</f>
        <v>Mar</v>
      </c>
      <c r="T108" s="82">
        <f>'Automated raw'!$G384*'Automated raw'!$M384</f>
        <v>190725</v>
      </c>
      <c r="U108" s="6">
        <f>IFERROR((Table7[[#This Row],[Stock In(Total)]]+Table7[[#This Row],[In Stock or Remaining]])/2,"-")</f>
        <v>149</v>
      </c>
      <c r="V108" s="93">
        <f>IFERROR(Table7[[#This Row],[Stock_Out]]/Table7[[#This Row],[Avg Inventory]],"-")</f>
        <v>0.56375838926174493</v>
      </c>
      <c r="W108" s="6"/>
      <c r="X108" s="6"/>
      <c r="Y108" s="6"/>
      <c r="Z108" s="6"/>
      <c r="AA108" s="6"/>
      <c r="AB108" s="6"/>
      <c r="AC108" s="6"/>
      <c r="AD108" s="6"/>
      <c r="AE108" s="6"/>
      <c r="AF108" s="6"/>
      <c r="AG108" s="6"/>
      <c r="AH108" s="6"/>
      <c r="AI108" s="6"/>
      <c r="AJ108" s="6"/>
      <c r="AK108" s="6"/>
      <c r="AL108" s="26" t="s">
        <v>245</v>
      </c>
      <c r="AM108" s="24">
        <v>45399</v>
      </c>
      <c r="AN108" s="24" t="s">
        <v>30</v>
      </c>
      <c r="AO108" s="24" t="s">
        <v>13</v>
      </c>
      <c r="AP108" s="24" t="s">
        <v>14</v>
      </c>
      <c r="AQ108" s="24">
        <v>107</v>
      </c>
      <c r="AR108" s="24">
        <v>40</v>
      </c>
      <c r="AS108" s="24">
        <v>147</v>
      </c>
      <c r="AT108" s="24">
        <v>253</v>
      </c>
      <c r="AU108" s="24">
        <v>53</v>
      </c>
      <c r="AV108" s="24">
        <v>14</v>
      </c>
      <c r="AW108" s="24">
        <v>1960</v>
      </c>
      <c r="AX108" s="24">
        <v>2305</v>
      </c>
      <c r="AY108" s="24">
        <v>0.27210884353741499</v>
      </c>
      <c r="AZ108" s="24">
        <v>0.27210884353741499</v>
      </c>
      <c r="BA108" s="24">
        <v>107</v>
      </c>
      <c r="BB108" s="24">
        <v>209720</v>
      </c>
      <c r="BC108" s="24" t="s">
        <v>547</v>
      </c>
      <c r="BD108" s="27" t="s">
        <v>558</v>
      </c>
    </row>
    <row r="109" spans="1:56" x14ac:dyDescent="0.3">
      <c r="A109" s="44" t="s">
        <v>136</v>
      </c>
      <c r="B109" s="45">
        <v>45643</v>
      </c>
      <c r="C109" s="44" t="s">
        <v>16</v>
      </c>
      <c r="D109" s="44" t="s">
        <v>17</v>
      </c>
      <c r="E109" s="44" t="s">
        <v>21</v>
      </c>
      <c r="F109" s="40">
        <v>25</v>
      </c>
      <c r="G109" s="44">
        <v>97</v>
      </c>
      <c r="H109" s="44">
        <f>IFERROR('Automated raw'!$F109+'Automated raw'!$G109,"-")</f>
        <v>122</v>
      </c>
      <c r="I109" s="44">
        <v>134</v>
      </c>
      <c r="J109" s="44">
        <v>55</v>
      </c>
      <c r="K109" s="44">
        <v>4</v>
      </c>
      <c r="L109" s="44">
        <v>1891</v>
      </c>
      <c r="M109" s="44">
        <v>3233</v>
      </c>
      <c r="N109" s="44">
        <f>'Automated raw'!$G109/'Automated raw'!$H109</f>
        <v>0.79508196721311475</v>
      </c>
      <c r="O109" s="46">
        <f>IFERROR('Automated raw'!$G109/'Automated raw'!$H109,"incomplete")</f>
        <v>0.79508196721311475</v>
      </c>
      <c r="P109" s="44">
        <f>'Automated raw'!$F109</f>
        <v>25</v>
      </c>
      <c r="Q109" s="47">
        <f>IFERROR('Automated raw'!$P109*'Automated raw'!$L109,0)</f>
        <v>47275</v>
      </c>
      <c r="R109" s="44" t="str">
        <f>IF('Automated raw'!$O109&gt;=60%,"High",IF('Automated raw'!$O109&gt;=30%,"Avg",IF('Automated raw'!$O109&lt;30%,"Dead Stock","Incomplete")))</f>
        <v>High</v>
      </c>
      <c r="S109" s="48" t="str">
        <f>TEXT('Automated raw'!$B109,"mmm")</f>
        <v>Dec</v>
      </c>
      <c r="T109" s="83">
        <f>'Automated raw'!$G109*'Automated raw'!$M109</f>
        <v>313601</v>
      </c>
      <c r="U109" s="6">
        <f>IFERROR((Table7[[#This Row],[Stock In(Total)]]+Table7[[#This Row],[In Stock or Remaining]])/2,"-")</f>
        <v>73.5</v>
      </c>
      <c r="V109" s="93">
        <f>IFERROR(Table7[[#This Row],[Stock_Out]]/Table7[[#This Row],[Avg Inventory]],"-")</f>
        <v>1.3197278911564625</v>
      </c>
      <c r="W109" s="6"/>
      <c r="X109" s="6"/>
      <c r="Y109" s="6"/>
      <c r="Z109" s="6"/>
      <c r="AA109" s="6"/>
      <c r="AB109" s="6"/>
      <c r="AC109" s="6"/>
      <c r="AD109" s="6"/>
      <c r="AE109" s="6"/>
      <c r="AF109" s="6"/>
      <c r="AG109" s="6"/>
      <c r="AH109" s="6"/>
      <c r="AI109" s="6"/>
      <c r="AJ109" s="6"/>
      <c r="AK109" s="6"/>
      <c r="AL109" s="26" t="s">
        <v>389</v>
      </c>
      <c r="AM109" s="24">
        <v>45481</v>
      </c>
      <c r="AN109" s="24" t="s">
        <v>37</v>
      </c>
      <c r="AO109" s="24" t="s">
        <v>17</v>
      </c>
      <c r="AP109" s="24" t="s">
        <v>21</v>
      </c>
      <c r="AQ109" s="24">
        <v>141</v>
      </c>
      <c r="AR109" s="24">
        <v>34</v>
      </c>
      <c r="AS109" s="24">
        <v>175</v>
      </c>
      <c r="AT109" s="24">
        <v>243</v>
      </c>
      <c r="AU109" s="24">
        <v>37</v>
      </c>
      <c r="AV109" s="24">
        <v>2</v>
      </c>
      <c r="AW109" s="24">
        <v>1460</v>
      </c>
      <c r="AX109" s="24">
        <v>1891</v>
      </c>
      <c r="AY109" s="24">
        <v>0.19428571428571428</v>
      </c>
      <c r="AZ109" s="24">
        <v>0.19428571428571428</v>
      </c>
      <c r="BA109" s="24">
        <v>141</v>
      </c>
      <c r="BB109" s="24">
        <v>205860</v>
      </c>
      <c r="BC109" s="24" t="s">
        <v>547</v>
      </c>
      <c r="BD109" s="27" t="s">
        <v>556</v>
      </c>
    </row>
    <row r="110" spans="1:56" x14ac:dyDescent="0.3">
      <c r="A110" s="38" t="s">
        <v>301</v>
      </c>
      <c r="B110" s="39">
        <v>45410</v>
      </c>
      <c r="C110" s="38" t="s">
        <v>16</v>
      </c>
      <c r="D110" s="38" t="s">
        <v>17</v>
      </c>
      <c r="E110" s="38" t="s">
        <v>21</v>
      </c>
      <c r="F110" s="40">
        <v>98</v>
      </c>
      <c r="G110" s="38">
        <v>55</v>
      </c>
      <c r="H110" s="38">
        <f>IFERROR('Automated raw'!$F270+'Automated raw'!$G270,"-")</f>
        <v>104</v>
      </c>
      <c r="I110" s="38">
        <v>236</v>
      </c>
      <c r="J110" s="38">
        <v>49</v>
      </c>
      <c r="K110" s="38">
        <v>8</v>
      </c>
      <c r="L110" s="38">
        <v>1162</v>
      </c>
      <c r="M110" s="38">
        <v>2008</v>
      </c>
      <c r="N110" s="38">
        <f>'Automated raw'!$G270/'Automated raw'!$H270</f>
        <v>0.2839506172839506</v>
      </c>
      <c r="O110" s="41">
        <f>IFERROR('Automated raw'!$G270/'Automated raw'!$H270,"incomplete")</f>
        <v>0.2839506172839506</v>
      </c>
      <c r="P110" s="38">
        <f>'Automated raw'!$F270</f>
        <v>58</v>
      </c>
      <c r="Q110" s="42">
        <f>IFERROR('Automated raw'!$P270*'Automated raw'!$L270,0)</f>
        <v>53354</v>
      </c>
      <c r="R110" s="38" t="str">
        <f>IF('Automated raw'!$O270&gt;=60%,"High",IF('Automated raw'!$O270&gt;=30%,"Avg",IF('Automated raw'!$O270&lt;30%,"Dead Stock","Incomplete")))</f>
        <v>Avg</v>
      </c>
      <c r="S110" s="43" t="str">
        <f>TEXT('Automated raw'!$B270,"mmm")</f>
        <v>May</v>
      </c>
      <c r="T110" s="82">
        <f>'Automated raw'!$G270*'Automated raw'!$M270</f>
        <v>70656</v>
      </c>
      <c r="U110" s="6">
        <f>IFERROR((Table7[[#This Row],[Stock In(Total)]]+Table7[[#This Row],[In Stock or Remaining]])/2,"-")</f>
        <v>101</v>
      </c>
      <c r="V110" s="93">
        <f>IFERROR(Table7[[#This Row],[Stock_Out]]/Table7[[#This Row],[Avg Inventory]],"-")</f>
        <v>0.54455445544554459</v>
      </c>
      <c r="W110" s="6"/>
      <c r="X110" s="6"/>
      <c r="Y110" s="6"/>
      <c r="Z110" s="6"/>
      <c r="AA110" s="6"/>
      <c r="AB110" s="6"/>
      <c r="AC110" s="6"/>
      <c r="AD110" s="6"/>
      <c r="AE110" s="6"/>
      <c r="AF110" s="6"/>
      <c r="AG110" s="6"/>
      <c r="AH110" s="6"/>
      <c r="AI110" s="6"/>
      <c r="AJ110" s="6"/>
      <c r="AK110" s="6"/>
      <c r="AL110" s="26" t="s">
        <v>361</v>
      </c>
      <c r="AM110" s="24">
        <v>45530</v>
      </c>
      <c r="AN110" s="24" t="s">
        <v>19</v>
      </c>
      <c r="AO110" s="24" t="s">
        <v>13</v>
      </c>
      <c r="AP110" s="24" t="s">
        <v>14</v>
      </c>
      <c r="AQ110" s="24">
        <v>107</v>
      </c>
      <c r="AR110" s="24">
        <v>36</v>
      </c>
      <c r="AS110" s="24">
        <v>143</v>
      </c>
      <c r="AT110" s="24">
        <v>11</v>
      </c>
      <c r="AU110" s="24">
        <v>66</v>
      </c>
      <c r="AV110" s="24">
        <v>12</v>
      </c>
      <c r="AW110" s="24">
        <v>1893</v>
      </c>
      <c r="AX110" s="24">
        <v>3007</v>
      </c>
      <c r="AY110" s="24">
        <v>0.25174825174825177</v>
      </c>
      <c r="AZ110" s="24">
        <v>0.25174825174825177</v>
      </c>
      <c r="BA110" s="24">
        <v>107</v>
      </c>
      <c r="BB110" s="24">
        <v>202551</v>
      </c>
      <c r="BC110" s="24" t="s">
        <v>547</v>
      </c>
      <c r="BD110" s="27" t="s">
        <v>554</v>
      </c>
    </row>
    <row r="111" spans="1:56" x14ac:dyDescent="0.3">
      <c r="A111" s="38" t="s">
        <v>248</v>
      </c>
      <c r="B111" s="39">
        <v>45490</v>
      </c>
      <c r="C111" s="38" t="s">
        <v>12</v>
      </c>
      <c r="D111" s="38" t="s">
        <v>17</v>
      </c>
      <c r="E111" s="38" t="s">
        <v>23</v>
      </c>
      <c r="F111" s="40">
        <v>48</v>
      </c>
      <c r="G111" s="38">
        <v>27</v>
      </c>
      <c r="H111" s="38">
        <f>IFERROR('Automated raw'!$F218+'Automated raw'!$G218,"-")</f>
        <v>164</v>
      </c>
      <c r="I111" s="38">
        <v>180</v>
      </c>
      <c r="J111" s="38">
        <v>73</v>
      </c>
      <c r="K111" s="38">
        <v>5</v>
      </c>
      <c r="L111" s="38">
        <v>326</v>
      </c>
      <c r="M111" s="38">
        <v>1264</v>
      </c>
      <c r="N111" s="38">
        <f>'Automated raw'!$G218/'Automated raw'!$H218</f>
        <v>0.31904761904761902</v>
      </c>
      <c r="O111" s="41">
        <f>IFERROR('Automated raw'!$G218/'Automated raw'!$H218,"incomplete")</f>
        <v>0.31904761904761902</v>
      </c>
      <c r="P111" s="38">
        <f>'Automated raw'!$F218</f>
        <v>97</v>
      </c>
      <c r="Q111" s="42">
        <f>IFERROR('Automated raw'!$P218*'Automated raw'!$L218,0)</f>
        <v>122850</v>
      </c>
      <c r="R111" s="38" t="str">
        <f>IF('Automated raw'!$O218&gt;=60%,"High",IF('Automated raw'!$O218&gt;=30%,"Avg",IF('Automated raw'!$O218&lt;30%,"Dead Stock","Incomplete")))</f>
        <v>High</v>
      </c>
      <c r="S111" s="43" t="str">
        <f>TEXT('Automated raw'!$B218,"mmm")</f>
        <v>Mar</v>
      </c>
      <c r="T111" s="82">
        <f>'Automated raw'!$G218*'Automated raw'!$M218</f>
        <v>88440</v>
      </c>
      <c r="U111" s="6">
        <f>IFERROR((Table7[[#This Row],[Stock In(Total)]]+Table7[[#This Row],[In Stock or Remaining]])/2,"-")</f>
        <v>106</v>
      </c>
      <c r="V111" s="93">
        <f>IFERROR(Table7[[#This Row],[Stock_Out]]/Table7[[#This Row],[Avg Inventory]],"-")</f>
        <v>0.25471698113207547</v>
      </c>
      <c r="W111" s="6"/>
      <c r="X111" s="6"/>
      <c r="Y111" s="6"/>
      <c r="Z111" s="6"/>
      <c r="AA111" s="6"/>
      <c r="AB111" s="6"/>
      <c r="AC111" s="6"/>
      <c r="AD111" s="6"/>
      <c r="AE111" s="6"/>
      <c r="AF111" s="6"/>
      <c r="AG111" s="6"/>
      <c r="AH111" s="6"/>
      <c r="AI111" s="6"/>
      <c r="AJ111" s="6"/>
      <c r="AK111" s="6"/>
      <c r="AL111" s="26" t="s">
        <v>273</v>
      </c>
      <c r="AM111" s="24">
        <v>45409</v>
      </c>
      <c r="AN111" s="24" t="s">
        <v>37</v>
      </c>
      <c r="AO111" s="24" t="s">
        <v>20</v>
      </c>
      <c r="AP111" s="24" t="s">
        <v>33</v>
      </c>
      <c r="AQ111" s="24">
        <v>121</v>
      </c>
      <c r="AR111" s="24">
        <v>21</v>
      </c>
      <c r="AS111" s="24">
        <v>142</v>
      </c>
      <c r="AT111" s="24">
        <v>227</v>
      </c>
      <c r="AU111" s="24">
        <v>70</v>
      </c>
      <c r="AV111" s="24">
        <v>15</v>
      </c>
      <c r="AW111" s="24">
        <v>1638</v>
      </c>
      <c r="AX111" s="24">
        <v>2179</v>
      </c>
      <c r="AY111" s="24">
        <v>0.14788732394366197</v>
      </c>
      <c r="AZ111" s="24">
        <v>0.14788732394366197</v>
      </c>
      <c r="BA111" s="24">
        <v>121</v>
      </c>
      <c r="BB111" s="24">
        <v>198198</v>
      </c>
      <c r="BC111" s="24" t="s">
        <v>547</v>
      </c>
      <c r="BD111" s="27" t="s">
        <v>558</v>
      </c>
    </row>
    <row r="112" spans="1:56" x14ac:dyDescent="0.3">
      <c r="A112" s="38" t="s">
        <v>139</v>
      </c>
      <c r="B112" s="39">
        <v>45507</v>
      </c>
      <c r="C112" s="38" t="s">
        <v>26</v>
      </c>
      <c r="D112" s="38" t="s">
        <v>13</v>
      </c>
      <c r="E112" s="38" t="s">
        <v>14</v>
      </c>
      <c r="F112" s="40">
        <v>23</v>
      </c>
      <c r="G112" s="38">
        <v>69</v>
      </c>
      <c r="H112" s="38">
        <f>IFERROR('Automated raw'!$F112+'Automated raw'!$G112,"-")</f>
        <v>92</v>
      </c>
      <c r="I112" s="38">
        <v>185</v>
      </c>
      <c r="J112" s="38">
        <v>38</v>
      </c>
      <c r="K112" s="38">
        <v>9</v>
      </c>
      <c r="L112" s="38">
        <v>240</v>
      </c>
      <c r="M112" s="38">
        <v>522</v>
      </c>
      <c r="N112" s="38">
        <f>'Automated raw'!$G112/'Automated raw'!$H112</f>
        <v>0.75</v>
      </c>
      <c r="O112" s="41">
        <f>IFERROR('Automated raw'!$G112/'Automated raw'!$H112,"incomplete")</f>
        <v>0.75</v>
      </c>
      <c r="P112" s="38">
        <f>'Automated raw'!$F112</f>
        <v>23</v>
      </c>
      <c r="Q112" s="42">
        <f>IFERROR('Automated raw'!$P112*'Automated raw'!$L112,0)</f>
        <v>5520</v>
      </c>
      <c r="R112" s="38" t="str">
        <f>IF('Automated raw'!$O112&gt;=60%,"High",IF('Automated raw'!$O112&gt;=30%,"Avg",IF('Automated raw'!$O112&lt;30%,"Dead Stock","Incomplete")))</f>
        <v>High</v>
      </c>
      <c r="S112" s="43" t="str">
        <f>TEXT('Automated raw'!$B112,"mmm")</f>
        <v>Aug</v>
      </c>
      <c r="T112" s="82">
        <f>'Automated raw'!$G112*'Automated raw'!$M112</f>
        <v>36018</v>
      </c>
      <c r="U112" s="6">
        <f>IFERROR((Table7[[#This Row],[Stock In(Total)]]+Table7[[#This Row],[In Stock or Remaining]])/2,"-")</f>
        <v>57.5</v>
      </c>
      <c r="V112" s="93">
        <f>IFERROR(Table7[[#This Row],[Stock_Out]]/Table7[[#This Row],[Avg Inventory]],"-")</f>
        <v>1.2</v>
      </c>
      <c r="W112" s="6"/>
      <c r="X112" s="6"/>
      <c r="Y112" s="6"/>
      <c r="Z112" s="6"/>
      <c r="AA112" s="6"/>
      <c r="AB112" s="6"/>
      <c r="AC112" s="6"/>
      <c r="AD112" s="6"/>
      <c r="AE112" s="6"/>
      <c r="AF112" s="6"/>
      <c r="AG112" s="6"/>
      <c r="AH112" s="6"/>
      <c r="AI112" s="6"/>
      <c r="AJ112" s="6"/>
      <c r="AK112" s="6"/>
      <c r="AL112" s="26" t="s">
        <v>348</v>
      </c>
      <c r="AM112" s="24">
        <v>45466</v>
      </c>
      <c r="AN112" s="24" t="s">
        <v>30</v>
      </c>
      <c r="AO112" s="24" t="s">
        <v>17</v>
      </c>
      <c r="AP112" s="24" t="s">
        <v>38</v>
      </c>
      <c r="AQ112" s="24">
        <v>147</v>
      </c>
      <c r="AR112" s="24">
        <v>61</v>
      </c>
      <c r="AS112" s="24">
        <v>208</v>
      </c>
      <c r="AT112" s="24">
        <v>37</v>
      </c>
      <c r="AU112" s="24">
        <v>55</v>
      </c>
      <c r="AV112" s="24">
        <v>9</v>
      </c>
      <c r="AW112" s="24">
        <v>1346</v>
      </c>
      <c r="AX112" s="24">
        <v>2252</v>
      </c>
      <c r="AY112" s="24">
        <v>0.29326923076923078</v>
      </c>
      <c r="AZ112" s="24">
        <v>0.29326923076923078</v>
      </c>
      <c r="BA112" s="24">
        <v>147</v>
      </c>
      <c r="BB112" s="24">
        <v>197862</v>
      </c>
      <c r="BC112" s="24" t="s">
        <v>547</v>
      </c>
      <c r="BD112" s="27" t="s">
        <v>559</v>
      </c>
    </row>
    <row r="113" spans="1:56" x14ac:dyDescent="0.3">
      <c r="A113" s="44" t="s">
        <v>140</v>
      </c>
      <c r="B113" s="45">
        <v>45599</v>
      </c>
      <c r="C113" s="44" t="s">
        <v>19</v>
      </c>
      <c r="D113" s="44" t="s">
        <v>17</v>
      </c>
      <c r="E113" s="44" t="s">
        <v>38</v>
      </c>
      <c r="F113" s="40">
        <v>20</v>
      </c>
      <c r="G113" s="44">
        <v>88</v>
      </c>
      <c r="H113" s="44">
        <f>IFERROR('Automated raw'!$F113+'Automated raw'!$G113,"-")</f>
        <v>108</v>
      </c>
      <c r="I113" s="44">
        <v>166</v>
      </c>
      <c r="J113" s="44">
        <v>68</v>
      </c>
      <c r="K113" s="44">
        <v>3</v>
      </c>
      <c r="L113" s="44">
        <v>1207</v>
      </c>
      <c r="M113" s="44">
        <v>1635</v>
      </c>
      <c r="N113" s="44">
        <f>'Automated raw'!$G113/'Automated raw'!$H113</f>
        <v>0.81481481481481477</v>
      </c>
      <c r="O113" s="46">
        <f>IFERROR('Automated raw'!$G113/'Automated raw'!$H113,"incomplete")</f>
        <v>0.81481481481481477</v>
      </c>
      <c r="P113" s="44">
        <f>'Automated raw'!$F113</f>
        <v>20</v>
      </c>
      <c r="Q113" s="47">
        <f>IFERROR('Automated raw'!$P113*'Automated raw'!$L113,0)</f>
        <v>24140</v>
      </c>
      <c r="R113" s="44" t="str">
        <f>IF('Automated raw'!$O113&gt;=60%,"High",IF('Automated raw'!$O113&gt;=30%,"Avg",IF('Automated raw'!$O113&lt;30%,"Dead Stock","Incomplete")))</f>
        <v>High</v>
      </c>
      <c r="S113" s="48" t="str">
        <f>TEXT('Automated raw'!$B113,"mmm")</f>
        <v>Nov</v>
      </c>
      <c r="T113" s="83">
        <f>'Automated raw'!$G113*'Automated raw'!$M113</f>
        <v>143880</v>
      </c>
      <c r="U113" s="6">
        <f>IFERROR((Table7[[#This Row],[Stock In(Total)]]+Table7[[#This Row],[In Stock or Remaining]])/2,"-")</f>
        <v>64</v>
      </c>
      <c r="V113" s="93">
        <f>IFERROR(Table7[[#This Row],[Stock_Out]]/Table7[[#This Row],[Avg Inventory]],"-")</f>
        <v>1.375</v>
      </c>
      <c r="W113" s="6"/>
      <c r="X113" s="6"/>
      <c r="Y113" s="6"/>
      <c r="Z113" s="6"/>
      <c r="AA113" s="6"/>
      <c r="AB113" s="6"/>
      <c r="AC113" s="6"/>
      <c r="AD113" s="6"/>
      <c r="AE113" s="6"/>
      <c r="AF113" s="6"/>
      <c r="AG113" s="6"/>
      <c r="AH113" s="6"/>
      <c r="AI113" s="6"/>
      <c r="AJ113" s="6"/>
      <c r="AK113" s="6"/>
      <c r="AL113" s="26" t="s">
        <v>500</v>
      </c>
      <c r="AM113" s="24">
        <v>45339</v>
      </c>
      <c r="AN113" s="24" t="s">
        <v>37</v>
      </c>
      <c r="AO113" s="24" t="s">
        <v>20</v>
      </c>
      <c r="AP113" s="24" t="s">
        <v>38</v>
      </c>
      <c r="AQ113" s="24">
        <v>130</v>
      </c>
      <c r="AR113" s="24">
        <v>5</v>
      </c>
      <c r="AS113" s="24">
        <v>135</v>
      </c>
      <c r="AT113" s="24">
        <v>117</v>
      </c>
      <c r="AU113" s="24">
        <v>32</v>
      </c>
      <c r="AV113" s="24">
        <v>10</v>
      </c>
      <c r="AW113" s="24">
        <v>1518</v>
      </c>
      <c r="AX113" s="24">
        <v>2889</v>
      </c>
      <c r="AY113" s="24">
        <v>3.7037037037037035E-2</v>
      </c>
      <c r="AZ113" s="24">
        <v>3.7037037037037035E-2</v>
      </c>
      <c r="BA113" s="24">
        <v>130</v>
      </c>
      <c r="BB113" s="24">
        <v>197340</v>
      </c>
      <c r="BC113" s="24" t="s">
        <v>547</v>
      </c>
      <c r="BD113" s="27" t="s">
        <v>555</v>
      </c>
    </row>
    <row r="114" spans="1:56" x14ac:dyDescent="0.3">
      <c r="A114" s="44" t="s">
        <v>378</v>
      </c>
      <c r="B114" s="45">
        <v>45645</v>
      </c>
      <c r="C114" s="44" t="s">
        <v>53</v>
      </c>
      <c r="D114" s="44" t="s">
        <v>20</v>
      </c>
      <c r="E114" s="44" t="s">
        <v>33</v>
      </c>
      <c r="F114" s="40">
        <v>135</v>
      </c>
      <c r="G114" s="44">
        <v>76</v>
      </c>
      <c r="H114" s="44">
        <f>IFERROR('Automated raw'!$F345+'Automated raw'!$G345,"-")</f>
        <v>240</v>
      </c>
      <c r="I114" s="44">
        <v>86</v>
      </c>
      <c r="J114" s="44">
        <v>32</v>
      </c>
      <c r="K114" s="44">
        <v>11</v>
      </c>
      <c r="L114" s="44">
        <v>677</v>
      </c>
      <c r="M114" s="44">
        <v>1849</v>
      </c>
      <c r="N114" s="44">
        <f>'Automated raw'!$G345/'Automated raw'!$H345</f>
        <v>0.50666666666666671</v>
      </c>
      <c r="O114" s="46">
        <f>IFERROR('Automated raw'!$G345/'Automated raw'!$H345,"incomplete")</f>
        <v>0.50666666666666671</v>
      </c>
      <c r="P114" s="44">
        <f>'Automated raw'!$F345</f>
        <v>126</v>
      </c>
      <c r="Q114" s="47">
        <f>IFERROR('Automated raw'!$P345*'Automated raw'!$L345,0)</f>
        <v>213210</v>
      </c>
      <c r="R114" s="44" t="str">
        <f>IF('Automated raw'!$O345&gt;=60%,"High",IF('Automated raw'!$O345&gt;=30%,"Avg",IF('Automated raw'!$O345&lt;30%,"Dead Stock","Incomplete")))</f>
        <v>High</v>
      </c>
      <c r="S114" s="48" t="str">
        <f>TEXT('Automated raw'!$B345,"mmm")</f>
        <v>Feb</v>
      </c>
      <c r="T114" s="83">
        <f>'Automated raw'!$G345*'Automated raw'!$M345</f>
        <v>233358</v>
      </c>
      <c r="U114" s="6">
        <f>IFERROR((Table7[[#This Row],[Stock In(Total)]]+Table7[[#This Row],[In Stock or Remaining]])/2,"-")</f>
        <v>187.5</v>
      </c>
      <c r="V114" s="93">
        <f>IFERROR(Table7[[#This Row],[Stock_Out]]/Table7[[#This Row],[Avg Inventory]],"-")</f>
        <v>0.40533333333333332</v>
      </c>
      <c r="W114" s="6"/>
      <c r="X114" s="6"/>
      <c r="Y114" s="6"/>
      <c r="Z114" s="6"/>
      <c r="AA114" s="6"/>
      <c r="AB114" s="6"/>
      <c r="AC114" s="6"/>
      <c r="AD114" s="6"/>
      <c r="AE114" s="6"/>
      <c r="AF114" s="6"/>
      <c r="AG114" s="6"/>
      <c r="AH114" s="6"/>
      <c r="AI114" s="6"/>
      <c r="AJ114" s="6"/>
      <c r="AK114" s="6"/>
      <c r="AL114" s="26" t="s">
        <v>357</v>
      </c>
      <c r="AM114" s="24">
        <v>45533</v>
      </c>
      <c r="AN114" s="24" t="s">
        <v>19</v>
      </c>
      <c r="AO114" s="24" t="s">
        <v>20</v>
      </c>
      <c r="AP114" s="24" t="s">
        <v>33</v>
      </c>
      <c r="AQ114" s="24">
        <v>136</v>
      </c>
      <c r="AR114" s="24">
        <v>7</v>
      </c>
      <c r="AS114" s="24">
        <v>143</v>
      </c>
      <c r="AT114" s="24">
        <v>169</v>
      </c>
      <c r="AU114" s="24">
        <v>37</v>
      </c>
      <c r="AV114" s="24">
        <v>14</v>
      </c>
      <c r="AW114" s="24">
        <v>1426</v>
      </c>
      <c r="AX114" s="24">
        <v>1720</v>
      </c>
      <c r="AY114" s="24">
        <v>4.8951048951048952E-2</v>
      </c>
      <c r="AZ114" s="24">
        <v>4.8951048951048952E-2</v>
      </c>
      <c r="BA114" s="24">
        <v>136</v>
      </c>
      <c r="BB114" s="24">
        <v>193936</v>
      </c>
      <c r="BC114" s="24" t="s">
        <v>547</v>
      </c>
      <c r="BD114" s="27" t="s">
        <v>554</v>
      </c>
    </row>
    <row r="115" spans="1:56" x14ac:dyDescent="0.3">
      <c r="A115" s="44" t="s">
        <v>142</v>
      </c>
      <c r="B115" s="45">
        <v>45401</v>
      </c>
      <c r="C115" s="44" t="s">
        <v>37</v>
      </c>
      <c r="D115" s="44" t="s">
        <v>13</v>
      </c>
      <c r="E115" s="44" t="s">
        <v>33</v>
      </c>
      <c r="F115" s="40">
        <v>87</v>
      </c>
      <c r="G115" s="44">
        <v>49</v>
      </c>
      <c r="H115" s="44">
        <f>IFERROR('Automated raw'!$F115+'Automated raw'!$G115,"-")</f>
        <v>136</v>
      </c>
      <c r="I115" s="44">
        <v>19</v>
      </c>
      <c r="J115" s="44">
        <v>75</v>
      </c>
      <c r="K115" s="44">
        <v>11</v>
      </c>
      <c r="L115" s="44">
        <v>1067</v>
      </c>
      <c r="M115" s="44">
        <v>1408</v>
      </c>
      <c r="N115" s="44">
        <f>'Automated raw'!$G115/'Automated raw'!$H115</f>
        <v>0.36029411764705882</v>
      </c>
      <c r="O115" s="46">
        <f>IFERROR('Automated raw'!$G115/'Automated raw'!$H115,"incomplete")</f>
        <v>0.36029411764705882</v>
      </c>
      <c r="P115" s="44">
        <f>'Automated raw'!$F115</f>
        <v>87</v>
      </c>
      <c r="Q115" s="47">
        <f>IFERROR('Automated raw'!$P115*'Automated raw'!$L115,0)</f>
        <v>92829</v>
      </c>
      <c r="R115" s="44" t="str">
        <f>IF('Automated raw'!$O115&gt;=60%,"High",IF('Automated raw'!$O115&gt;=30%,"Avg",IF('Automated raw'!$O115&lt;30%,"Dead Stock","Incomplete")))</f>
        <v>Avg</v>
      </c>
      <c r="S115" s="48" t="str">
        <f>TEXT('Automated raw'!$B115,"mmm")</f>
        <v>Apr</v>
      </c>
      <c r="T115" s="83">
        <f>'Automated raw'!$G115*'Automated raw'!$M115</f>
        <v>68992</v>
      </c>
      <c r="U115" s="6">
        <f>IFERROR((Table7[[#This Row],[Stock In(Total)]]+Table7[[#This Row],[In Stock or Remaining]])/2,"-")</f>
        <v>111.5</v>
      </c>
      <c r="V115" s="93">
        <f>IFERROR(Table7[[#This Row],[Stock_Out]]/Table7[[#This Row],[Avg Inventory]],"-")</f>
        <v>0.43946188340807174</v>
      </c>
      <c r="W115" s="6"/>
      <c r="X115" s="6"/>
      <c r="Y115" s="6"/>
      <c r="Z115" s="6"/>
      <c r="AA115" s="6"/>
      <c r="AB115" s="6"/>
      <c r="AC115" s="6"/>
      <c r="AD115" s="6"/>
      <c r="AE115" s="6"/>
      <c r="AF115" s="6"/>
      <c r="AG115" s="6"/>
      <c r="AH115" s="6"/>
      <c r="AI115" s="6"/>
      <c r="AJ115" s="6"/>
      <c r="AK115" s="6"/>
      <c r="AL115" s="26" t="s">
        <v>70</v>
      </c>
      <c r="AM115" s="24">
        <v>45541</v>
      </c>
      <c r="AN115" s="24" t="s">
        <v>53</v>
      </c>
      <c r="AO115" s="24" t="s">
        <v>20</v>
      </c>
      <c r="AP115" s="24" t="s">
        <v>33</v>
      </c>
      <c r="AQ115" s="24">
        <v>135</v>
      </c>
      <c r="AR115" s="24">
        <v>35</v>
      </c>
      <c r="AS115" s="24">
        <v>170</v>
      </c>
      <c r="AT115" s="24">
        <v>46</v>
      </c>
      <c r="AU115" s="24">
        <v>32</v>
      </c>
      <c r="AV115" s="24">
        <v>7</v>
      </c>
      <c r="AW115" s="24">
        <v>1421</v>
      </c>
      <c r="AX115" s="24">
        <v>2720</v>
      </c>
      <c r="AY115" s="24">
        <v>0.20588235294117646</v>
      </c>
      <c r="AZ115" s="24">
        <v>0.20588235294117646</v>
      </c>
      <c r="BA115" s="24">
        <v>135</v>
      </c>
      <c r="BB115" s="24">
        <v>191835</v>
      </c>
      <c r="BC115" s="24" t="s">
        <v>547</v>
      </c>
      <c r="BD115" s="27" t="s">
        <v>560</v>
      </c>
    </row>
    <row r="116" spans="1:56" x14ac:dyDescent="0.3">
      <c r="A116" s="44" t="s">
        <v>334</v>
      </c>
      <c r="B116" s="45">
        <v>45473</v>
      </c>
      <c r="C116" s="44" t="s">
        <v>19</v>
      </c>
      <c r="D116" s="44" t="s">
        <v>13</v>
      </c>
      <c r="E116" s="44" t="s">
        <v>33</v>
      </c>
      <c r="F116" s="40">
        <v>118</v>
      </c>
      <c r="G116" s="44">
        <v>67</v>
      </c>
      <c r="H116" s="44">
        <f>IFERROR('Automated raw'!$F301+'Automated raw'!$G301,"-")</f>
        <v>195</v>
      </c>
      <c r="I116" s="44">
        <v>279</v>
      </c>
      <c r="J116" s="44">
        <v>33</v>
      </c>
      <c r="K116" s="44">
        <v>11</v>
      </c>
      <c r="L116" s="44">
        <v>1651</v>
      </c>
      <c r="M116" s="44">
        <v>2186</v>
      </c>
      <c r="N116" s="44">
        <f>'Automated raw'!$G301/'Automated raw'!$H301</f>
        <v>0.58666666666666667</v>
      </c>
      <c r="O116" s="46">
        <f>IFERROR('Automated raw'!$G301/'Automated raw'!$H301,"incomplete")</f>
        <v>0.58666666666666667</v>
      </c>
      <c r="P116" s="44">
        <f>'Automated raw'!$F301</f>
        <v>107</v>
      </c>
      <c r="Q116" s="47">
        <f>IFERROR('Automated raw'!$P301*'Automated raw'!$L301,0)</f>
        <v>23826</v>
      </c>
      <c r="R116" s="44" t="str">
        <f>IF('Automated raw'!$O301&gt;=60%,"High",IF('Automated raw'!$O301&gt;=30%,"Avg",IF('Automated raw'!$O301&lt;30%,"Dead Stock","Incomplete")))</f>
        <v>Avg</v>
      </c>
      <c r="S116" s="48" t="str">
        <f>TEXT('Automated raw'!$B301,"mmm")</f>
        <v>Jul</v>
      </c>
      <c r="T116" s="83">
        <f>'Automated raw'!$G301*'Automated raw'!$M301</f>
        <v>75240</v>
      </c>
      <c r="U116" s="6">
        <f>IFERROR((Table7[[#This Row],[Stock In(Total)]]+Table7[[#This Row],[In Stock or Remaining]])/2,"-")</f>
        <v>156.5</v>
      </c>
      <c r="V116" s="93">
        <f>IFERROR(Table7[[#This Row],[Stock_Out]]/Table7[[#This Row],[Avg Inventory]],"-")</f>
        <v>0.4281150159744409</v>
      </c>
      <c r="W116" s="6"/>
      <c r="X116" s="6"/>
      <c r="Y116" s="6"/>
      <c r="Z116" s="6"/>
      <c r="AA116" s="6"/>
      <c r="AB116" s="6"/>
      <c r="AC116" s="6"/>
      <c r="AD116" s="6"/>
      <c r="AE116" s="6"/>
      <c r="AF116" s="6"/>
      <c r="AG116" s="6"/>
      <c r="AH116" s="6"/>
      <c r="AI116" s="6"/>
      <c r="AJ116" s="6"/>
      <c r="AK116" s="6"/>
      <c r="AL116" s="26" t="s">
        <v>126</v>
      </c>
      <c r="AM116" s="24">
        <v>45442</v>
      </c>
      <c r="AN116" s="24" t="s">
        <v>26</v>
      </c>
      <c r="AO116" s="24" t="s">
        <v>13</v>
      </c>
      <c r="AP116" s="24" t="s">
        <v>21</v>
      </c>
      <c r="AQ116" s="24">
        <v>139</v>
      </c>
      <c r="AR116" s="24">
        <v>4</v>
      </c>
      <c r="AS116" s="24">
        <v>143</v>
      </c>
      <c r="AT116" s="24">
        <v>204</v>
      </c>
      <c r="AU116" s="24">
        <v>44</v>
      </c>
      <c r="AV116" s="24">
        <v>14</v>
      </c>
      <c r="AW116" s="24">
        <v>1343</v>
      </c>
      <c r="AX116" s="24">
        <v>1898</v>
      </c>
      <c r="AY116" s="24">
        <v>2.7972027972027972E-2</v>
      </c>
      <c r="AZ116" s="24">
        <v>2.7972027972027972E-2</v>
      </c>
      <c r="BA116" s="24">
        <v>139</v>
      </c>
      <c r="BB116" s="24">
        <v>186677</v>
      </c>
      <c r="BC116" s="24" t="s">
        <v>547</v>
      </c>
      <c r="BD116" s="27" t="s">
        <v>561</v>
      </c>
    </row>
    <row r="117" spans="1:56" x14ac:dyDescent="0.3">
      <c r="A117" s="44" t="s">
        <v>342</v>
      </c>
      <c r="B117" s="45">
        <v>45369</v>
      </c>
      <c r="C117" s="44" t="s">
        <v>19</v>
      </c>
      <c r="D117" s="44" t="s">
        <v>20</v>
      </c>
      <c r="E117" s="44" t="s">
        <v>23</v>
      </c>
      <c r="F117" s="40">
        <v>142</v>
      </c>
      <c r="G117" s="44">
        <v>81</v>
      </c>
      <c r="H117" s="44">
        <f>IFERROR('Automated raw'!$F309+'Automated raw'!$G309,"-")</f>
        <v>233</v>
      </c>
      <c r="I117" s="44">
        <v>210</v>
      </c>
      <c r="J117" s="44">
        <v>75</v>
      </c>
      <c r="K117" s="44">
        <v>7</v>
      </c>
      <c r="L117" s="44">
        <v>637</v>
      </c>
      <c r="M117" s="44">
        <v>1112</v>
      </c>
      <c r="N117" s="44">
        <f>'Automated raw'!$G309/'Automated raw'!$H309</f>
        <v>1.1263157894736842</v>
      </c>
      <c r="O117" s="46">
        <f>IFERROR('Automated raw'!$G309/'Automated raw'!$H309,"incomplete")</f>
        <v>1.1263157894736842</v>
      </c>
      <c r="P117" s="44">
        <f>'Automated raw'!$F309</f>
        <v>126</v>
      </c>
      <c r="Q117" s="47">
        <f>IFERROR('Automated raw'!$P309*'Automated raw'!$L309,0)</f>
        <v>66192</v>
      </c>
      <c r="R117" s="44" t="str">
        <f>IF('Automated raw'!$O309&gt;=60%,"High",IF('Automated raw'!$O309&gt;=30%,"Avg",IF('Automated raw'!$O309&lt;30%,"Dead Stock","Incomplete")))</f>
        <v>Dead Stock</v>
      </c>
      <c r="S117" s="48" t="str">
        <f>TEXT('Automated raw'!$B309,"mmm")</f>
        <v>Oct</v>
      </c>
      <c r="T117" s="83">
        <f>'Automated raw'!$G309*'Automated raw'!$M309</f>
        <v>210362</v>
      </c>
      <c r="U117" s="6">
        <f>IFERROR((Table7[[#This Row],[Stock In(Total)]]+Table7[[#This Row],[In Stock or Remaining]])/2,"-")</f>
        <v>187.5</v>
      </c>
      <c r="V117" s="93">
        <f>IFERROR(Table7[[#This Row],[Stock_Out]]/Table7[[#This Row],[Avg Inventory]],"-")</f>
        <v>0.432</v>
      </c>
      <c r="W117" s="6"/>
      <c r="X117" s="6"/>
      <c r="Y117" s="6"/>
      <c r="Z117" s="6"/>
      <c r="AA117" s="6"/>
      <c r="AB117" s="6"/>
      <c r="AC117" s="6"/>
      <c r="AD117" s="6"/>
      <c r="AE117" s="6"/>
      <c r="AF117" s="6"/>
      <c r="AG117" s="6"/>
      <c r="AH117" s="6"/>
      <c r="AI117" s="6"/>
      <c r="AJ117" s="6"/>
      <c r="AK117" s="6"/>
      <c r="AL117" s="26" t="s">
        <v>371</v>
      </c>
      <c r="AM117" s="24">
        <v>45486</v>
      </c>
      <c r="AN117" s="24" t="s">
        <v>12</v>
      </c>
      <c r="AO117" s="24" t="s">
        <v>20</v>
      </c>
      <c r="AP117" s="24" t="s">
        <v>21</v>
      </c>
      <c r="AQ117" s="24">
        <v>111</v>
      </c>
      <c r="AR117" s="24">
        <v>31</v>
      </c>
      <c r="AS117" s="24">
        <v>142</v>
      </c>
      <c r="AT117" s="24">
        <v>300</v>
      </c>
      <c r="AU117" s="24">
        <v>69</v>
      </c>
      <c r="AV117" s="24">
        <v>7</v>
      </c>
      <c r="AW117" s="24">
        <v>1652</v>
      </c>
      <c r="AX117" s="24">
        <v>2181</v>
      </c>
      <c r="AY117" s="24">
        <v>0.21830985915492956</v>
      </c>
      <c r="AZ117" s="24">
        <v>0.21830985915492956</v>
      </c>
      <c r="BA117" s="24">
        <v>111</v>
      </c>
      <c r="BB117" s="24">
        <v>183372</v>
      </c>
      <c r="BC117" s="24" t="s">
        <v>547</v>
      </c>
      <c r="BD117" s="27" t="s">
        <v>556</v>
      </c>
    </row>
    <row r="118" spans="1:56" x14ac:dyDescent="0.3">
      <c r="A118" s="38" t="s">
        <v>145</v>
      </c>
      <c r="B118" s="39">
        <v>45416</v>
      </c>
      <c r="C118" s="38" t="s">
        <v>146</v>
      </c>
      <c r="D118" s="38" t="s">
        <v>17</v>
      </c>
      <c r="E118" s="38" t="s">
        <v>21</v>
      </c>
      <c r="F118" s="40">
        <v>28</v>
      </c>
      <c r="G118" s="38">
        <v>92</v>
      </c>
      <c r="H118" s="38">
        <f>IFERROR('Automated raw'!$F118+'Automated raw'!$G118,"-")</f>
        <v>120</v>
      </c>
      <c r="I118" s="38">
        <v>131</v>
      </c>
      <c r="J118" s="38">
        <v>39</v>
      </c>
      <c r="K118" s="38">
        <v>9</v>
      </c>
      <c r="L118" s="38">
        <v>1193</v>
      </c>
      <c r="M118" s="38">
        <v>1349</v>
      </c>
      <c r="N118" s="38">
        <f>'Automated raw'!$G118/'Automated raw'!$H118</f>
        <v>0.76666666666666672</v>
      </c>
      <c r="O118" s="41">
        <f>IFERROR('Automated raw'!$G118/'Automated raw'!$H118,"incomplete")</f>
        <v>0.76666666666666672</v>
      </c>
      <c r="P118" s="38">
        <f>'Automated raw'!$F118</f>
        <v>28</v>
      </c>
      <c r="Q118" s="42">
        <f>IFERROR('Automated raw'!$P118*'Automated raw'!$L118,0)</f>
        <v>33404</v>
      </c>
      <c r="R118" s="38" t="str">
        <f>IF('Automated raw'!$O118&gt;=60%,"High",IF('Automated raw'!$O118&gt;=30%,"Avg",IF('Automated raw'!$O118&lt;30%,"Dead Stock","Incomplete")))</f>
        <v>High</v>
      </c>
      <c r="S118" s="43" t="str">
        <f>TEXT('Automated raw'!$B118,"mmm")</f>
        <v>May</v>
      </c>
      <c r="T118" s="82">
        <f>'Automated raw'!$G118*'Automated raw'!$M118</f>
        <v>124108</v>
      </c>
      <c r="U118" s="6">
        <f>IFERROR((Table7[[#This Row],[Stock In(Total)]]+Table7[[#This Row],[In Stock or Remaining]])/2,"-")</f>
        <v>74</v>
      </c>
      <c r="V118" s="93">
        <f>IFERROR(Table7[[#This Row],[Stock_Out]]/Table7[[#This Row],[Avg Inventory]],"-")</f>
        <v>1.2432432432432432</v>
      </c>
      <c r="W118" s="6"/>
      <c r="X118" s="6"/>
      <c r="Y118" s="6"/>
      <c r="Z118" s="6"/>
      <c r="AA118" s="6"/>
      <c r="AB118" s="6"/>
      <c r="AC118" s="6"/>
      <c r="AD118" s="6"/>
      <c r="AE118" s="6"/>
      <c r="AF118" s="6"/>
      <c r="AG118" s="6"/>
      <c r="AH118" s="6"/>
      <c r="AI118" s="6"/>
      <c r="AJ118" s="6"/>
      <c r="AK118" s="6"/>
      <c r="AL118" s="26" t="s">
        <v>506</v>
      </c>
      <c r="AM118" s="24">
        <v>45304</v>
      </c>
      <c r="AN118" s="24" t="s">
        <v>37</v>
      </c>
      <c r="AO118" s="24" t="s">
        <v>20</v>
      </c>
      <c r="AP118" s="24" t="s">
        <v>14</v>
      </c>
      <c r="AQ118" s="24">
        <v>93</v>
      </c>
      <c r="AR118" s="24">
        <v>21</v>
      </c>
      <c r="AS118" s="24">
        <v>114</v>
      </c>
      <c r="AT118" s="24">
        <v>99</v>
      </c>
      <c r="AU118" s="24">
        <v>31</v>
      </c>
      <c r="AV118" s="24">
        <v>3</v>
      </c>
      <c r="AW118" s="24">
        <v>1957</v>
      </c>
      <c r="AX118" s="24">
        <v>3349</v>
      </c>
      <c r="AY118" s="24">
        <v>0.18421052631578946</v>
      </c>
      <c r="AZ118" s="24">
        <v>0.18421052631578946</v>
      </c>
      <c r="BA118" s="24">
        <v>93</v>
      </c>
      <c r="BB118" s="24">
        <v>182001</v>
      </c>
      <c r="BC118" s="24" t="s">
        <v>547</v>
      </c>
      <c r="BD118" s="27" t="s">
        <v>557</v>
      </c>
    </row>
    <row r="119" spans="1:56" x14ac:dyDescent="0.3">
      <c r="A119" s="44" t="s">
        <v>356</v>
      </c>
      <c r="B119" s="45">
        <v>45470</v>
      </c>
      <c r="C119" s="44" t="s">
        <v>12</v>
      </c>
      <c r="D119" s="44" t="s">
        <v>13</v>
      </c>
      <c r="E119" s="44" t="s">
        <v>21</v>
      </c>
      <c r="F119" s="40">
        <v>117</v>
      </c>
      <c r="G119" s="44">
        <v>67</v>
      </c>
      <c r="H119" s="44">
        <f>IFERROR('Automated raw'!$F323+'Automated raw'!$G323,"-")</f>
        <v>226</v>
      </c>
      <c r="I119" s="44">
        <v>181</v>
      </c>
      <c r="J119" s="44">
        <v>67</v>
      </c>
      <c r="K119" s="44">
        <v>11</v>
      </c>
      <c r="L119" s="44">
        <v>1842</v>
      </c>
      <c r="M119" s="44">
        <v>3128</v>
      </c>
      <c r="N119" s="44">
        <f>'Automated raw'!$G323/'Automated raw'!$H323</f>
        <v>0.5955056179775281</v>
      </c>
      <c r="O119" s="46">
        <f>IFERROR('Automated raw'!$G323/'Automated raw'!$H323,"incomplete")</f>
        <v>0.5955056179775281</v>
      </c>
      <c r="P119" s="44">
        <f>'Automated raw'!$F323</f>
        <v>120</v>
      </c>
      <c r="Q119" s="47">
        <f>IFERROR('Automated raw'!$P323*'Automated raw'!$L323,0)</f>
        <v>158547</v>
      </c>
      <c r="R119" s="44" t="str">
        <f>IF('Automated raw'!$O323&gt;=60%,"High",IF('Automated raw'!$O323&gt;=30%,"Avg",IF('Automated raw'!$O323&lt;30%,"Dead Stock","Incomplete")))</f>
        <v>Dead Stock</v>
      </c>
      <c r="S119" s="48" t="str">
        <f>TEXT('Automated raw'!$B323,"mmm")</f>
        <v>Apr</v>
      </c>
      <c r="T119" s="83">
        <f>'Automated raw'!$G323*'Automated raw'!$M323</f>
        <v>255566</v>
      </c>
      <c r="U119" s="6">
        <f>IFERROR((Table7[[#This Row],[Stock In(Total)]]+Table7[[#This Row],[In Stock or Remaining]])/2,"-")</f>
        <v>171.5</v>
      </c>
      <c r="V119" s="93">
        <f>IFERROR(Table7[[#This Row],[Stock_Out]]/Table7[[#This Row],[Avg Inventory]],"-")</f>
        <v>0.39067055393586003</v>
      </c>
      <c r="W119" s="6"/>
      <c r="X119" s="6"/>
      <c r="Y119" s="6"/>
      <c r="Z119" s="6"/>
      <c r="AA119" s="6"/>
      <c r="AB119" s="6"/>
      <c r="AC119" s="6"/>
      <c r="AD119" s="6"/>
      <c r="AE119" s="6"/>
      <c r="AF119" s="6"/>
      <c r="AG119" s="6"/>
      <c r="AH119" s="6"/>
      <c r="AI119" s="6"/>
      <c r="AJ119" s="6"/>
      <c r="AK119" s="6"/>
      <c r="AL119" s="26" t="s">
        <v>186</v>
      </c>
      <c r="AM119" s="24">
        <v>45580</v>
      </c>
      <c r="AN119" s="24" t="s">
        <v>53</v>
      </c>
      <c r="AO119" s="24" t="s">
        <v>17</v>
      </c>
      <c r="AP119" s="24" t="s">
        <v>33</v>
      </c>
      <c r="AQ119" s="24">
        <v>141</v>
      </c>
      <c r="AR119" s="24">
        <v>6</v>
      </c>
      <c r="AS119" s="24">
        <v>147</v>
      </c>
      <c r="AT119" s="24">
        <v>195</v>
      </c>
      <c r="AU119" s="24">
        <v>47</v>
      </c>
      <c r="AV119" s="24">
        <v>5</v>
      </c>
      <c r="AW119" s="24">
        <v>1277</v>
      </c>
      <c r="AX119" s="24">
        <v>2383</v>
      </c>
      <c r="AY119" s="24">
        <v>4.0816326530612242E-2</v>
      </c>
      <c r="AZ119" s="24">
        <v>4.0816326530612242E-2</v>
      </c>
      <c r="BA119" s="24">
        <v>141</v>
      </c>
      <c r="BB119" s="24">
        <v>180057</v>
      </c>
      <c r="BC119" s="24" t="s">
        <v>547</v>
      </c>
      <c r="BD119" s="27" t="s">
        <v>565</v>
      </c>
    </row>
    <row r="120" spans="1:56" x14ac:dyDescent="0.3">
      <c r="A120" s="44" t="s">
        <v>43</v>
      </c>
      <c r="B120" s="45">
        <v>45585</v>
      </c>
      <c r="C120" s="44" t="s">
        <v>16</v>
      </c>
      <c r="D120" s="44" t="s">
        <v>17</v>
      </c>
      <c r="E120" s="44" t="s">
        <v>33</v>
      </c>
      <c r="F120" s="40">
        <v>68</v>
      </c>
      <c r="G120" s="44">
        <v>39</v>
      </c>
      <c r="H120" s="44">
        <f>IFERROR('Automated raw'!$F19+'Automated raw'!$G19,"-")</f>
        <v>42</v>
      </c>
      <c r="I120" s="44">
        <v>291</v>
      </c>
      <c r="J120" s="44">
        <v>52</v>
      </c>
      <c r="K120" s="44">
        <v>10</v>
      </c>
      <c r="L120" s="44">
        <v>733</v>
      </c>
      <c r="M120" s="44">
        <v>912</v>
      </c>
      <c r="N120" s="44">
        <f>'Automated raw'!$G19/'Automated raw'!$H19</f>
        <v>7.1038251366120214E-2</v>
      </c>
      <c r="O120" s="46">
        <f>IFERROR('Automated raw'!$G19/'Automated raw'!$H19,"incomplete")</f>
        <v>7.1038251366120214E-2</v>
      </c>
      <c r="P120" s="44">
        <f>'Automated raw'!$F19</f>
        <v>29</v>
      </c>
      <c r="Q120" s="47">
        <f>IFERROR('Automated raw'!$P19*'Automated raw'!$L19,0)</f>
        <v>52871</v>
      </c>
      <c r="R120" s="44" t="str">
        <f>IF('Automated raw'!$O19&gt;=60%,"High",IF('Automated raw'!$O19&gt;=30%,"Avg",IF('Automated raw'!$O19&lt;30%,"Dead Stock","Incomplete")))</f>
        <v>Avg</v>
      </c>
      <c r="S120" s="48" t="str">
        <f>TEXT('Automated raw'!$B19,"mmm")</f>
        <v>Jan</v>
      </c>
      <c r="T120" s="83">
        <f>'Automated raw'!$G19*'Automated raw'!$M19</f>
        <v>10465</v>
      </c>
      <c r="U120" s="6">
        <f>IFERROR((Table7[[#This Row],[Stock In(Total)]]+Table7[[#This Row],[In Stock or Remaining]])/2,"-")</f>
        <v>55</v>
      </c>
      <c r="V120" s="93">
        <f>IFERROR(Table7[[#This Row],[Stock_Out]]/Table7[[#This Row],[Avg Inventory]],"-")</f>
        <v>0.70909090909090911</v>
      </c>
      <c r="W120" s="6"/>
      <c r="X120" s="6"/>
      <c r="Y120" s="6"/>
      <c r="Z120" s="6"/>
      <c r="AA120" s="6"/>
      <c r="AB120" s="6"/>
      <c r="AC120" s="6"/>
      <c r="AD120" s="6"/>
      <c r="AE120" s="6"/>
      <c r="AF120" s="6"/>
      <c r="AG120" s="6"/>
      <c r="AH120" s="6"/>
      <c r="AI120" s="6"/>
      <c r="AJ120" s="6"/>
      <c r="AK120" s="6"/>
      <c r="AL120" s="26" t="s">
        <v>520</v>
      </c>
      <c r="AM120" s="24">
        <v>45513</v>
      </c>
      <c r="AN120" s="24" t="s">
        <v>26</v>
      </c>
      <c r="AO120" s="24" t="s">
        <v>13</v>
      </c>
      <c r="AP120" s="24" t="s">
        <v>21</v>
      </c>
      <c r="AQ120" s="24">
        <v>99</v>
      </c>
      <c r="AR120" s="24">
        <v>34</v>
      </c>
      <c r="AS120" s="24">
        <v>133</v>
      </c>
      <c r="AT120" s="24">
        <v>129</v>
      </c>
      <c r="AU120" s="24">
        <v>77</v>
      </c>
      <c r="AV120" s="24">
        <v>2</v>
      </c>
      <c r="AW120" s="24">
        <v>1818</v>
      </c>
      <c r="AX120" s="24">
        <v>2883</v>
      </c>
      <c r="AY120" s="24">
        <v>0.25563909774436089</v>
      </c>
      <c r="AZ120" s="24">
        <v>0.25563909774436089</v>
      </c>
      <c r="BA120" s="24">
        <v>99</v>
      </c>
      <c r="BB120" s="24">
        <v>179982</v>
      </c>
      <c r="BC120" s="24" t="s">
        <v>547</v>
      </c>
      <c r="BD120" s="27" t="s">
        <v>554</v>
      </c>
    </row>
    <row r="121" spans="1:56" x14ac:dyDescent="0.3">
      <c r="A121" s="38" t="s">
        <v>115</v>
      </c>
      <c r="B121" s="39">
        <v>45454</v>
      </c>
      <c r="C121" s="38" t="s">
        <v>45</v>
      </c>
      <c r="D121" s="38" t="s">
        <v>20</v>
      </c>
      <c r="E121" s="38" t="s">
        <v>21</v>
      </c>
      <c r="F121" s="40">
        <v>113</v>
      </c>
      <c r="G121" s="38">
        <v>65</v>
      </c>
      <c r="H121" s="38">
        <f>IFERROR('Automated raw'!$F88+'Automated raw'!$G88,"-")</f>
        <v>86</v>
      </c>
      <c r="I121" s="38">
        <v>62</v>
      </c>
      <c r="J121" s="38">
        <v>73</v>
      </c>
      <c r="K121" s="38">
        <v>3</v>
      </c>
      <c r="L121" s="38">
        <v>226</v>
      </c>
      <c r="M121" s="38">
        <v>847</v>
      </c>
      <c r="N121" s="38">
        <f>'Automated raw'!$G88/'Automated raw'!$H88</f>
        <v>0.19230769230769232</v>
      </c>
      <c r="O121" s="41">
        <f>IFERROR('Automated raw'!$G88/'Automated raw'!$H88,"incomplete")</f>
        <v>0.19230769230769232</v>
      </c>
      <c r="P121" s="38">
        <f>'Automated raw'!$F88</f>
        <v>56</v>
      </c>
      <c r="Q121" s="42">
        <f>IFERROR('Automated raw'!$P88*'Automated raw'!$L88,0)</f>
        <v>39648</v>
      </c>
      <c r="R121" s="38" t="str">
        <f>IF('Automated raw'!$O88&gt;=60%,"High",IF('Automated raw'!$O88&gt;=30%,"Avg",IF('Automated raw'!$O88&lt;30%,"Dead Stock","Incomplete")))</f>
        <v>Avg</v>
      </c>
      <c r="S121" s="43" t="str">
        <f>TEXT('Automated raw'!$B88,"mmm")</f>
        <v>May</v>
      </c>
      <c r="T121" s="82">
        <f>'Automated raw'!$G88*'Automated raw'!$M88</f>
        <v>56640</v>
      </c>
      <c r="U121" s="6">
        <f>IFERROR((Table7[[#This Row],[Stock In(Total)]]+Table7[[#This Row],[In Stock or Remaining]])/2,"-")</f>
        <v>99.5</v>
      </c>
      <c r="V121" s="93">
        <f>IFERROR(Table7[[#This Row],[Stock_Out]]/Table7[[#This Row],[Avg Inventory]],"-")</f>
        <v>0.65326633165829151</v>
      </c>
      <c r="W121" s="6"/>
      <c r="X121" s="6"/>
      <c r="Y121" s="6"/>
      <c r="Z121" s="6"/>
      <c r="AA121" s="6"/>
      <c r="AB121" s="6"/>
      <c r="AC121" s="6"/>
      <c r="AD121" s="6"/>
      <c r="AE121" s="6"/>
      <c r="AF121" s="6"/>
      <c r="AG121" s="6"/>
      <c r="AH121" s="6"/>
      <c r="AI121" s="6"/>
      <c r="AJ121" s="6"/>
      <c r="AK121" s="6"/>
      <c r="AL121" s="26" t="s">
        <v>27</v>
      </c>
      <c r="AM121" s="24">
        <v>45334</v>
      </c>
      <c r="AN121" s="24" t="s">
        <v>12</v>
      </c>
      <c r="AO121" s="24" t="s">
        <v>20</v>
      </c>
      <c r="AP121" s="24" t="s">
        <v>21</v>
      </c>
      <c r="AQ121" s="24">
        <v>102</v>
      </c>
      <c r="AR121" s="24">
        <v>27</v>
      </c>
      <c r="AS121" s="24">
        <v>129</v>
      </c>
      <c r="AT121" s="24">
        <v>199</v>
      </c>
      <c r="AU121" s="24">
        <v>80</v>
      </c>
      <c r="AV121" s="24">
        <v>4</v>
      </c>
      <c r="AW121" s="24">
        <v>1651</v>
      </c>
      <c r="AX121" s="24">
        <v>2194</v>
      </c>
      <c r="AY121" s="24">
        <v>0.20930232558139536</v>
      </c>
      <c r="AZ121" s="24">
        <v>0.20930232558139536</v>
      </c>
      <c r="BA121" s="24">
        <v>102</v>
      </c>
      <c r="BB121" s="24">
        <v>168402</v>
      </c>
      <c r="BC121" s="24" t="s">
        <v>547</v>
      </c>
      <c r="BD121" s="27" t="s">
        <v>555</v>
      </c>
    </row>
    <row r="122" spans="1:56" x14ac:dyDescent="0.3">
      <c r="A122" s="44" t="s">
        <v>482</v>
      </c>
      <c r="B122" s="45">
        <v>45652</v>
      </c>
      <c r="C122" s="44" t="s">
        <v>37</v>
      </c>
      <c r="D122" s="44" t="s">
        <v>13</v>
      </c>
      <c r="E122" s="44" t="s">
        <v>21</v>
      </c>
      <c r="F122" s="40">
        <v>139</v>
      </c>
      <c r="G122" s="44">
        <v>80</v>
      </c>
      <c r="H122" s="44">
        <f>IFERROR('Automated raw'!$F449+'Automated raw'!$G449,"-")</f>
        <v>197</v>
      </c>
      <c r="I122" s="44">
        <v>99</v>
      </c>
      <c r="J122" s="44">
        <v>51</v>
      </c>
      <c r="K122" s="44">
        <v>14</v>
      </c>
      <c r="L122" s="44">
        <v>326</v>
      </c>
      <c r="M122" s="44">
        <v>767</v>
      </c>
      <c r="N122" s="44">
        <f>'Automated raw'!$G449/'Automated raw'!$H449</f>
        <v>1.1122448979591837</v>
      </c>
      <c r="O122" s="46">
        <f>IFERROR('Automated raw'!$G449/'Automated raw'!$H449,"incomplete")</f>
        <v>1.1122448979591837</v>
      </c>
      <c r="P122" s="44">
        <f>'Automated raw'!$F449</f>
        <v>88</v>
      </c>
      <c r="Q122" s="47">
        <f>IFERROR('Automated raw'!$P449*'Automated raw'!$L449,0)</f>
        <v>74307</v>
      </c>
      <c r="R122" s="44" t="str">
        <f>IF('Automated raw'!$O449&gt;=60%,"High",IF('Automated raw'!$O449&gt;=30%,"Avg",IF('Automated raw'!$O449&lt;30%,"Dead Stock","Incomplete")))</f>
        <v>Dead Stock</v>
      </c>
      <c r="S122" s="48" t="str">
        <f>TEXT('Automated raw'!$B449,"mmm")</f>
        <v>Dec</v>
      </c>
      <c r="T122" s="83">
        <f>'Automated raw'!$G449*'Automated raw'!$M449</f>
        <v>296807</v>
      </c>
      <c r="U122" s="6">
        <f>IFERROR((Table7[[#This Row],[Stock In(Total)]]+Table7[[#This Row],[In Stock or Remaining]])/2,"-")</f>
        <v>168</v>
      </c>
      <c r="V122" s="93">
        <f>IFERROR(Table7[[#This Row],[Stock_Out]]/Table7[[#This Row],[Avg Inventory]],"-")</f>
        <v>0.47619047619047616</v>
      </c>
      <c r="W122" s="6"/>
      <c r="X122" s="6"/>
      <c r="Y122" s="6"/>
      <c r="Z122" s="6"/>
      <c r="AA122" s="6"/>
      <c r="AB122" s="6"/>
      <c r="AC122" s="6"/>
      <c r="AD122" s="6"/>
      <c r="AE122" s="6"/>
      <c r="AF122" s="6"/>
      <c r="AG122" s="6"/>
      <c r="AH122" s="6"/>
      <c r="AI122" s="6"/>
      <c r="AJ122" s="6"/>
      <c r="AK122" s="6"/>
      <c r="AL122" s="26" t="s">
        <v>377</v>
      </c>
      <c r="AM122" s="24">
        <v>45600</v>
      </c>
      <c r="AN122" s="24" t="s">
        <v>45</v>
      </c>
      <c r="AO122" s="24" t="s">
        <v>17</v>
      </c>
      <c r="AP122" s="24" t="s">
        <v>21</v>
      </c>
      <c r="AQ122" s="24">
        <v>140</v>
      </c>
      <c r="AR122" s="24">
        <v>13</v>
      </c>
      <c r="AS122" s="24">
        <v>153</v>
      </c>
      <c r="AT122" s="24">
        <v>244</v>
      </c>
      <c r="AU122" s="24">
        <v>73</v>
      </c>
      <c r="AV122" s="24">
        <v>8</v>
      </c>
      <c r="AW122" s="24">
        <v>1195</v>
      </c>
      <c r="AX122" s="24">
        <v>2464</v>
      </c>
      <c r="AY122" s="24">
        <v>8.4967320261437912E-2</v>
      </c>
      <c r="AZ122" s="24">
        <v>8.4967320261437912E-2</v>
      </c>
      <c r="BA122" s="24">
        <v>140</v>
      </c>
      <c r="BB122" s="24">
        <v>167300</v>
      </c>
      <c r="BC122" s="24" t="s">
        <v>547</v>
      </c>
      <c r="BD122" s="27" t="s">
        <v>564</v>
      </c>
    </row>
    <row r="123" spans="1:56" x14ac:dyDescent="0.3">
      <c r="A123" s="44" t="s">
        <v>147</v>
      </c>
      <c r="B123" s="45">
        <v>45584</v>
      </c>
      <c r="C123" s="44" t="s">
        <v>16</v>
      </c>
      <c r="D123" s="44" t="s">
        <v>20</v>
      </c>
      <c r="E123" s="44" t="s">
        <v>38</v>
      </c>
      <c r="F123" s="40">
        <v>33</v>
      </c>
      <c r="G123" s="44">
        <v>19</v>
      </c>
      <c r="H123" s="44">
        <f>IFERROR('Automated raw'!$F119+'Automated raw'!$G119,"-")</f>
        <v>184</v>
      </c>
      <c r="I123" s="44">
        <v>109</v>
      </c>
      <c r="J123" s="44">
        <v>50</v>
      </c>
      <c r="K123" s="44">
        <v>2</v>
      </c>
      <c r="L123" s="44">
        <v>1695</v>
      </c>
      <c r="M123" s="44">
        <v>2874</v>
      </c>
      <c r="N123" s="44">
        <f>'Automated raw'!$G119/'Automated raw'!$H119</f>
        <v>0.29646017699115046</v>
      </c>
      <c r="O123" s="46">
        <f>IFERROR('Automated raw'!$G119/'Automated raw'!$H119,"incomplete")</f>
        <v>0.29646017699115046</v>
      </c>
      <c r="P123" s="44">
        <f>'Automated raw'!$F119</f>
        <v>117</v>
      </c>
      <c r="Q123" s="47">
        <f>IFERROR('Automated raw'!$P119*'Automated raw'!$L119,0)</f>
        <v>221040</v>
      </c>
      <c r="R123" s="44" t="str">
        <f>IF('Automated raw'!$O119&gt;=60%,"High",IF('Automated raw'!$O119&gt;=30%,"Avg",IF('Automated raw'!$O119&lt;30%,"Dead Stock","Incomplete")))</f>
        <v>Avg</v>
      </c>
      <c r="S123" s="48" t="str">
        <f>TEXT('Automated raw'!$B119,"mmm")</f>
        <v>Jun</v>
      </c>
      <c r="T123" s="83">
        <f>'Automated raw'!$G119*'Automated raw'!$M119</f>
        <v>209576</v>
      </c>
      <c r="U123" s="6">
        <f>IFERROR((Table7[[#This Row],[Stock In(Total)]]+Table7[[#This Row],[In Stock or Remaining]])/2,"-")</f>
        <v>108.5</v>
      </c>
      <c r="V123" s="93">
        <f>IFERROR(Table7[[#This Row],[Stock_Out]]/Table7[[#This Row],[Avg Inventory]],"-")</f>
        <v>0.17511520737327188</v>
      </c>
      <c r="W123" s="6"/>
      <c r="X123" s="6"/>
      <c r="Y123" s="6"/>
      <c r="Z123" s="6"/>
      <c r="AA123" s="6"/>
      <c r="AB123" s="6"/>
      <c r="AC123" s="6"/>
      <c r="AD123" s="6"/>
      <c r="AE123" s="6"/>
      <c r="AF123" s="6"/>
      <c r="AG123" s="6"/>
      <c r="AH123" s="6"/>
      <c r="AI123" s="6"/>
      <c r="AJ123" s="6"/>
      <c r="AK123" s="6"/>
      <c r="AL123" s="26" t="s">
        <v>326</v>
      </c>
      <c r="AM123" s="24">
        <v>45520</v>
      </c>
      <c r="AN123" s="24" t="s">
        <v>37</v>
      </c>
      <c r="AO123" s="24" t="s">
        <v>13</v>
      </c>
      <c r="AP123" s="24" t="s">
        <v>38</v>
      </c>
      <c r="AQ123" s="24">
        <v>106</v>
      </c>
      <c r="AR123" s="24">
        <v>41</v>
      </c>
      <c r="AS123" s="24">
        <v>147</v>
      </c>
      <c r="AT123" s="24">
        <v>37</v>
      </c>
      <c r="AU123" s="24">
        <v>70</v>
      </c>
      <c r="AV123" s="24">
        <v>6</v>
      </c>
      <c r="AW123" s="24">
        <v>1527</v>
      </c>
      <c r="AX123" s="24">
        <v>1671</v>
      </c>
      <c r="AY123" s="24">
        <v>0.27891156462585032</v>
      </c>
      <c r="AZ123" s="24">
        <v>0.27891156462585032</v>
      </c>
      <c r="BA123" s="24">
        <v>106</v>
      </c>
      <c r="BB123" s="24">
        <v>161862</v>
      </c>
      <c r="BC123" s="24" t="s">
        <v>547</v>
      </c>
      <c r="BD123" s="27" t="s">
        <v>554</v>
      </c>
    </row>
    <row r="124" spans="1:56" x14ac:dyDescent="0.3">
      <c r="A124" s="38" t="s">
        <v>153</v>
      </c>
      <c r="B124" s="39">
        <v>45397</v>
      </c>
      <c r="C124" s="38" t="s">
        <v>53</v>
      </c>
      <c r="D124" s="38" t="s">
        <v>13</v>
      </c>
      <c r="E124" s="38" t="s">
        <v>14</v>
      </c>
      <c r="F124" s="40" t="s">
        <v>23</v>
      </c>
      <c r="G124" s="38">
        <v>111</v>
      </c>
      <c r="H124" s="38" t="str">
        <f>IFERROR('Automated raw'!$F124+'Automated raw'!$G124,"-")</f>
        <v>-</v>
      </c>
      <c r="I124" s="38">
        <v>69</v>
      </c>
      <c r="J124" s="38">
        <v>70</v>
      </c>
      <c r="K124" s="38">
        <v>11</v>
      </c>
      <c r="L124" s="38">
        <v>232</v>
      </c>
      <c r="M124" s="38">
        <v>976</v>
      </c>
      <c r="N124" s="38" t="e">
        <f>'Automated raw'!$G124/'Automated raw'!$H124</f>
        <v>#VALUE!</v>
      </c>
      <c r="O124" s="49" t="str">
        <f>IFERROR('Automated raw'!$G124/'Automated raw'!$H124,"incomplete")</f>
        <v>incomplete</v>
      </c>
      <c r="P124" s="38" t="str">
        <f>'Automated raw'!$F124</f>
        <v>Not Available</v>
      </c>
      <c r="Q124" s="42">
        <f>IFERROR('Automated raw'!$P124*'Automated raw'!$L124,0)</f>
        <v>0</v>
      </c>
      <c r="R124" s="38" t="str">
        <f>IF('Automated raw'!$O124&gt;=60%,"High",IF('Automated raw'!$O124&gt;=30%,"Avg",IF('Automated raw'!$O124&lt;30%,"Dead Stock","Incomplete")))</f>
        <v>High</v>
      </c>
      <c r="S124" s="43" t="str">
        <f>TEXT('Automated raw'!$B124,"mmm")</f>
        <v>Apr</v>
      </c>
      <c r="T124" s="82">
        <f>'Automated raw'!$G124*'Automated raw'!$M124</f>
        <v>108336</v>
      </c>
      <c r="U124" s="6" t="str">
        <f>IFERROR((Table7[[#This Row],[Stock In(Total)]]+Table7[[#This Row],[In Stock or Remaining]])/2,"-")</f>
        <v>-</v>
      </c>
      <c r="V124" s="93" t="str">
        <f>IFERROR(Table7[[#This Row],[Stock_Out]]/Table7[[#This Row],[Avg Inventory]],"-")</f>
        <v>-</v>
      </c>
      <c r="W124" s="6"/>
      <c r="X124" s="6"/>
      <c r="Y124" s="6"/>
      <c r="Z124" s="6"/>
      <c r="AA124" s="6"/>
      <c r="AB124" s="6"/>
      <c r="AC124" s="6"/>
      <c r="AD124" s="6"/>
      <c r="AE124" s="6"/>
      <c r="AF124" s="6"/>
      <c r="AG124" s="6"/>
      <c r="AH124" s="6"/>
      <c r="AI124" s="6"/>
      <c r="AJ124" s="6"/>
      <c r="AK124" s="6"/>
      <c r="AL124" s="26" t="s">
        <v>503</v>
      </c>
      <c r="AM124" s="24">
        <v>45657</v>
      </c>
      <c r="AN124" s="24" t="s">
        <v>19</v>
      </c>
      <c r="AO124" s="24" t="s">
        <v>13</v>
      </c>
      <c r="AP124" s="24" t="s">
        <v>38</v>
      </c>
      <c r="AQ124" s="24">
        <v>132</v>
      </c>
      <c r="AR124" s="24">
        <v>18</v>
      </c>
      <c r="AS124" s="24">
        <v>150</v>
      </c>
      <c r="AT124" s="24">
        <v>156</v>
      </c>
      <c r="AU124" s="24">
        <v>46</v>
      </c>
      <c r="AV124" s="24">
        <v>14</v>
      </c>
      <c r="AW124" s="24">
        <v>1192</v>
      </c>
      <c r="AX124" s="24">
        <v>1832</v>
      </c>
      <c r="AY124" s="24">
        <v>0.12</v>
      </c>
      <c r="AZ124" s="24">
        <v>0.12</v>
      </c>
      <c r="BA124" s="24">
        <v>132</v>
      </c>
      <c r="BB124" s="24">
        <v>157344</v>
      </c>
      <c r="BC124" s="24" t="s">
        <v>547</v>
      </c>
      <c r="BD124" s="27" t="s">
        <v>563</v>
      </c>
    </row>
    <row r="125" spans="1:56" x14ac:dyDescent="0.3">
      <c r="A125" s="44" t="s">
        <v>154</v>
      </c>
      <c r="B125" s="45">
        <v>45377</v>
      </c>
      <c r="C125" s="44" t="s">
        <v>26</v>
      </c>
      <c r="D125" s="44" t="s">
        <v>20</v>
      </c>
      <c r="E125" s="44" t="s">
        <v>38</v>
      </c>
      <c r="F125" s="40">
        <v>16</v>
      </c>
      <c r="G125" s="44">
        <v>38</v>
      </c>
      <c r="H125" s="44">
        <f>IFERROR('Automated raw'!$F125+'Automated raw'!$G125,"-")</f>
        <v>54</v>
      </c>
      <c r="I125" s="44">
        <v>96</v>
      </c>
      <c r="J125" s="44">
        <v>78</v>
      </c>
      <c r="K125" s="44">
        <v>12</v>
      </c>
      <c r="L125" s="44">
        <v>1564</v>
      </c>
      <c r="M125" s="44">
        <v>2283</v>
      </c>
      <c r="N125" s="44">
        <f>'Automated raw'!$G125/'Automated raw'!$H125</f>
        <v>0.70370370370370372</v>
      </c>
      <c r="O125" s="46">
        <f>IFERROR('Automated raw'!$G125/'Automated raw'!$H125,"incomplete")</f>
        <v>0.70370370370370372</v>
      </c>
      <c r="P125" s="44">
        <f>'Automated raw'!$F125</f>
        <v>16</v>
      </c>
      <c r="Q125" s="47">
        <f>IFERROR('Automated raw'!$P125*'Automated raw'!$L125,0)</f>
        <v>25024</v>
      </c>
      <c r="R125" s="44" t="str">
        <f>IF('Automated raw'!$O125&gt;=60%,"High",IF('Automated raw'!$O125&gt;=30%,"Avg",IF('Automated raw'!$O125&lt;30%,"Dead Stock","Incomplete")))</f>
        <v>High</v>
      </c>
      <c r="S125" s="48" t="str">
        <f>TEXT('Automated raw'!$B125,"mmm")</f>
        <v>Mar</v>
      </c>
      <c r="T125" s="83">
        <f>'Automated raw'!$G125*'Automated raw'!$M125</f>
        <v>86754</v>
      </c>
      <c r="U125" s="6">
        <f>IFERROR((Table7[[#This Row],[Stock In(Total)]]+Table7[[#This Row],[In Stock or Remaining]])/2,"-")</f>
        <v>35</v>
      </c>
      <c r="V125" s="93">
        <f>IFERROR(Table7[[#This Row],[Stock_Out]]/Table7[[#This Row],[Avg Inventory]],"-")</f>
        <v>1.0857142857142856</v>
      </c>
      <c r="W125" s="6"/>
      <c r="X125" s="6"/>
      <c r="Y125" s="6"/>
      <c r="Z125" s="6"/>
      <c r="AA125" s="6"/>
      <c r="AB125" s="6"/>
      <c r="AC125" s="6"/>
      <c r="AD125" s="6"/>
      <c r="AE125" s="6"/>
      <c r="AF125" s="6"/>
      <c r="AG125" s="6"/>
      <c r="AH125" s="6"/>
      <c r="AI125" s="6"/>
      <c r="AJ125" s="6"/>
      <c r="AK125" s="6"/>
      <c r="AL125" s="26" t="s">
        <v>78</v>
      </c>
      <c r="AM125" s="24">
        <v>45408</v>
      </c>
      <c r="AN125" s="24" t="s">
        <v>12</v>
      </c>
      <c r="AO125" s="24" t="s">
        <v>13</v>
      </c>
      <c r="AP125" s="24" t="s">
        <v>23</v>
      </c>
      <c r="AQ125" s="24">
        <v>146</v>
      </c>
      <c r="AR125" s="24">
        <v>14</v>
      </c>
      <c r="AS125" s="24">
        <v>160</v>
      </c>
      <c r="AT125" s="24">
        <v>283</v>
      </c>
      <c r="AU125" s="24">
        <v>47</v>
      </c>
      <c r="AV125" s="24">
        <v>4</v>
      </c>
      <c r="AW125" s="24">
        <v>1062</v>
      </c>
      <c r="AX125" s="24">
        <v>1254</v>
      </c>
      <c r="AY125" s="24">
        <v>8.7499999999999994E-2</v>
      </c>
      <c r="AZ125" s="24">
        <v>8.7499999999999994E-2</v>
      </c>
      <c r="BA125" s="24">
        <v>146</v>
      </c>
      <c r="BB125" s="24">
        <v>155052</v>
      </c>
      <c r="BC125" s="24" t="s">
        <v>547</v>
      </c>
      <c r="BD125" s="27" t="s">
        <v>558</v>
      </c>
    </row>
    <row r="126" spans="1:56" x14ac:dyDescent="0.3">
      <c r="A126" s="44" t="s">
        <v>488</v>
      </c>
      <c r="B126" s="45">
        <v>45341</v>
      </c>
      <c r="C126" s="44" t="s">
        <v>45</v>
      </c>
      <c r="D126" s="44" t="s">
        <v>17</v>
      </c>
      <c r="E126" s="44" t="s">
        <v>21</v>
      </c>
      <c r="F126" s="40">
        <v>38</v>
      </c>
      <c r="G126" s="44">
        <v>22</v>
      </c>
      <c r="H126" s="44">
        <f>IFERROR('Automated raw'!$F455+'Automated raw'!$G455,"-")</f>
        <v>77</v>
      </c>
      <c r="I126" s="44">
        <v>28</v>
      </c>
      <c r="J126" s="44">
        <v>31</v>
      </c>
      <c r="K126" s="44">
        <v>12</v>
      </c>
      <c r="L126" s="44">
        <v>1348</v>
      </c>
      <c r="M126" s="44">
        <v>2745</v>
      </c>
      <c r="N126" s="44">
        <f>'Automated raw'!$G455/'Automated raw'!$H455</f>
        <v>0.20187793427230047</v>
      </c>
      <c r="O126" s="46">
        <f>IFERROR('Automated raw'!$G455/'Automated raw'!$H455,"incomplete")</f>
        <v>0.20187793427230047</v>
      </c>
      <c r="P126" s="44">
        <f>'Automated raw'!$F455</f>
        <v>34</v>
      </c>
      <c r="Q126" s="47">
        <f>IFERROR('Automated raw'!$P455*'Automated raw'!$L455,0)</f>
        <v>88375</v>
      </c>
      <c r="R126" s="44" t="str">
        <f>IF('Automated raw'!$O455&gt;=60%,"High",IF('Automated raw'!$O455&gt;=30%,"Avg",IF('Automated raw'!$O455&lt;30%,"Dead Stock","Incomplete")))</f>
        <v>Avg</v>
      </c>
      <c r="S126" s="48" t="str">
        <f>TEXT('Automated raw'!$B455,"mmm")</f>
        <v>Oct</v>
      </c>
      <c r="T126" s="83">
        <f>'Automated raw'!$G455*'Automated raw'!$M455</f>
        <v>55212</v>
      </c>
      <c r="U126" s="6">
        <f>IFERROR((Table7[[#This Row],[Stock In(Total)]]+Table7[[#This Row],[In Stock or Remaining]])/2,"-")</f>
        <v>57.5</v>
      </c>
      <c r="V126" s="93">
        <f>IFERROR(Table7[[#This Row],[Stock_Out]]/Table7[[#This Row],[Avg Inventory]],"-")</f>
        <v>0.38260869565217392</v>
      </c>
      <c r="W126" s="6"/>
      <c r="X126" s="6"/>
      <c r="Y126" s="6"/>
      <c r="Z126" s="6"/>
      <c r="AA126" s="6"/>
      <c r="AB126" s="6"/>
      <c r="AC126" s="6"/>
      <c r="AD126" s="6"/>
      <c r="AE126" s="6"/>
      <c r="AF126" s="6"/>
      <c r="AG126" s="6"/>
      <c r="AH126" s="6"/>
      <c r="AI126" s="6"/>
      <c r="AJ126" s="6"/>
      <c r="AK126" s="6"/>
      <c r="AL126" s="26" t="s">
        <v>94</v>
      </c>
      <c r="AM126" s="24">
        <v>45478</v>
      </c>
      <c r="AN126" s="24" t="s">
        <v>12</v>
      </c>
      <c r="AO126" s="24" t="s">
        <v>20</v>
      </c>
      <c r="AP126" s="24" t="s">
        <v>14</v>
      </c>
      <c r="AQ126" s="24">
        <v>112</v>
      </c>
      <c r="AR126" s="24">
        <v>5</v>
      </c>
      <c r="AS126" s="24">
        <v>117</v>
      </c>
      <c r="AT126" s="24">
        <v>76</v>
      </c>
      <c r="AU126" s="24">
        <v>30</v>
      </c>
      <c r="AV126" s="24">
        <v>11</v>
      </c>
      <c r="AW126" s="24">
        <v>1368</v>
      </c>
      <c r="AX126" s="24">
        <v>2067</v>
      </c>
      <c r="AY126" s="24">
        <v>4.2735042735042736E-2</v>
      </c>
      <c r="AZ126" s="24">
        <v>4.2735042735042736E-2</v>
      </c>
      <c r="BA126" s="24">
        <v>112</v>
      </c>
      <c r="BB126" s="24">
        <v>153216</v>
      </c>
      <c r="BC126" s="24" t="s">
        <v>547</v>
      </c>
      <c r="BD126" s="27" t="s">
        <v>556</v>
      </c>
    </row>
    <row r="127" spans="1:56" x14ac:dyDescent="0.3">
      <c r="A127" s="44" t="s">
        <v>243</v>
      </c>
      <c r="B127" s="45">
        <v>45312</v>
      </c>
      <c r="C127" s="44" t="s">
        <v>37</v>
      </c>
      <c r="D127" s="44" t="s">
        <v>17</v>
      </c>
      <c r="E127" s="44" t="s">
        <v>33</v>
      </c>
      <c r="F127" s="40">
        <v>62</v>
      </c>
      <c r="G127" s="44">
        <v>36</v>
      </c>
      <c r="H127" s="44">
        <f>IFERROR('Automated raw'!$F213+'Automated raw'!$G213,"-")</f>
        <v>216</v>
      </c>
      <c r="I127" s="44">
        <v>77</v>
      </c>
      <c r="J127" s="44">
        <v>54</v>
      </c>
      <c r="K127" s="44">
        <v>15</v>
      </c>
      <c r="L127" s="44">
        <v>539</v>
      </c>
      <c r="M127" s="44">
        <v>1664</v>
      </c>
      <c r="N127" s="44">
        <f>'Automated raw'!$G213/'Automated raw'!$H213</f>
        <v>0.58278145695364236</v>
      </c>
      <c r="O127" s="46">
        <f>IFERROR('Automated raw'!$G213/'Automated raw'!$H213,"incomplete")</f>
        <v>0.58278145695364236</v>
      </c>
      <c r="P127" s="44">
        <f>'Automated raw'!$F213</f>
        <v>128</v>
      </c>
      <c r="Q127" s="47">
        <f>IFERROR('Automated raw'!$P213*'Automated raw'!$L213,0)</f>
        <v>150618</v>
      </c>
      <c r="R127" s="44" t="str">
        <f>IF('Automated raw'!$O213&gt;=60%,"High",IF('Automated raw'!$O213&gt;=30%,"Avg",IF('Automated raw'!$O213&lt;30%,"Dead Stock","Incomplete")))</f>
        <v>Dead Stock</v>
      </c>
      <c r="S127" s="48" t="str">
        <f>TEXT('Automated raw'!$B213,"mmm")</f>
        <v>Apr</v>
      </c>
      <c r="T127" s="83">
        <f>'Automated raw'!$G213*'Automated raw'!$M213</f>
        <v>254056</v>
      </c>
      <c r="U127" s="6">
        <f>IFERROR((Table7[[#This Row],[Stock In(Total)]]+Table7[[#This Row],[In Stock or Remaining]])/2,"-")</f>
        <v>139</v>
      </c>
      <c r="V127" s="93">
        <f>IFERROR(Table7[[#This Row],[Stock_Out]]/Table7[[#This Row],[Avg Inventory]],"-")</f>
        <v>0.25899280575539568</v>
      </c>
      <c r="W127" s="6"/>
      <c r="X127" s="6"/>
      <c r="Y127" s="6"/>
      <c r="Z127" s="6"/>
      <c r="AA127" s="6"/>
      <c r="AB127" s="6"/>
      <c r="AC127" s="6"/>
      <c r="AD127" s="6"/>
      <c r="AE127" s="6"/>
      <c r="AF127" s="6"/>
      <c r="AG127" s="6"/>
      <c r="AH127" s="6"/>
      <c r="AI127" s="6"/>
      <c r="AJ127" s="6"/>
      <c r="AK127" s="6"/>
      <c r="AL127" s="26" t="s">
        <v>434</v>
      </c>
      <c r="AM127" s="24">
        <v>45369</v>
      </c>
      <c r="AN127" s="24" t="s">
        <v>19</v>
      </c>
      <c r="AO127" s="24" t="s">
        <v>17</v>
      </c>
      <c r="AP127" s="24" t="s">
        <v>14</v>
      </c>
      <c r="AQ127" s="24">
        <v>132</v>
      </c>
      <c r="AR127" s="24">
        <v>5</v>
      </c>
      <c r="AS127" s="24">
        <v>137</v>
      </c>
      <c r="AT127" s="24">
        <v>102</v>
      </c>
      <c r="AU127" s="24">
        <v>44</v>
      </c>
      <c r="AV127" s="24">
        <v>2</v>
      </c>
      <c r="AW127" s="24">
        <v>1140</v>
      </c>
      <c r="AX127" s="24">
        <v>2145</v>
      </c>
      <c r="AY127" s="24">
        <v>3.6496350364963501E-2</v>
      </c>
      <c r="AZ127" s="24">
        <v>3.6496350364963501E-2</v>
      </c>
      <c r="BA127" s="24">
        <v>132</v>
      </c>
      <c r="BB127" s="24">
        <v>150480</v>
      </c>
      <c r="BC127" s="24" t="s">
        <v>547</v>
      </c>
      <c r="BD127" s="27" t="s">
        <v>562</v>
      </c>
    </row>
    <row r="128" spans="1:56" x14ac:dyDescent="0.3">
      <c r="A128" s="38" t="s">
        <v>158</v>
      </c>
      <c r="B128" s="39">
        <v>45621</v>
      </c>
      <c r="C128" s="38" t="s">
        <v>45</v>
      </c>
      <c r="D128" s="38" t="s">
        <v>20</v>
      </c>
      <c r="E128" s="38" t="s">
        <v>21</v>
      </c>
      <c r="F128" s="40">
        <v>36</v>
      </c>
      <c r="G128" s="38">
        <v>85</v>
      </c>
      <c r="H128" s="38">
        <f>IFERROR('Automated raw'!$F128+'Automated raw'!$G128,"-")</f>
        <v>121</v>
      </c>
      <c r="I128" s="38">
        <v>226</v>
      </c>
      <c r="J128" s="38">
        <v>43</v>
      </c>
      <c r="K128" s="38">
        <v>11</v>
      </c>
      <c r="L128" s="38">
        <v>1414</v>
      </c>
      <c r="M128" s="38">
        <v>2174</v>
      </c>
      <c r="N128" s="38">
        <f>'Automated raw'!$G128/'Automated raw'!$H128</f>
        <v>0.7024793388429752</v>
      </c>
      <c r="O128" s="41">
        <f>IFERROR('Automated raw'!$G128/'Automated raw'!$H128,"incomplete")</f>
        <v>0.7024793388429752</v>
      </c>
      <c r="P128" s="38">
        <f>'Automated raw'!$F128</f>
        <v>36</v>
      </c>
      <c r="Q128" s="42">
        <f>IFERROR('Automated raw'!$P128*'Automated raw'!$L128,0)</f>
        <v>50904</v>
      </c>
      <c r="R128" s="38" t="str">
        <f>IF('Automated raw'!$O128&gt;=60%,"High",IF('Automated raw'!$O128&gt;=30%,"Avg",IF('Automated raw'!$O128&lt;30%,"Dead Stock","Incomplete")))</f>
        <v>High</v>
      </c>
      <c r="S128" s="43" t="str">
        <f>TEXT('Automated raw'!$B128,"mmm")</f>
        <v>Nov</v>
      </c>
      <c r="T128" s="82">
        <f>'Automated raw'!$G128*'Automated raw'!$M128</f>
        <v>184790</v>
      </c>
      <c r="U128" s="6">
        <f>IFERROR((Table7[[#This Row],[Stock In(Total)]]+Table7[[#This Row],[In Stock or Remaining]])/2,"-")</f>
        <v>78.5</v>
      </c>
      <c r="V128" s="93">
        <f>IFERROR(Table7[[#This Row],[Stock_Out]]/Table7[[#This Row],[Avg Inventory]],"-")</f>
        <v>1.0828025477707006</v>
      </c>
      <c r="W128" s="6"/>
      <c r="X128" s="6"/>
      <c r="Y128" s="6"/>
      <c r="Z128" s="6"/>
      <c r="AA128" s="6"/>
      <c r="AB128" s="6"/>
      <c r="AC128" s="6"/>
      <c r="AD128" s="6"/>
      <c r="AE128" s="6"/>
      <c r="AF128" s="6"/>
      <c r="AG128" s="6"/>
      <c r="AH128" s="6"/>
      <c r="AI128" s="6"/>
      <c r="AJ128" s="6"/>
      <c r="AK128" s="6"/>
      <c r="AL128" s="26" t="s">
        <v>44</v>
      </c>
      <c r="AM128" s="24">
        <v>45334</v>
      </c>
      <c r="AN128" s="24" t="s">
        <v>45</v>
      </c>
      <c r="AO128" s="24" t="s">
        <v>20</v>
      </c>
      <c r="AP128" s="24" t="s">
        <v>21</v>
      </c>
      <c r="AQ128" s="24">
        <v>125</v>
      </c>
      <c r="AR128" s="24">
        <v>0</v>
      </c>
      <c r="AS128" s="24">
        <v>125</v>
      </c>
      <c r="AT128" s="24">
        <v>167</v>
      </c>
      <c r="AU128" s="24">
        <v>35</v>
      </c>
      <c r="AV128" s="24">
        <v>14</v>
      </c>
      <c r="AW128" s="24">
        <v>1203</v>
      </c>
      <c r="AX128" s="24">
        <v>1502</v>
      </c>
      <c r="AY128" s="24">
        <v>0</v>
      </c>
      <c r="AZ128" s="24">
        <v>0</v>
      </c>
      <c r="BA128" s="24">
        <v>125</v>
      </c>
      <c r="BB128" s="24">
        <v>150375</v>
      </c>
      <c r="BC128" s="24" t="s">
        <v>547</v>
      </c>
      <c r="BD128" s="27" t="s">
        <v>555</v>
      </c>
    </row>
    <row r="129" spans="1:56" x14ac:dyDescent="0.3">
      <c r="A129" s="44" t="s">
        <v>159</v>
      </c>
      <c r="B129" s="45">
        <v>45421</v>
      </c>
      <c r="C129" s="44" t="s">
        <v>37</v>
      </c>
      <c r="D129" s="44" t="s">
        <v>13</v>
      </c>
      <c r="E129" s="44" t="s">
        <v>14</v>
      </c>
      <c r="F129" s="40" t="s">
        <v>23</v>
      </c>
      <c r="G129" s="44">
        <v>15</v>
      </c>
      <c r="H129" s="44" t="str">
        <f>IFERROR('Automated raw'!$F129+'Automated raw'!$G129,"-")</f>
        <v>-</v>
      </c>
      <c r="I129" s="44">
        <v>142</v>
      </c>
      <c r="J129" s="44">
        <v>33</v>
      </c>
      <c r="K129" s="44">
        <v>3</v>
      </c>
      <c r="L129" s="44">
        <v>1423</v>
      </c>
      <c r="M129" s="44">
        <v>1562</v>
      </c>
      <c r="N129" s="44" t="e">
        <f>'Automated raw'!$G129/'Automated raw'!$H129</f>
        <v>#VALUE!</v>
      </c>
      <c r="O129" s="51" t="str">
        <f>IFERROR('Automated raw'!$G129/'Automated raw'!$H129,"incomplete")</f>
        <v>incomplete</v>
      </c>
      <c r="P129" s="44" t="str">
        <f>'Automated raw'!$F129</f>
        <v>Not Available</v>
      </c>
      <c r="Q129" s="47">
        <f>IFERROR('Automated raw'!$P129*'Automated raw'!$L129,0)</f>
        <v>0</v>
      </c>
      <c r="R129" s="44" t="str">
        <f>IF('Automated raw'!$O129&gt;=60%,"High",IF('Automated raw'!$O129&gt;=30%,"Avg",IF('Automated raw'!$O129&lt;30%,"Dead Stock","Incomplete")))</f>
        <v>High</v>
      </c>
      <c r="S129" s="48" t="str">
        <f>TEXT('Automated raw'!$B129,"mmm")</f>
        <v>May</v>
      </c>
      <c r="T129" s="83">
        <f>'Automated raw'!$G129*'Automated raw'!$M129</f>
        <v>23430</v>
      </c>
      <c r="U129" s="6" t="str">
        <f>IFERROR((Table7[[#This Row],[Stock In(Total)]]+Table7[[#This Row],[In Stock or Remaining]])/2,"-")</f>
        <v>-</v>
      </c>
      <c r="V129" s="93" t="str">
        <f>IFERROR(Table7[[#This Row],[Stock_Out]]/Table7[[#This Row],[Avg Inventory]],"-")</f>
        <v>-</v>
      </c>
      <c r="W129" s="6"/>
      <c r="X129" s="6"/>
      <c r="Y129" s="6"/>
      <c r="Z129" s="6"/>
      <c r="AA129" s="6"/>
      <c r="AB129" s="6"/>
      <c r="AC129" s="6"/>
      <c r="AD129" s="6"/>
      <c r="AE129" s="6"/>
      <c r="AF129" s="6"/>
      <c r="AG129" s="6"/>
      <c r="AH129" s="6"/>
      <c r="AI129" s="6"/>
      <c r="AJ129" s="6"/>
      <c r="AK129" s="6"/>
      <c r="AL129" s="26" t="s">
        <v>534</v>
      </c>
      <c r="AM129" s="24">
        <v>45519</v>
      </c>
      <c r="AN129" s="24" t="s">
        <v>16</v>
      </c>
      <c r="AO129" s="24" t="s">
        <v>20</v>
      </c>
      <c r="AP129" s="24" t="s">
        <v>38</v>
      </c>
      <c r="AQ129" s="24">
        <v>103</v>
      </c>
      <c r="AR129" s="24">
        <v>14</v>
      </c>
      <c r="AS129" s="24">
        <v>117</v>
      </c>
      <c r="AT129" s="24">
        <v>24</v>
      </c>
      <c r="AU129" s="24">
        <v>52</v>
      </c>
      <c r="AV129" s="24">
        <v>5</v>
      </c>
      <c r="AW129" s="24">
        <v>1454</v>
      </c>
      <c r="AX129" s="24">
        <v>1851</v>
      </c>
      <c r="AY129" s="24">
        <v>0.11965811965811966</v>
      </c>
      <c r="AZ129" s="24">
        <v>0.11965811965811966</v>
      </c>
      <c r="BA129" s="24">
        <v>103</v>
      </c>
      <c r="BB129" s="24">
        <v>149762</v>
      </c>
      <c r="BC129" s="24" t="s">
        <v>547</v>
      </c>
      <c r="BD129" s="27" t="s">
        <v>554</v>
      </c>
    </row>
    <row r="130" spans="1:56" x14ac:dyDescent="0.3">
      <c r="A130" s="38" t="s">
        <v>160</v>
      </c>
      <c r="B130" s="39">
        <v>45467</v>
      </c>
      <c r="C130" s="38" t="s">
        <v>12</v>
      </c>
      <c r="D130" s="38" t="s">
        <v>17</v>
      </c>
      <c r="E130" s="38" t="s">
        <v>33</v>
      </c>
      <c r="F130" s="40">
        <v>14</v>
      </c>
      <c r="G130" s="38">
        <v>77</v>
      </c>
      <c r="H130" s="38">
        <f>IFERROR('Automated raw'!$F130+'Automated raw'!$G130,"-")</f>
        <v>91</v>
      </c>
      <c r="I130" s="38">
        <v>106</v>
      </c>
      <c r="J130" s="38">
        <v>74</v>
      </c>
      <c r="K130" s="38">
        <v>6</v>
      </c>
      <c r="L130" s="38">
        <v>420</v>
      </c>
      <c r="M130" s="38">
        <v>1659</v>
      </c>
      <c r="N130" s="38">
        <f>'Automated raw'!$G130/'Automated raw'!$H130</f>
        <v>0.84615384615384615</v>
      </c>
      <c r="O130" s="41">
        <f>IFERROR('Automated raw'!$G130/'Automated raw'!$H130,"incomplete")</f>
        <v>0.84615384615384615</v>
      </c>
      <c r="P130" s="38">
        <f>'Automated raw'!$F130</f>
        <v>14</v>
      </c>
      <c r="Q130" s="42">
        <f>IFERROR('Automated raw'!$P130*'Automated raw'!$L130,0)</f>
        <v>5880</v>
      </c>
      <c r="R130" s="38" t="str">
        <f>IF('Automated raw'!$O130&gt;=60%,"High",IF('Automated raw'!$O130&gt;=30%,"Avg",IF('Automated raw'!$O130&lt;30%,"Dead Stock","Incomplete")))</f>
        <v>High</v>
      </c>
      <c r="S130" s="43" t="str">
        <f>TEXT('Automated raw'!$B130,"mmm")</f>
        <v>Jun</v>
      </c>
      <c r="T130" s="82">
        <f>'Automated raw'!$G130*'Automated raw'!$M130</f>
        <v>127743</v>
      </c>
      <c r="U130" s="6">
        <f>IFERROR((Table7[[#This Row],[Stock In(Total)]]+Table7[[#This Row],[In Stock or Remaining]])/2,"-")</f>
        <v>52.5</v>
      </c>
      <c r="V130" s="93">
        <f>IFERROR(Table7[[#This Row],[Stock_Out]]/Table7[[#This Row],[Avg Inventory]],"-")</f>
        <v>1.4666666666666666</v>
      </c>
      <c r="W130" s="6"/>
      <c r="X130" s="6"/>
      <c r="Y130" s="6"/>
      <c r="Z130" s="6"/>
      <c r="AA130" s="6"/>
      <c r="AB130" s="6"/>
      <c r="AC130" s="6"/>
      <c r="AD130" s="6"/>
      <c r="AE130" s="6"/>
      <c r="AF130" s="6"/>
      <c r="AG130" s="6"/>
      <c r="AH130" s="6"/>
      <c r="AI130" s="6"/>
      <c r="AJ130" s="6"/>
      <c r="AK130" s="6"/>
      <c r="AL130" s="26" t="s">
        <v>359</v>
      </c>
      <c r="AM130" s="24">
        <v>45601</v>
      </c>
      <c r="AN130" s="24" t="s">
        <v>19</v>
      </c>
      <c r="AO130" s="24" t="s">
        <v>20</v>
      </c>
      <c r="AP130" s="24" t="s">
        <v>38</v>
      </c>
      <c r="AQ130" s="24">
        <v>95</v>
      </c>
      <c r="AR130" s="24">
        <v>27</v>
      </c>
      <c r="AS130" s="24">
        <v>122</v>
      </c>
      <c r="AT130" s="24">
        <v>54</v>
      </c>
      <c r="AU130" s="24">
        <v>40</v>
      </c>
      <c r="AV130" s="24">
        <v>13</v>
      </c>
      <c r="AW130" s="24">
        <v>1566</v>
      </c>
      <c r="AX130" s="24">
        <v>2047</v>
      </c>
      <c r="AY130" s="24">
        <v>0.22131147540983606</v>
      </c>
      <c r="AZ130" s="24">
        <v>0.22131147540983606</v>
      </c>
      <c r="BA130" s="24">
        <v>95</v>
      </c>
      <c r="BB130" s="24">
        <v>148770</v>
      </c>
      <c r="BC130" s="24" t="s">
        <v>547</v>
      </c>
      <c r="BD130" s="27" t="s">
        <v>564</v>
      </c>
    </row>
    <row r="131" spans="1:56" x14ac:dyDescent="0.3">
      <c r="A131" s="44" t="s">
        <v>161</v>
      </c>
      <c r="B131" s="45">
        <v>45472</v>
      </c>
      <c r="C131" s="44" t="s">
        <v>26</v>
      </c>
      <c r="D131" s="44" t="s">
        <v>17</v>
      </c>
      <c r="E131" s="44" t="s">
        <v>33</v>
      </c>
      <c r="F131" s="40">
        <v>77</v>
      </c>
      <c r="G131" s="44">
        <v>23</v>
      </c>
      <c r="H131" s="44">
        <f>IFERROR('Automated raw'!$F131+'Automated raw'!$G131,"-")</f>
        <v>100</v>
      </c>
      <c r="I131" s="44">
        <v>125</v>
      </c>
      <c r="J131" s="44">
        <v>55</v>
      </c>
      <c r="K131" s="44">
        <v>12</v>
      </c>
      <c r="L131" s="44">
        <v>945</v>
      </c>
      <c r="M131" s="44">
        <v>1446</v>
      </c>
      <c r="N131" s="44">
        <f>'Automated raw'!$G131/'Automated raw'!$H131</f>
        <v>0.23</v>
      </c>
      <c r="O131" s="46">
        <f>IFERROR('Automated raw'!$G131/'Automated raw'!$H131,"incomplete")</f>
        <v>0.23</v>
      </c>
      <c r="P131" s="44">
        <f>'Automated raw'!$F131</f>
        <v>77</v>
      </c>
      <c r="Q131" s="47">
        <f>IFERROR('Automated raw'!$P131*'Automated raw'!$L131,0)</f>
        <v>72765</v>
      </c>
      <c r="R131" s="44" t="str">
        <f>IF('Automated raw'!$O131&gt;=60%,"High",IF('Automated raw'!$O131&gt;=30%,"Avg",IF('Automated raw'!$O131&lt;30%,"Dead Stock","Incomplete")))</f>
        <v>Dead Stock</v>
      </c>
      <c r="S131" s="48" t="str">
        <f>TEXT('Automated raw'!$B131,"mmm")</f>
        <v>Jun</v>
      </c>
      <c r="T131" s="83">
        <f>'Automated raw'!$G131*'Automated raw'!$M131</f>
        <v>33258</v>
      </c>
      <c r="U131" s="6">
        <f>IFERROR((Table7[[#This Row],[Stock In(Total)]]+Table7[[#This Row],[In Stock or Remaining]])/2,"-")</f>
        <v>88.5</v>
      </c>
      <c r="V131" s="93">
        <f>IFERROR(Table7[[#This Row],[Stock_Out]]/Table7[[#This Row],[Avg Inventory]],"-")</f>
        <v>0.25988700564971751</v>
      </c>
      <c r="W131" s="6"/>
      <c r="X131" s="6"/>
      <c r="Y131" s="6"/>
      <c r="Z131" s="6"/>
      <c r="AA131" s="6"/>
      <c r="AB131" s="6"/>
      <c r="AC131" s="6"/>
      <c r="AD131" s="6"/>
      <c r="AE131" s="6"/>
      <c r="AF131" s="6"/>
      <c r="AG131" s="6"/>
      <c r="AH131" s="6"/>
      <c r="AI131" s="6"/>
      <c r="AJ131" s="6"/>
      <c r="AK131" s="6"/>
      <c r="AL131" s="26" t="s">
        <v>240</v>
      </c>
      <c r="AM131" s="24">
        <v>45492</v>
      </c>
      <c r="AN131" s="24" t="s">
        <v>16</v>
      </c>
      <c r="AO131" s="24" t="s">
        <v>17</v>
      </c>
      <c r="AP131" s="24" t="s">
        <v>33</v>
      </c>
      <c r="AQ131" s="24">
        <v>117</v>
      </c>
      <c r="AR131" s="24">
        <v>45</v>
      </c>
      <c r="AS131" s="24">
        <v>162</v>
      </c>
      <c r="AT131" s="24">
        <v>202</v>
      </c>
      <c r="AU131" s="24">
        <v>52</v>
      </c>
      <c r="AV131" s="24">
        <v>9</v>
      </c>
      <c r="AW131" s="24">
        <v>1240</v>
      </c>
      <c r="AX131" s="24">
        <v>1818</v>
      </c>
      <c r="AY131" s="24">
        <v>0.27777777777777779</v>
      </c>
      <c r="AZ131" s="24">
        <v>0.27777777777777779</v>
      </c>
      <c r="BA131" s="24">
        <v>117</v>
      </c>
      <c r="BB131" s="24">
        <v>145080</v>
      </c>
      <c r="BC131" s="24" t="s">
        <v>547</v>
      </c>
      <c r="BD131" s="27" t="s">
        <v>556</v>
      </c>
    </row>
    <row r="132" spans="1:56" x14ac:dyDescent="0.3">
      <c r="A132" s="38" t="s">
        <v>393</v>
      </c>
      <c r="B132" s="39">
        <v>45412</v>
      </c>
      <c r="C132" s="38" t="s">
        <v>16</v>
      </c>
      <c r="D132" s="38" t="s">
        <v>13</v>
      </c>
      <c r="E132" s="38" t="s">
        <v>14</v>
      </c>
      <c r="F132" s="40">
        <v>74</v>
      </c>
      <c r="G132" s="38">
        <v>43</v>
      </c>
      <c r="H132" s="38">
        <f>IFERROR('Automated raw'!$F360+'Automated raw'!$G360,"-")</f>
        <v>226</v>
      </c>
      <c r="I132" s="38">
        <v>239</v>
      </c>
      <c r="J132" s="38">
        <v>68</v>
      </c>
      <c r="K132" s="38">
        <v>12</v>
      </c>
      <c r="L132" s="38">
        <v>1324</v>
      </c>
      <c r="M132" s="38">
        <v>1632</v>
      </c>
      <c r="N132" s="38">
        <f>'Automated raw'!$G360/'Automated raw'!$H360</f>
        <v>0.68553459119496851</v>
      </c>
      <c r="O132" s="41">
        <f>IFERROR('Automated raw'!$G360/'Automated raw'!$H360,"incomplete")</f>
        <v>0.68553459119496851</v>
      </c>
      <c r="P132" s="38">
        <f>'Automated raw'!$F360</f>
        <v>117</v>
      </c>
      <c r="Q132" s="42">
        <f>IFERROR('Automated raw'!$P360*'Automated raw'!$L360,0)</f>
        <v>79125</v>
      </c>
      <c r="R132" s="38" t="str">
        <f>IF('Automated raw'!$O360&gt;=60%,"High",IF('Automated raw'!$O360&gt;=30%,"Avg",IF('Automated raw'!$O360&lt;30%,"Dead Stock","Incomplete")))</f>
        <v>Avg</v>
      </c>
      <c r="S132" s="43" t="str">
        <f>TEXT('Automated raw'!$B360,"mmm")</f>
        <v>May</v>
      </c>
      <c r="T132" s="82">
        <f>'Automated raw'!$G360*'Automated raw'!$M360</f>
        <v>217019</v>
      </c>
      <c r="U132" s="6">
        <f>IFERROR((Table7[[#This Row],[Stock In(Total)]]+Table7[[#This Row],[In Stock or Remaining]])/2,"-")</f>
        <v>150</v>
      </c>
      <c r="V132" s="93">
        <f>IFERROR(Table7[[#This Row],[Stock_Out]]/Table7[[#This Row],[Avg Inventory]],"-")</f>
        <v>0.28666666666666668</v>
      </c>
      <c r="W132" s="6"/>
      <c r="X132" s="6"/>
      <c r="Y132" s="6"/>
      <c r="Z132" s="6"/>
      <c r="AA132" s="6"/>
      <c r="AB132" s="6"/>
      <c r="AC132" s="6"/>
      <c r="AD132" s="6"/>
      <c r="AE132" s="6"/>
      <c r="AF132" s="6"/>
      <c r="AG132" s="6"/>
      <c r="AH132" s="6"/>
      <c r="AI132" s="6"/>
      <c r="AJ132" s="6"/>
      <c r="AK132" s="6"/>
      <c r="AL132" s="26" t="s">
        <v>218</v>
      </c>
      <c r="AM132" s="24">
        <v>45547</v>
      </c>
      <c r="AN132" s="24" t="s">
        <v>37</v>
      </c>
      <c r="AO132" s="24" t="s">
        <v>13</v>
      </c>
      <c r="AP132" s="24" t="s">
        <v>33</v>
      </c>
      <c r="AQ132" s="24">
        <v>139</v>
      </c>
      <c r="AR132" s="24">
        <v>1</v>
      </c>
      <c r="AS132" s="24">
        <v>140</v>
      </c>
      <c r="AT132" s="24">
        <v>237</v>
      </c>
      <c r="AU132" s="24">
        <v>67</v>
      </c>
      <c r="AV132" s="24">
        <v>11</v>
      </c>
      <c r="AW132" s="24">
        <v>1042</v>
      </c>
      <c r="AX132" s="24">
        <v>1269</v>
      </c>
      <c r="AY132" s="24">
        <v>7.1428571428571426E-3</v>
      </c>
      <c r="AZ132" s="24">
        <v>7.1428571428571426E-3</v>
      </c>
      <c r="BA132" s="24">
        <v>139</v>
      </c>
      <c r="BB132" s="24">
        <v>144838</v>
      </c>
      <c r="BC132" s="24" t="s">
        <v>547</v>
      </c>
      <c r="BD132" s="27" t="s">
        <v>560</v>
      </c>
    </row>
    <row r="133" spans="1:56" x14ac:dyDescent="0.3">
      <c r="A133" s="44" t="s">
        <v>163</v>
      </c>
      <c r="B133" s="45">
        <v>45456</v>
      </c>
      <c r="C133" s="44" t="s">
        <v>53</v>
      </c>
      <c r="D133" s="44" t="s">
        <v>13</v>
      </c>
      <c r="E133" s="44" t="s">
        <v>14</v>
      </c>
      <c r="F133" s="40">
        <v>23</v>
      </c>
      <c r="G133" s="44">
        <v>86</v>
      </c>
      <c r="H133" s="44">
        <f>IFERROR('Automated raw'!$F133+'Automated raw'!$G133,"-")</f>
        <v>109</v>
      </c>
      <c r="I133" s="44">
        <v>167</v>
      </c>
      <c r="J133" s="44">
        <v>39</v>
      </c>
      <c r="K133" s="44">
        <v>3</v>
      </c>
      <c r="L133" s="44">
        <v>1248</v>
      </c>
      <c r="M133" s="44">
        <v>2332</v>
      </c>
      <c r="N133" s="44">
        <f>'Automated raw'!$G133/'Automated raw'!$H133</f>
        <v>0.78899082568807344</v>
      </c>
      <c r="O133" s="46">
        <f>IFERROR('Automated raw'!$G133/'Automated raw'!$H133,"incomplete")</f>
        <v>0.78899082568807344</v>
      </c>
      <c r="P133" s="44">
        <f>'Automated raw'!$F133</f>
        <v>23</v>
      </c>
      <c r="Q133" s="47">
        <f>IFERROR('Automated raw'!$P133*'Automated raw'!$L133,0)</f>
        <v>28704</v>
      </c>
      <c r="R133" s="44" t="str">
        <f>IF('Automated raw'!$O133&gt;=60%,"High",IF('Automated raw'!$O133&gt;=30%,"Avg",IF('Automated raw'!$O133&lt;30%,"Dead Stock","Incomplete")))</f>
        <v>High</v>
      </c>
      <c r="S133" s="48" t="str">
        <f>TEXT('Automated raw'!$B133,"mmm")</f>
        <v>Jun</v>
      </c>
      <c r="T133" s="83">
        <f>'Automated raw'!$G133*'Automated raw'!$M133</f>
        <v>200552</v>
      </c>
      <c r="U133" s="6">
        <f>IFERROR((Table7[[#This Row],[Stock In(Total)]]+Table7[[#This Row],[In Stock or Remaining]])/2,"-")</f>
        <v>66</v>
      </c>
      <c r="V133" s="93">
        <f>IFERROR(Table7[[#This Row],[Stock_Out]]/Table7[[#This Row],[Avg Inventory]],"-")</f>
        <v>1.303030303030303</v>
      </c>
      <c r="W133" s="6"/>
      <c r="X133" s="6"/>
      <c r="Y133" s="6"/>
      <c r="Z133" s="6"/>
      <c r="AA133" s="6"/>
      <c r="AB133" s="6"/>
      <c r="AC133" s="6"/>
      <c r="AD133" s="6"/>
      <c r="AE133" s="6"/>
      <c r="AF133" s="6"/>
      <c r="AG133" s="6"/>
      <c r="AH133" s="6"/>
      <c r="AI133" s="6"/>
      <c r="AJ133" s="6"/>
      <c r="AK133" s="6"/>
      <c r="AL133" s="26" t="s">
        <v>386</v>
      </c>
      <c r="AM133" s="24">
        <v>45369</v>
      </c>
      <c r="AN133" s="24" t="s">
        <v>16</v>
      </c>
      <c r="AO133" s="24" t="s">
        <v>17</v>
      </c>
      <c r="AP133" s="24" t="s">
        <v>33</v>
      </c>
      <c r="AQ133" s="24">
        <v>82</v>
      </c>
      <c r="AR133" s="24">
        <v>32</v>
      </c>
      <c r="AS133" s="24">
        <v>114</v>
      </c>
      <c r="AT133" s="24">
        <v>253</v>
      </c>
      <c r="AU133" s="24">
        <v>67</v>
      </c>
      <c r="AV133" s="24">
        <v>2</v>
      </c>
      <c r="AW133" s="24">
        <v>1750</v>
      </c>
      <c r="AX133" s="24">
        <v>3162</v>
      </c>
      <c r="AY133" s="24">
        <v>0.2807017543859649</v>
      </c>
      <c r="AZ133" s="24">
        <v>0.2807017543859649</v>
      </c>
      <c r="BA133" s="24">
        <v>82</v>
      </c>
      <c r="BB133" s="24">
        <v>143500</v>
      </c>
      <c r="BC133" s="24" t="s">
        <v>547</v>
      </c>
      <c r="BD133" s="27" t="s">
        <v>562</v>
      </c>
    </row>
    <row r="134" spans="1:56" x14ac:dyDescent="0.3">
      <c r="A134" s="38" t="s">
        <v>164</v>
      </c>
      <c r="B134" s="39">
        <v>45403</v>
      </c>
      <c r="C134" s="38" t="s">
        <v>16</v>
      </c>
      <c r="D134" s="38" t="s">
        <v>20</v>
      </c>
      <c r="E134" s="38" t="s">
        <v>38</v>
      </c>
      <c r="F134" s="40" t="s">
        <v>23</v>
      </c>
      <c r="G134" s="38">
        <v>54</v>
      </c>
      <c r="H134" s="38" t="str">
        <f>IFERROR('Automated raw'!$F134+'Automated raw'!$G134,"-")</f>
        <v>-</v>
      </c>
      <c r="I134" s="38">
        <v>273</v>
      </c>
      <c r="J134" s="38">
        <v>32</v>
      </c>
      <c r="K134" s="38">
        <v>4</v>
      </c>
      <c r="L134" s="38">
        <v>1728</v>
      </c>
      <c r="M134" s="38">
        <v>1885</v>
      </c>
      <c r="N134" s="38" t="e">
        <f>'Automated raw'!$G134/'Automated raw'!$H134</f>
        <v>#VALUE!</v>
      </c>
      <c r="O134" s="49" t="str">
        <f>IFERROR('Automated raw'!$G134/'Automated raw'!$H134,"incomplete")</f>
        <v>incomplete</v>
      </c>
      <c r="P134" s="38" t="str">
        <f>'Automated raw'!$F134</f>
        <v>Not Available</v>
      </c>
      <c r="Q134" s="42">
        <f>IFERROR('Automated raw'!$P134*'Automated raw'!$L134,0)</f>
        <v>0</v>
      </c>
      <c r="R134" s="38" t="str">
        <f>IF('Automated raw'!$O134&gt;=60%,"High",IF('Automated raw'!$O134&gt;=30%,"Avg",IF('Automated raw'!$O134&lt;30%,"Dead Stock","Incomplete")))</f>
        <v>High</v>
      </c>
      <c r="S134" s="43" t="str">
        <f>TEXT('Automated raw'!$B134,"mmm")</f>
        <v>Apr</v>
      </c>
      <c r="T134" s="82">
        <f>'Automated raw'!$G134*'Automated raw'!$M134</f>
        <v>101790</v>
      </c>
      <c r="U134" s="6" t="str">
        <f>IFERROR((Table7[[#This Row],[Stock In(Total)]]+Table7[[#This Row],[In Stock or Remaining]])/2,"-")</f>
        <v>-</v>
      </c>
      <c r="V134" s="93" t="str">
        <f>IFERROR(Table7[[#This Row],[Stock_Out]]/Table7[[#This Row],[Avg Inventory]],"-")</f>
        <v>-</v>
      </c>
      <c r="W134" s="6"/>
      <c r="X134" s="6"/>
      <c r="Y134" s="6"/>
      <c r="Z134" s="6"/>
      <c r="AA134" s="6"/>
      <c r="AB134" s="6"/>
      <c r="AC134" s="6"/>
      <c r="AD134" s="6"/>
      <c r="AE134" s="6"/>
      <c r="AF134" s="6"/>
      <c r="AG134" s="6"/>
      <c r="AH134" s="6"/>
      <c r="AI134" s="6"/>
      <c r="AJ134" s="6"/>
      <c r="AK134" s="6"/>
      <c r="AL134" s="26" t="s">
        <v>234</v>
      </c>
      <c r="AM134" s="24">
        <v>45461</v>
      </c>
      <c r="AN134" s="24" t="s">
        <v>19</v>
      </c>
      <c r="AO134" s="24" t="s">
        <v>20</v>
      </c>
      <c r="AP134" s="24" t="s">
        <v>33</v>
      </c>
      <c r="AQ134" s="24">
        <v>74</v>
      </c>
      <c r="AR134" s="24">
        <v>16</v>
      </c>
      <c r="AS134" s="24">
        <v>90</v>
      </c>
      <c r="AT134" s="24">
        <v>296</v>
      </c>
      <c r="AU134" s="24">
        <v>39</v>
      </c>
      <c r="AV134" s="24">
        <v>9</v>
      </c>
      <c r="AW134" s="24">
        <v>1921</v>
      </c>
      <c r="AX134" s="24">
        <v>2541</v>
      </c>
      <c r="AY134" s="24">
        <v>0.17777777777777778</v>
      </c>
      <c r="AZ134" s="24">
        <v>0.17777777777777778</v>
      </c>
      <c r="BA134" s="24">
        <v>74</v>
      </c>
      <c r="BB134" s="24">
        <v>142154</v>
      </c>
      <c r="BC134" s="24" t="s">
        <v>547</v>
      </c>
      <c r="BD134" s="27" t="s">
        <v>559</v>
      </c>
    </row>
    <row r="135" spans="1:56" x14ac:dyDescent="0.3">
      <c r="A135" s="38" t="s">
        <v>277</v>
      </c>
      <c r="B135" s="39">
        <v>45354</v>
      </c>
      <c r="C135" s="38" t="s">
        <v>45</v>
      </c>
      <c r="D135" s="38" t="s">
        <v>13</v>
      </c>
      <c r="E135" s="38" t="s">
        <v>38</v>
      </c>
      <c r="F135" s="40">
        <v>103</v>
      </c>
      <c r="G135" s="38">
        <v>60</v>
      </c>
      <c r="H135" s="38">
        <f>IFERROR('Automated raw'!$F246+'Automated raw'!$G246,"-")</f>
        <v>258</v>
      </c>
      <c r="I135" s="38">
        <v>299</v>
      </c>
      <c r="J135" s="38">
        <v>78</v>
      </c>
      <c r="K135" s="38">
        <v>10</v>
      </c>
      <c r="L135" s="38">
        <v>1465</v>
      </c>
      <c r="M135" s="38">
        <v>2738</v>
      </c>
      <c r="N135" s="38">
        <f>'Automated raw'!$G246/'Automated raw'!$H246</f>
        <v>0.81021897810218979</v>
      </c>
      <c r="O135" s="41">
        <f>IFERROR('Automated raw'!$G246/'Automated raw'!$H246,"incomplete")</f>
        <v>0.81021897810218979</v>
      </c>
      <c r="P135" s="38">
        <f>'Automated raw'!$F246</f>
        <v>147</v>
      </c>
      <c r="Q135" s="42">
        <f>IFERROR('Automated raw'!$P246*'Automated raw'!$L246,0)</f>
        <v>35770</v>
      </c>
      <c r="R135" s="38" t="str">
        <f>IF('Automated raw'!$O246&gt;=60%,"High",IF('Automated raw'!$O246&gt;=30%,"Avg",IF('Automated raw'!$O246&lt;30%,"Dead Stock","Incomplete")))</f>
        <v>High</v>
      </c>
      <c r="S135" s="43" t="str">
        <f>TEXT('Automated raw'!$B246,"mmm")</f>
        <v>Mar</v>
      </c>
      <c r="T135" s="82">
        <f>'Automated raw'!$G246*'Automated raw'!$M246</f>
        <v>166056</v>
      </c>
      <c r="U135" s="6">
        <f>IFERROR((Table7[[#This Row],[Stock In(Total)]]+Table7[[#This Row],[In Stock or Remaining]])/2,"-")</f>
        <v>180.5</v>
      </c>
      <c r="V135" s="93">
        <f>IFERROR(Table7[[#This Row],[Stock_Out]]/Table7[[#This Row],[Avg Inventory]],"-")</f>
        <v>0.33240997229916897</v>
      </c>
      <c r="W135" s="6"/>
      <c r="X135" s="6"/>
      <c r="Y135" s="6"/>
      <c r="Z135" s="6"/>
      <c r="AA135" s="6"/>
      <c r="AB135" s="6"/>
      <c r="AC135" s="6"/>
      <c r="AD135" s="6"/>
      <c r="AE135" s="6"/>
      <c r="AF135" s="6"/>
      <c r="AG135" s="6"/>
      <c r="AH135" s="6"/>
      <c r="AI135" s="6"/>
      <c r="AJ135" s="6"/>
      <c r="AK135" s="6"/>
      <c r="AL135" s="26" t="s">
        <v>381</v>
      </c>
      <c r="AM135" s="24">
        <v>45554</v>
      </c>
      <c r="AN135" s="24" t="s">
        <v>45</v>
      </c>
      <c r="AO135" s="24" t="s">
        <v>20</v>
      </c>
      <c r="AP135" s="24" t="s">
        <v>21</v>
      </c>
      <c r="AQ135" s="24">
        <v>116</v>
      </c>
      <c r="AR135" s="24">
        <v>36</v>
      </c>
      <c r="AS135" s="24">
        <v>152</v>
      </c>
      <c r="AT135" s="24">
        <v>262</v>
      </c>
      <c r="AU135" s="24">
        <v>77</v>
      </c>
      <c r="AV135" s="24">
        <v>15</v>
      </c>
      <c r="AW135" s="24">
        <v>1218</v>
      </c>
      <c r="AX135" s="24">
        <v>2670</v>
      </c>
      <c r="AY135" s="24">
        <v>0.23684210526315788</v>
      </c>
      <c r="AZ135" s="24">
        <v>0.23684210526315788</v>
      </c>
      <c r="BA135" s="24">
        <v>116</v>
      </c>
      <c r="BB135" s="24">
        <v>141288</v>
      </c>
      <c r="BC135" s="24" t="s">
        <v>547</v>
      </c>
      <c r="BD135" s="27" t="s">
        <v>560</v>
      </c>
    </row>
    <row r="136" spans="1:56" x14ac:dyDescent="0.3">
      <c r="A136" s="38" t="s">
        <v>166</v>
      </c>
      <c r="B136" s="39">
        <v>45307</v>
      </c>
      <c r="C136" s="38" t="s">
        <v>53</v>
      </c>
      <c r="D136" s="38" t="s">
        <v>20</v>
      </c>
      <c r="E136" s="38" t="s">
        <v>21</v>
      </c>
      <c r="F136" s="40" t="s">
        <v>23</v>
      </c>
      <c r="G136" s="38">
        <v>77</v>
      </c>
      <c r="H136" s="38" t="str">
        <f>IFERROR('Automated raw'!$F136+'Automated raw'!$G136,"-")</f>
        <v>-</v>
      </c>
      <c r="I136" s="38">
        <v>43</v>
      </c>
      <c r="J136" s="38">
        <v>79</v>
      </c>
      <c r="K136" s="38">
        <v>5</v>
      </c>
      <c r="L136" s="38">
        <v>1605</v>
      </c>
      <c r="M136" s="38">
        <v>2087</v>
      </c>
      <c r="N136" s="38" t="e">
        <f>'Automated raw'!$G136/'Automated raw'!$H136</f>
        <v>#VALUE!</v>
      </c>
      <c r="O136" s="49" t="str">
        <f>IFERROR('Automated raw'!$G136/'Automated raw'!$H136,"incomplete")</f>
        <v>incomplete</v>
      </c>
      <c r="P136" s="38" t="str">
        <f>'Automated raw'!$F136</f>
        <v>Not Available</v>
      </c>
      <c r="Q136" s="42">
        <f>IFERROR('Automated raw'!$P136*'Automated raw'!$L136,0)</f>
        <v>0</v>
      </c>
      <c r="R136" s="38" t="str">
        <f>IF('Automated raw'!$O136&gt;=60%,"High",IF('Automated raw'!$O136&gt;=30%,"Avg",IF('Automated raw'!$O136&lt;30%,"Dead Stock","Incomplete")))</f>
        <v>High</v>
      </c>
      <c r="S136" s="43" t="str">
        <f>TEXT('Automated raw'!$B136,"mmm")</f>
        <v>Jan</v>
      </c>
      <c r="T136" s="82">
        <f>'Automated raw'!$G136*'Automated raw'!$M136</f>
        <v>160699</v>
      </c>
      <c r="U136" s="6" t="str">
        <f>IFERROR((Table7[[#This Row],[Stock In(Total)]]+Table7[[#This Row],[In Stock or Remaining]])/2,"-")</f>
        <v>-</v>
      </c>
      <c r="V136" s="93" t="str">
        <f>IFERROR(Table7[[#This Row],[Stock_Out]]/Table7[[#This Row],[Avg Inventory]],"-")</f>
        <v>-</v>
      </c>
      <c r="W136" s="6"/>
      <c r="X136" s="6"/>
      <c r="Y136" s="6"/>
      <c r="Z136" s="6"/>
      <c r="AA136" s="6"/>
      <c r="AB136" s="6"/>
      <c r="AC136" s="6"/>
      <c r="AD136" s="6"/>
      <c r="AE136" s="6"/>
      <c r="AF136" s="6"/>
      <c r="AG136" s="6"/>
      <c r="AH136" s="6"/>
      <c r="AI136" s="6"/>
      <c r="AJ136" s="6"/>
      <c r="AK136" s="6"/>
      <c r="AL136" s="26" t="s">
        <v>283</v>
      </c>
      <c r="AM136" s="24">
        <v>45450</v>
      </c>
      <c r="AN136" s="24" t="s">
        <v>26</v>
      </c>
      <c r="AO136" s="24" t="s">
        <v>13</v>
      </c>
      <c r="AP136" s="24" t="s">
        <v>14</v>
      </c>
      <c r="AQ136" s="24">
        <v>149</v>
      </c>
      <c r="AR136" s="24">
        <v>37</v>
      </c>
      <c r="AS136" s="24">
        <v>186</v>
      </c>
      <c r="AT136" s="24">
        <v>215</v>
      </c>
      <c r="AU136" s="24">
        <v>74</v>
      </c>
      <c r="AV136" s="24">
        <v>4</v>
      </c>
      <c r="AW136" s="24">
        <v>942</v>
      </c>
      <c r="AX136" s="24">
        <v>1679</v>
      </c>
      <c r="AY136" s="24">
        <v>0.19892473118279569</v>
      </c>
      <c r="AZ136" s="24">
        <v>0.19892473118279569</v>
      </c>
      <c r="BA136" s="24">
        <v>149</v>
      </c>
      <c r="BB136" s="24">
        <v>140358</v>
      </c>
      <c r="BC136" s="24" t="s">
        <v>547</v>
      </c>
      <c r="BD136" s="27" t="s">
        <v>559</v>
      </c>
    </row>
    <row r="137" spans="1:56" x14ac:dyDescent="0.3">
      <c r="A137" s="44" t="s">
        <v>167</v>
      </c>
      <c r="B137" s="45">
        <v>45569</v>
      </c>
      <c r="C137" s="44" t="s">
        <v>53</v>
      </c>
      <c r="D137" s="44" t="s">
        <v>20</v>
      </c>
      <c r="E137" s="44" t="s">
        <v>14</v>
      </c>
      <c r="F137" s="40">
        <v>137</v>
      </c>
      <c r="G137" s="44">
        <v>22</v>
      </c>
      <c r="H137" s="44">
        <f>IFERROR('Automated raw'!$F137+'Automated raw'!$G137,"-")</f>
        <v>159</v>
      </c>
      <c r="I137" s="44">
        <v>23</v>
      </c>
      <c r="J137" s="44">
        <v>61</v>
      </c>
      <c r="K137" s="44">
        <v>2</v>
      </c>
      <c r="L137" s="44">
        <v>1822</v>
      </c>
      <c r="M137" s="44">
        <v>3022</v>
      </c>
      <c r="N137" s="44">
        <f>'Automated raw'!$G137/'Automated raw'!$H137</f>
        <v>0.13836477987421383</v>
      </c>
      <c r="O137" s="46">
        <f>IFERROR('Automated raw'!$G137/'Automated raw'!$H137,"incomplete")</f>
        <v>0.13836477987421383</v>
      </c>
      <c r="P137" s="44">
        <f>'Automated raw'!$F137</f>
        <v>137</v>
      </c>
      <c r="Q137" s="47">
        <f>IFERROR('Automated raw'!$P137*'Automated raw'!$L137,0)</f>
        <v>249614</v>
      </c>
      <c r="R137" s="44" t="str">
        <f>IF('Automated raw'!$O137&gt;=60%,"High",IF('Automated raw'!$O137&gt;=30%,"Avg",IF('Automated raw'!$O137&lt;30%,"Dead Stock","Incomplete")))</f>
        <v>Dead Stock</v>
      </c>
      <c r="S137" s="48" t="str">
        <f>TEXT('Automated raw'!$B137,"mmm")</f>
        <v>Oct</v>
      </c>
      <c r="T137" s="83">
        <f>'Automated raw'!$G137*'Automated raw'!$M137</f>
        <v>66484</v>
      </c>
      <c r="U137" s="6">
        <f>IFERROR((Table7[[#This Row],[Stock In(Total)]]+Table7[[#This Row],[In Stock or Remaining]])/2,"-")</f>
        <v>148</v>
      </c>
      <c r="V137" s="93">
        <f>IFERROR(Table7[[#This Row],[Stock_Out]]/Table7[[#This Row],[Avg Inventory]],"-")</f>
        <v>0.14864864864864866</v>
      </c>
      <c r="W137" s="6"/>
      <c r="X137" s="6"/>
      <c r="Y137" s="6"/>
      <c r="Z137" s="6"/>
      <c r="AA137" s="6"/>
      <c r="AB137" s="6"/>
      <c r="AC137" s="6"/>
      <c r="AD137" s="6"/>
      <c r="AE137" s="6"/>
      <c r="AF137" s="6"/>
      <c r="AG137" s="6"/>
      <c r="AH137" s="6"/>
      <c r="AI137" s="6"/>
      <c r="AJ137" s="6"/>
      <c r="AK137" s="6"/>
      <c r="AL137" s="26" t="s">
        <v>15</v>
      </c>
      <c r="AM137" s="24">
        <v>45512</v>
      </c>
      <c r="AN137" s="24" t="s">
        <v>16</v>
      </c>
      <c r="AO137" s="24" t="s">
        <v>17</v>
      </c>
      <c r="AP137" s="24" t="s">
        <v>14</v>
      </c>
      <c r="AQ137" s="24">
        <v>117</v>
      </c>
      <c r="AR137" s="24">
        <v>10</v>
      </c>
      <c r="AS137" s="24">
        <v>127</v>
      </c>
      <c r="AT137" s="24">
        <v>49</v>
      </c>
      <c r="AU137" s="24">
        <v>69</v>
      </c>
      <c r="AV137" s="24">
        <v>2</v>
      </c>
      <c r="AW137" s="24">
        <v>1178</v>
      </c>
      <c r="AX137" s="24">
        <v>2614</v>
      </c>
      <c r="AY137" s="24">
        <v>7.874015748031496E-2</v>
      </c>
      <c r="AZ137" s="24">
        <v>7.874015748031496E-2</v>
      </c>
      <c r="BA137" s="24">
        <v>117</v>
      </c>
      <c r="BB137" s="24">
        <v>137826</v>
      </c>
      <c r="BC137" s="24" t="s">
        <v>547</v>
      </c>
      <c r="BD137" s="27" t="s">
        <v>554</v>
      </c>
    </row>
    <row r="138" spans="1:56" x14ac:dyDescent="0.3">
      <c r="A138" s="44" t="s">
        <v>286</v>
      </c>
      <c r="B138" s="45">
        <v>45336</v>
      </c>
      <c r="C138" s="44" t="s">
        <v>12</v>
      </c>
      <c r="D138" s="44" t="s">
        <v>20</v>
      </c>
      <c r="E138" s="44" t="s">
        <v>14</v>
      </c>
      <c r="F138" s="40">
        <v>96</v>
      </c>
      <c r="G138" s="44">
        <v>56</v>
      </c>
      <c r="H138" s="44">
        <f>IFERROR('Automated raw'!$F255+'Automated raw'!$G255,"-")</f>
        <v>85</v>
      </c>
      <c r="I138" s="44">
        <v>64</v>
      </c>
      <c r="J138" s="44">
        <v>72</v>
      </c>
      <c r="K138" s="44">
        <v>12</v>
      </c>
      <c r="L138" s="44">
        <v>1606</v>
      </c>
      <c r="M138" s="44">
        <v>3052</v>
      </c>
      <c r="N138" s="44">
        <f>'Automated raw'!$G255/'Automated raw'!$H255</f>
        <v>0.59677419354838712</v>
      </c>
      <c r="O138" s="46">
        <f>IFERROR('Automated raw'!$G255/'Automated raw'!$H255,"incomplete")</f>
        <v>0.59677419354838712</v>
      </c>
      <c r="P138" s="44">
        <f>'Automated raw'!$F255</f>
        <v>48</v>
      </c>
      <c r="Q138" s="47">
        <f>IFERROR('Automated raw'!$P255*'Automated raw'!$L255,0)</f>
        <v>30800</v>
      </c>
      <c r="R138" s="44" t="str">
        <f>IF('Automated raw'!$O255&gt;=60%,"High",IF('Automated raw'!$O255&gt;=30%,"Avg",IF('Automated raw'!$O255&lt;30%,"Dead Stock","Incomplete")))</f>
        <v>Avg</v>
      </c>
      <c r="S138" s="48" t="str">
        <f>TEXT('Automated raw'!$B255,"mmm")</f>
        <v>Oct</v>
      </c>
      <c r="T138" s="83">
        <f>'Automated raw'!$G255*'Automated raw'!$M255</f>
        <v>49469</v>
      </c>
      <c r="U138" s="6">
        <f>IFERROR((Table7[[#This Row],[Stock In(Total)]]+Table7[[#This Row],[In Stock or Remaining]])/2,"-")</f>
        <v>90.5</v>
      </c>
      <c r="V138" s="93">
        <f>IFERROR(Table7[[#This Row],[Stock_Out]]/Table7[[#This Row],[Avg Inventory]],"-")</f>
        <v>0.61878453038674031</v>
      </c>
      <c r="W138" s="6"/>
      <c r="X138" s="6"/>
      <c r="Y138" s="6"/>
      <c r="Z138" s="6"/>
      <c r="AA138" s="6"/>
      <c r="AB138" s="6"/>
      <c r="AC138" s="6"/>
      <c r="AD138" s="6"/>
      <c r="AE138" s="6"/>
      <c r="AF138" s="6"/>
      <c r="AG138" s="6"/>
      <c r="AH138" s="6"/>
      <c r="AI138" s="6"/>
      <c r="AJ138" s="6"/>
      <c r="AK138" s="6"/>
      <c r="AL138" s="26" t="s">
        <v>363</v>
      </c>
      <c r="AM138" s="24">
        <v>45427</v>
      </c>
      <c r="AN138" s="24" t="s">
        <v>37</v>
      </c>
      <c r="AO138" s="24" t="s">
        <v>13</v>
      </c>
      <c r="AP138" s="24" t="s">
        <v>21</v>
      </c>
      <c r="AQ138" s="24">
        <v>149</v>
      </c>
      <c r="AR138" s="24">
        <v>51</v>
      </c>
      <c r="AS138" s="24">
        <v>200</v>
      </c>
      <c r="AT138" s="24">
        <v>100</v>
      </c>
      <c r="AU138" s="24">
        <v>41</v>
      </c>
      <c r="AV138" s="24">
        <v>9</v>
      </c>
      <c r="AW138" s="24">
        <v>920</v>
      </c>
      <c r="AX138" s="24">
        <v>2308</v>
      </c>
      <c r="AY138" s="24">
        <v>0.255</v>
      </c>
      <c r="AZ138" s="24">
        <v>0.255</v>
      </c>
      <c r="BA138" s="24">
        <v>149</v>
      </c>
      <c r="BB138" s="24">
        <v>137080</v>
      </c>
      <c r="BC138" s="24" t="s">
        <v>547</v>
      </c>
      <c r="BD138" s="27" t="s">
        <v>561</v>
      </c>
    </row>
    <row r="139" spans="1:56" x14ac:dyDescent="0.3">
      <c r="A139" s="44" t="s">
        <v>156</v>
      </c>
      <c r="B139" s="45">
        <v>45319</v>
      </c>
      <c r="C139" s="44" t="s">
        <v>157</v>
      </c>
      <c r="D139" s="44" t="s">
        <v>20</v>
      </c>
      <c r="E139" s="44" t="s">
        <v>38</v>
      </c>
      <c r="F139" s="40">
        <v>114</v>
      </c>
      <c r="G139" s="44">
        <v>67</v>
      </c>
      <c r="H139" s="44">
        <f>IFERROR('Automated raw'!$F127+'Automated raw'!$G127,"-")</f>
        <v>98</v>
      </c>
      <c r="I139" s="44">
        <v>43</v>
      </c>
      <c r="J139" s="44">
        <v>32</v>
      </c>
      <c r="K139" s="44">
        <v>13</v>
      </c>
      <c r="L139" s="44">
        <v>843</v>
      </c>
      <c r="M139" s="44">
        <v>1460</v>
      </c>
      <c r="N139" s="44">
        <f>'Automated raw'!$G127/'Automated raw'!$H127</f>
        <v>0.16666666666666666</v>
      </c>
      <c r="O139" s="46">
        <f>IFERROR('Automated raw'!$G127/'Automated raw'!$H127,"incomplete")</f>
        <v>0.16666666666666666</v>
      </c>
      <c r="P139" s="44">
        <f>'Automated raw'!$F127</f>
        <v>62</v>
      </c>
      <c r="Q139" s="47">
        <f>IFERROR('Automated raw'!$P127*'Automated raw'!$L127,0)</f>
        <v>68992</v>
      </c>
      <c r="R139" s="44" t="str">
        <f>IF('Automated raw'!$O127&gt;=60%,"High",IF('Automated raw'!$O127&gt;=30%,"Avg",IF('Automated raw'!$O127&lt;30%,"Dead Stock","Incomplete")))</f>
        <v>Avg</v>
      </c>
      <c r="S139" s="48" t="str">
        <f>TEXT('Automated raw'!$B127,"mmm")</f>
        <v>Jan</v>
      </c>
      <c r="T139" s="83">
        <f>'Automated raw'!$G127*'Automated raw'!$M127</f>
        <v>59904</v>
      </c>
      <c r="U139" s="6">
        <f>IFERROR((Table7[[#This Row],[Stock In(Total)]]+Table7[[#This Row],[In Stock or Remaining]])/2,"-")</f>
        <v>106</v>
      </c>
      <c r="V139" s="93">
        <f>IFERROR(Table7[[#This Row],[Stock_Out]]/Table7[[#This Row],[Avg Inventory]],"-")</f>
        <v>0.63207547169811318</v>
      </c>
      <c r="W139" s="6"/>
      <c r="X139" s="6"/>
      <c r="Y139" s="6"/>
      <c r="Z139" s="6"/>
      <c r="AA139" s="6"/>
      <c r="AB139" s="6"/>
      <c r="AC139" s="6"/>
      <c r="AD139" s="6"/>
      <c r="AE139" s="6"/>
      <c r="AF139" s="6"/>
      <c r="AG139" s="6"/>
      <c r="AH139" s="6"/>
      <c r="AI139" s="6"/>
      <c r="AJ139" s="6"/>
      <c r="AK139" s="6"/>
      <c r="AL139" s="26" t="s">
        <v>475</v>
      </c>
      <c r="AM139" s="24">
        <v>45618</v>
      </c>
      <c r="AN139" s="24" t="s">
        <v>30</v>
      </c>
      <c r="AO139" s="24" t="s">
        <v>13</v>
      </c>
      <c r="AP139" s="24" t="s">
        <v>14</v>
      </c>
      <c r="AQ139" s="24">
        <v>112</v>
      </c>
      <c r="AR139" s="24">
        <v>15</v>
      </c>
      <c r="AS139" s="24">
        <v>127</v>
      </c>
      <c r="AT139" s="24">
        <v>92</v>
      </c>
      <c r="AU139" s="24">
        <v>50</v>
      </c>
      <c r="AV139" s="24">
        <v>8</v>
      </c>
      <c r="AW139" s="24">
        <v>1151</v>
      </c>
      <c r="AX139" s="24">
        <v>2037</v>
      </c>
      <c r="AY139" s="24">
        <v>0.11811023622047244</v>
      </c>
      <c r="AZ139" s="24">
        <v>0.11811023622047244</v>
      </c>
      <c r="BA139" s="24">
        <v>112</v>
      </c>
      <c r="BB139" s="24">
        <v>128912</v>
      </c>
      <c r="BC139" s="24" t="s">
        <v>547</v>
      </c>
      <c r="BD139" s="27" t="s">
        <v>564</v>
      </c>
    </row>
    <row r="140" spans="1:56" x14ac:dyDescent="0.3">
      <c r="A140" s="44" t="s">
        <v>414</v>
      </c>
      <c r="B140" s="45">
        <v>45459</v>
      </c>
      <c r="C140" s="44" t="s">
        <v>53</v>
      </c>
      <c r="D140" s="44" t="s">
        <v>20</v>
      </c>
      <c r="E140" s="44" t="s">
        <v>21</v>
      </c>
      <c r="F140" s="40">
        <v>142</v>
      </c>
      <c r="G140" s="44">
        <v>84</v>
      </c>
      <c r="H140" s="44">
        <f>IFERROR('Automated raw'!$F381+'Automated raw'!$G381,"-")</f>
        <v>127</v>
      </c>
      <c r="I140" s="44">
        <v>193</v>
      </c>
      <c r="J140" s="44">
        <v>77</v>
      </c>
      <c r="K140" s="44">
        <v>7</v>
      </c>
      <c r="L140" s="44">
        <v>920</v>
      </c>
      <c r="M140" s="44">
        <v>1426</v>
      </c>
      <c r="N140" s="44">
        <f>'Automated raw'!$G381/'Automated raw'!$H381</f>
        <v>0.64</v>
      </c>
      <c r="O140" s="46">
        <f>IFERROR('Automated raw'!$G381/'Automated raw'!$H381,"incomplete")</f>
        <v>0.64</v>
      </c>
      <c r="P140" s="44">
        <f>'Automated raw'!$F381</f>
        <v>63</v>
      </c>
      <c r="Q140" s="47">
        <f>IFERROR('Automated raw'!$P381*'Automated raw'!$L381,0)</f>
        <v>79483</v>
      </c>
      <c r="R140" s="44" t="str">
        <f>IF('Automated raw'!$O381&gt;=60%,"High",IF('Automated raw'!$O381&gt;=30%,"Avg",IF('Automated raw'!$O381&lt;30%,"Dead Stock","Incomplete")))</f>
        <v>Dead Stock</v>
      </c>
      <c r="S140" s="48" t="str">
        <f>TEXT('Automated raw'!$B381,"mmm")</f>
        <v>Jun</v>
      </c>
      <c r="T140" s="83">
        <f>'Automated raw'!$G381*'Automated raw'!$M381</f>
        <v>117504</v>
      </c>
      <c r="U140" s="6">
        <f>IFERROR((Table7[[#This Row],[Stock In(Total)]]+Table7[[#This Row],[In Stock or Remaining]])/2,"-")</f>
        <v>134.5</v>
      </c>
      <c r="V140" s="93">
        <f>IFERROR(Table7[[#This Row],[Stock_Out]]/Table7[[#This Row],[Avg Inventory]],"-")</f>
        <v>0.62453531598513012</v>
      </c>
      <c r="W140" s="6"/>
      <c r="X140" s="6"/>
      <c r="Y140" s="6"/>
      <c r="Z140" s="6"/>
      <c r="AA140" s="6"/>
      <c r="AB140" s="6"/>
      <c r="AC140" s="6"/>
      <c r="AD140" s="6"/>
      <c r="AE140" s="6"/>
      <c r="AF140" s="6"/>
      <c r="AG140" s="6"/>
      <c r="AH140" s="6"/>
      <c r="AI140" s="6"/>
      <c r="AJ140" s="6"/>
      <c r="AK140" s="6"/>
      <c r="AL140" s="26" t="s">
        <v>423</v>
      </c>
      <c r="AM140" s="24">
        <v>45542</v>
      </c>
      <c r="AN140" s="24" t="s">
        <v>19</v>
      </c>
      <c r="AO140" s="24" t="s">
        <v>17</v>
      </c>
      <c r="AP140" s="24" t="s">
        <v>23</v>
      </c>
      <c r="AQ140" s="24">
        <v>110</v>
      </c>
      <c r="AR140" s="24">
        <v>2</v>
      </c>
      <c r="AS140" s="24">
        <v>112</v>
      </c>
      <c r="AT140" s="24">
        <v>80</v>
      </c>
      <c r="AU140" s="24">
        <v>30</v>
      </c>
      <c r="AV140" s="24">
        <v>4</v>
      </c>
      <c r="AW140" s="24">
        <v>1170</v>
      </c>
      <c r="AX140" s="24">
        <v>2248</v>
      </c>
      <c r="AY140" s="24">
        <v>1.7857142857142856E-2</v>
      </c>
      <c r="AZ140" s="24">
        <v>1.7857142857142856E-2</v>
      </c>
      <c r="BA140" s="24">
        <v>110</v>
      </c>
      <c r="BB140" s="24">
        <v>128700</v>
      </c>
      <c r="BC140" s="24" t="s">
        <v>547</v>
      </c>
      <c r="BD140" s="27" t="s">
        <v>560</v>
      </c>
    </row>
    <row r="141" spans="1:56" x14ac:dyDescent="0.3">
      <c r="A141" s="44" t="s">
        <v>171</v>
      </c>
      <c r="B141" s="45">
        <v>45599</v>
      </c>
      <c r="C141" s="44" t="s">
        <v>26</v>
      </c>
      <c r="D141" s="44" t="s">
        <v>20</v>
      </c>
      <c r="E141" s="44" t="s">
        <v>14</v>
      </c>
      <c r="F141" s="40">
        <v>47</v>
      </c>
      <c r="G141" s="44">
        <v>84</v>
      </c>
      <c r="H141" s="44">
        <f>IFERROR('Automated raw'!$F141+'Automated raw'!$G141,"-")</f>
        <v>131</v>
      </c>
      <c r="I141" s="44">
        <v>262</v>
      </c>
      <c r="J141" s="44">
        <v>30</v>
      </c>
      <c r="K141" s="44">
        <v>13</v>
      </c>
      <c r="L141" s="44">
        <v>1777</v>
      </c>
      <c r="M141" s="44">
        <v>3007</v>
      </c>
      <c r="N141" s="44">
        <f>'Automated raw'!$G141/'Automated raw'!$H141</f>
        <v>0.64122137404580148</v>
      </c>
      <c r="O141" s="46">
        <f>IFERROR('Automated raw'!$G141/'Automated raw'!$H141,"incomplete")</f>
        <v>0.64122137404580148</v>
      </c>
      <c r="P141" s="44">
        <f>'Automated raw'!$F141</f>
        <v>47</v>
      </c>
      <c r="Q141" s="47">
        <f>IFERROR('Automated raw'!$P141*'Automated raw'!$L141,0)</f>
        <v>83519</v>
      </c>
      <c r="R141" s="44" t="str">
        <f>IF('Automated raw'!$O141&gt;=60%,"High",IF('Automated raw'!$O141&gt;=30%,"Avg",IF('Automated raw'!$O141&lt;30%,"Dead Stock","Incomplete")))</f>
        <v>High</v>
      </c>
      <c r="S141" s="48" t="str">
        <f>TEXT('Automated raw'!$B141,"mmm")</f>
        <v>Nov</v>
      </c>
      <c r="T141" s="83">
        <f>'Automated raw'!$G141*'Automated raw'!$M141</f>
        <v>252588</v>
      </c>
      <c r="U141" s="6">
        <f>IFERROR((Table7[[#This Row],[Stock In(Total)]]+Table7[[#This Row],[In Stock or Remaining]])/2,"-")</f>
        <v>89</v>
      </c>
      <c r="V141" s="93">
        <f>IFERROR(Table7[[#This Row],[Stock_Out]]/Table7[[#This Row],[Avg Inventory]],"-")</f>
        <v>0.9438202247191011</v>
      </c>
      <c r="W141" s="6"/>
      <c r="X141" s="6"/>
      <c r="Y141" s="6"/>
      <c r="Z141" s="6"/>
      <c r="AA141" s="6"/>
      <c r="AB141" s="6"/>
      <c r="AC141" s="6"/>
      <c r="AD141" s="6"/>
      <c r="AE141" s="6"/>
      <c r="AF141" s="6"/>
      <c r="AG141" s="6"/>
      <c r="AH141" s="6"/>
      <c r="AI141" s="6"/>
      <c r="AJ141" s="6"/>
      <c r="AK141" s="6"/>
      <c r="AL141" s="26" t="s">
        <v>175</v>
      </c>
      <c r="AM141" s="24">
        <v>45362</v>
      </c>
      <c r="AN141" s="24" t="s">
        <v>30</v>
      </c>
      <c r="AO141" s="24" t="s">
        <v>13</v>
      </c>
      <c r="AP141" s="24" t="s">
        <v>21</v>
      </c>
      <c r="AQ141" s="24">
        <v>74</v>
      </c>
      <c r="AR141" s="24">
        <v>29</v>
      </c>
      <c r="AS141" s="24">
        <v>103</v>
      </c>
      <c r="AT141" s="24">
        <v>151</v>
      </c>
      <c r="AU141" s="24">
        <v>79</v>
      </c>
      <c r="AV141" s="24">
        <v>11</v>
      </c>
      <c r="AW141" s="24">
        <v>1707</v>
      </c>
      <c r="AX141" s="24">
        <v>3043</v>
      </c>
      <c r="AY141" s="24">
        <v>0.28155339805825241</v>
      </c>
      <c r="AZ141" s="24">
        <v>0.28155339805825241</v>
      </c>
      <c r="BA141" s="24">
        <v>74</v>
      </c>
      <c r="BB141" s="24">
        <v>126318</v>
      </c>
      <c r="BC141" s="24" t="s">
        <v>547</v>
      </c>
      <c r="BD141" s="27" t="s">
        <v>562</v>
      </c>
    </row>
    <row r="142" spans="1:56" x14ac:dyDescent="0.3">
      <c r="A142" s="44" t="s">
        <v>34</v>
      </c>
      <c r="B142" s="45">
        <v>45298</v>
      </c>
      <c r="C142" s="44" t="s">
        <v>35</v>
      </c>
      <c r="D142" s="44" t="s">
        <v>20</v>
      </c>
      <c r="E142" s="44" t="s">
        <v>14</v>
      </c>
      <c r="F142" s="40">
        <v>123</v>
      </c>
      <c r="G142" s="44">
        <v>73</v>
      </c>
      <c r="H142" s="44">
        <f>IFERROR('Automated raw'!$F13+'Automated raw'!$G13,"-")</f>
        <v>187</v>
      </c>
      <c r="I142" s="44">
        <v>229</v>
      </c>
      <c r="J142" s="44">
        <v>48</v>
      </c>
      <c r="K142" s="44">
        <v>8</v>
      </c>
      <c r="L142" s="44">
        <v>723</v>
      </c>
      <c r="M142" s="44">
        <v>1158</v>
      </c>
      <c r="N142" s="44">
        <f>'Automated raw'!$G13/'Automated raw'!$H13</f>
        <v>0.96610169491525422</v>
      </c>
      <c r="O142" s="46">
        <f>IFERROR('Automated raw'!$G13/'Automated raw'!$H13,"incomplete")</f>
        <v>0.96610169491525422</v>
      </c>
      <c r="P142" s="44">
        <f>'Automated raw'!$F13</f>
        <v>130</v>
      </c>
      <c r="Q142" s="47">
        <f>IFERROR('Automated raw'!$P13*'Automated raw'!$L13,0)</f>
        <v>17192</v>
      </c>
      <c r="R142" s="44" t="str">
        <f>IF('Automated raw'!$O13&gt;=60%,"High",IF('Automated raw'!$O13&gt;=30%,"Avg",IF('Automated raw'!$O13&lt;30%,"Dead Stock","Incomplete")))</f>
        <v>Dead Stock</v>
      </c>
      <c r="S142" s="48" t="str">
        <f>TEXT('Automated raw'!$B13,"mmm")</f>
        <v>Aug</v>
      </c>
      <c r="T142" s="83">
        <f>'Automated raw'!$G13*'Automated raw'!$M13</f>
        <v>75468</v>
      </c>
      <c r="U142" s="6">
        <f>IFERROR((Table7[[#This Row],[Stock In(Total)]]+Table7[[#This Row],[In Stock or Remaining]])/2,"-")</f>
        <v>155</v>
      </c>
      <c r="V142" s="93">
        <f>IFERROR(Table7[[#This Row],[Stock_Out]]/Table7[[#This Row],[Avg Inventory]],"-")</f>
        <v>0.47096774193548385</v>
      </c>
      <c r="W142" s="6"/>
      <c r="X142" s="6"/>
      <c r="Y142" s="6"/>
      <c r="Z142" s="6"/>
      <c r="AA142" s="6"/>
      <c r="AB142" s="6"/>
      <c r="AC142" s="6"/>
      <c r="AD142" s="6"/>
      <c r="AE142" s="6"/>
      <c r="AF142" s="6"/>
      <c r="AG142" s="6"/>
      <c r="AH142" s="6"/>
      <c r="AI142" s="6"/>
      <c r="AJ142" s="6"/>
      <c r="AK142" s="6"/>
      <c r="AL142" s="26" t="s">
        <v>319</v>
      </c>
      <c r="AM142" s="24">
        <v>45380</v>
      </c>
      <c r="AN142" s="24" t="s">
        <v>30</v>
      </c>
      <c r="AO142" s="24" t="s">
        <v>17</v>
      </c>
      <c r="AP142" s="24" t="s">
        <v>38</v>
      </c>
      <c r="AQ142" s="24">
        <v>127</v>
      </c>
      <c r="AR142" s="24">
        <v>15</v>
      </c>
      <c r="AS142" s="24">
        <v>142</v>
      </c>
      <c r="AT142" s="24">
        <v>83</v>
      </c>
      <c r="AU142" s="24">
        <v>64</v>
      </c>
      <c r="AV142" s="24">
        <v>13</v>
      </c>
      <c r="AW142" s="24">
        <v>991</v>
      </c>
      <c r="AX142" s="24">
        <v>2331</v>
      </c>
      <c r="AY142" s="24">
        <v>0.10563380281690141</v>
      </c>
      <c r="AZ142" s="24">
        <v>0.10563380281690141</v>
      </c>
      <c r="BA142" s="24">
        <v>127</v>
      </c>
      <c r="BB142" s="24">
        <v>125857</v>
      </c>
      <c r="BC142" s="24" t="s">
        <v>547</v>
      </c>
      <c r="BD142" s="27" t="s">
        <v>562</v>
      </c>
    </row>
    <row r="143" spans="1:56" x14ac:dyDescent="0.3">
      <c r="A143" s="38" t="s">
        <v>331</v>
      </c>
      <c r="B143" s="39">
        <v>45484</v>
      </c>
      <c r="C143" s="38" t="s">
        <v>45</v>
      </c>
      <c r="D143" s="38" t="s">
        <v>20</v>
      </c>
      <c r="E143" s="38" t="s">
        <v>23</v>
      </c>
      <c r="F143" s="40">
        <v>87</v>
      </c>
      <c r="G143" s="38">
        <v>52</v>
      </c>
      <c r="H143" s="38">
        <f>IFERROR('Automated raw'!$F298+'Automated raw'!$G298,"-")</f>
        <v>255</v>
      </c>
      <c r="I143" s="38">
        <v>15</v>
      </c>
      <c r="J143" s="38">
        <v>72</v>
      </c>
      <c r="K143" s="38">
        <v>4</v>
      </c>
      <c r="L143" s="38">
        <v>1125</v>
      </c>
      <c r="M143" s="38">
        <v>2478</v>
      </c>
      <c r="N143" s="38">
        <f>'Automated raw'!$G298/'Automated raw'!$H298</f>
        <v>0.72784810126582278</v>
      </c>
      <c r="O143" s="41">
        <f>IFERROR('Automated raw'!$G298/'Automated raw'!$H298,"incomplete")</f>
        <v>0.72784810126582278</v>
      </c>
      <c r="P143" s="38">
        <f>'Automated raw'!$F298</f>
        <v>140</v>
      </c>
      <c r="Q143" s="42">
        <f>IFERROR('Automated raw'!$P298*'Automated raw'!$L298,0)</f>
        <v>40657</v>
      </c>
      <c r="R143" s="38" t="str">
        <f>IF('Automated raw'!$O298&gt;=60%,"High",IF('Automated raw'!$O298&gt;=30%,"Avg",IF('Automated raw'!$O298&lt;30%,"Dead Stock","Incomplete")))</f>
        <v>Avg</v>
      </c>
      <c r="S143" s="43" t="str">
        <f>TEXT('Automated raw'!$B298,"mmm")</f>
        <v>Nov</v>
      </c>
      <c r="T143" s="82">
        <f>'Automated raw'!$G298*'Automated raw'!$M298</f>
        <v>98670</v>
      </c>
      <c r="U143" s="6">
        <f>IFERROR((Table7[[#This Row],[Stock In(Total)]]+Table7[[#This Row],[In Stock or Remaining]])/2,"-")</f>
        <v>171</v>
      </c>
      <c r="V143" s="93">
        <f>IFERROR(Table7[[#This Row],[Stock_Out]]/Table7[[#This Row],[Avg Inventory]],"-")</f>
        <v>0.30409356725146197</v>
      </c>
      <c r="W143" s="6"/>
      <c r="X143" s="6"/>
      <c r="Y143" s="6"/>
      <c r="Z143" s="6"/>
      <c r="AA143" s="6"/>
      <c r="AB143" s="6"/>
      <c r="AC143" s="6"/>
      <c r="AD143" s="6"/>
      <c r="AE143" s="6"/>
      <c r="AF143" s="6"/>
      <c r="AG143" s="6"/>
      <c r="AH143" s="6"/>
      <c r="AI143" s="6"/>
      <c r="AJ143" s="6"/>
      <c r="AK143" s="6"/>
      <c r="AL143" s="26" t="s">
        <v>349</v>
      </c>
      <c r="AM143" s="24">
        <v>45645</v>
      </c>
      <c r="AN143" s="24" t="s">
        <v>45</v>
      </c>
      <c r="AO143" s="24" t="s">
        <v>17</v>
      </c>
      <c r="AP143" s="24" t="s">
        <v>23</v>
      </c>
      <c r="AQ143" s="24">
        <v>65</v>
      </c>
      <c r="AR143" s="24">
        <v>17</v>
      </c>
      <c r="AS143" s="24">
        <v>82</v>
      </c>
      <c r="AT143" s="24">
        <v>201</v>
      </c>
      <c r="AU143" s="24">
        <v>43</v>
      </c>
      <c r="AV143" s="24">
        <v>4</v>
      </c>
      <c r="AW143" s="24">
        <v>1906</v>
      </c>
      <c r="AX143" s="24">
        <v>2098</v>
      </c>
      <c r="AY143" s="24">
        <v>0.2073170731707317</v>
      </c>
      <c r="AZ143" s="24">
        <v>0.2073170731707317</v>
      </c>
      <c r="BA143" s="24">
        <v>65</v>
      </c>
      <c r="BB143" s="24">
        <v>123890</v>
      </c>
      <c r="BC143" s="24" t="s">
        <v>547</v>
      </c>
      <c r="BD143" s="27" t="s">
        <v>563</v>
      </c>
    </row>
    <row r="144" spans="1:56" x14ac:dyDescent="0.3">
      <c r="A144" s="38" t="s">
        <v>174</v>
      </c>
      <c r="B144" s="39">
        <v>45454</v>
      </c>
      <c r="C144" s="38" t="s">
        <v>26</v>
      </c>
      <c r="D144" s="38" t="s">
        <v>13</v>
      </c>
      <c r="E144" s="38" t="s">
        <v>14</v>
      </c>
      <c r="F144" s="40">
        <v>27</v>
      </c>
      <c r="G144" s="38">
        <v>44</v>
      </c>
      <c r="H144" s="38">
        <f>IFERROR('Automated raw'!$F144+'Automated raw'!$G144,"-")</f>
        <v>71</v>
      </c>
      <c r="I144" s="38">
        <v>233</v>
      </c>
      <c r="J144" s="38">
        <v>56</v>
      </c>
      <c r="K144" s="38">
        <v>4</v>
      </c>
      <c r="L144" s="38">
        <v>1734</v>
      </c>
      <c r="M144" s="38">
        <v>2468</v>
      </c>
      <c r="N144" s="38">
        <f>'Automated raw'!$G144/'Automated raw'!$H144</f>
        <v>0.61971830985915488</v>
      </c>
      <c r="O144" s="41">
        <f>IFERROR('Automated raw'!$G144/'Automated raw'!$H144,"incomplete")</f>
        <v>0.61971830985915488</v>
      </c>
      <c r="P144" s="38">
        <f>'Automated raw'!$F144</f>
        <v>27</v>
      </c>
      <c r="Q144" s="42">
        <f>IFERROR('Automated raw'!$P144*'Automated raw'!$L144,0)</f>
        <v>46818</v>
      </c>
      <c r="R144" s="38" t="str">
        <f>IF('Automated raw'!$O144&gt;=60%,"High",IF('Automated raw'!$O144&gt;=30%,"Avg",IF('Automated raw'!$O144&lt;30%,"Dead Stock","Incomplete")))</f>
        <v>High</v>
      </c>
      <c r="S144" s="43" t="str">
        <f>TEXT('Automated raw'!$B144,"mmm")</f>
        <v>Jun</v>
      </c>
      <c r="T144" s="82">
        <f>'Automated raw'!$G144*'Automated raw'!$M144</f>
        <v>108592</v>
      </c>
      <c r="U144" s="6">
        <f>IFERROR((Table7[[#This Row],[Stock In(Total)]]+Table7[[#This Row],[In Stock or Remaining]])/2,"-")</f>
        <v>49</v>
      </c>
      <c r="V144" s="93">
        <f>IFERROR(Table7[[#This Row],[Stock_Out]]/Table7[[#This Row],[Avg Inventory]],"-")</f>
        <v>0.89795918367346939</v>
      </c>
      <c r="W144" s="6"/>
      <c r="X144" s="6"/>
      <c r="Y144" s="6"/>
      <c r="Z144" s="6"/>
      <c r="AA144" s="6"/>
      <c r="AB144" s="6"/>
      <c r="AC144" s="6"/>
      <c r="AD144" s="6"/>
      <c r="AE144" s="6"/>
      <c r="AF144" s="6"/>
      <c r="AG144" s="6"/>
      <c r="AH144" s="6"/>
      <c r="AI144" s="6"/>
      <c r="AJ144" s="6"/>
      <c r="AK144" s="6"/>
      <c r="AL144" s="26" t="s">
        <v>312</v>
      </c>
      <c r="AM144" s="24">
        <v>45635</v>
      </c>
      <c r="AN144" s="24" t="s">
        <v>19</v>
      </c>
      <c r="AO144" s="24" t="s">
        <v>20</v>
      </c>
      <c r="AP144" s="24" t="s">
        <v>14</v>
      </c>
      <c r="AQ144" s="24">
        <v>120</v>
      </c>
      <c r="AR144" s="24">
        <v>12</v>
      </c>
      <c r="AS144" s="24">
        <v>132</v>
      </c>
      <c r="AT144" s="24">
        <v>9</v>
      </c>
      <c r="AU144" s="24">
        <v>42</v>
      </c>
      <c r="AV144" s="24">
        <v>15</v>
      </c>
      <c r="AW144" s="24">
        <v>994</v>
      </c>
      <c r="AX144" s="24">
        <v>1861</v>
      </c>
      <c r="AY144" s="24">
        <v>9.0909090909090912E-2</v>
      </c>
      <c r="AZ144" s="24">
        <v>9.0909090909090912E-2</v>
      </c>
      <c r="BA144" s="24">
        <v>120</v>
      </c>
      <c r="BB144" s="24">
        <v>119280</v>
      </c>
      <c r="BC144" s="24" t="s">
        <v>547</v>
      </c>
      <c r="BD144" s="27" t="s">
        <v>563</v>
      </c>
    </row>
    <row r="145" spans="1:56" x14ac:dyDescent="0.3">
      <c r="A145" s="44" t="s">
        <v>175</v>
      </c>
      <c r="B145" s="45">
        <v>45362</v>
      </c>
      <c r="C145" s="44" t="s">
        <v>30</v>
      </c>
      <c r="D145" s="44" t="s">
        <v>13</v>
      </c>
      <c r="E145" s="44" t="s">
        <v>21</v>
      </c>
      <c r="F145" s="40">
        <v>74</v>
      </c>
      <c r="G145" s="44">
        <v>29</v>
      </c>
      <c r="H145" s="44">
        <f>IFERROR('Automated raw'!$F145+'Automated raw'!$G145,"-")</f>
        <v>103</v>
      </c>
      <c r="I145" s="44">
        <v>151</v>
      </c>
      <c r="J145" s="44">
        <v>79</v>
      </c>
      <c r="K145" s="44">
        <v>11</v>
      </c>
      <c r="L145" s="44">
        <v>1707</v>
      </c>
      <c r="M145" s="44">
        <v>3043</v>
      </c>
      <c r="N145" s="44">
        <f>'Automated raw'!$G145/'Automated raw'!$H145</f>
        <v>0.28155339805825241</v>
      </c>
      <c r="O145" s="46">
        <f>IFERROR('Automated raw'!$G145/'Automated raw'!$H145,"incomplete")</f>
        <v>0.28155339805825241</v>
      </c>
      <c r="P145" s="44">
        <f>'Automated raw'!$F145</f>
        <v>74</v>
      </c>
      <c r="Q145" s="47">
        <f>IFERROR('Automated raw'!$P145*'Automated raw'!$L145,0)</f>
        <v>126318</v>
      </c>
      <c r="R145" s="44" t="str">
        <f>IF('Automated raw'!$O145&gt;=60%,"High",IF('Automated raw'!$O145&gt;=30%,"Avg",IF('Automated raw'!$O145&lt;30%,"Dead Stock","Incomplete")))</f>
        <v>Dead Stock</v>
      </c>
      <c r="S145" s="48" t="str">
        <f>TEXT('Automated raw'!$B145,"mmm")</f>
        <v>Mar</v>
      </c>
      <c r="T145" s="83">
        <f>'Automated raw'!$G145*'Automated raw'!$M145</f>
        <v>88247</v>
      </c>
      <c r="U145" s="6">
        <f>IFERROR((Table7[[#This Row],[Stock In(Total)]]+Table7[[#This Row],[In Stock or Remaining]])/2,"-")</f>
        <v>88.5</v>
      </c>
      <c r="V145" s="93">
        <f>IFERROR(Table7[[#This Row],[Stock_Out]]/Table7[[#This Row],[Avg Inventory]],"-")</f>
        <v>0.32768361581920902</v>
      </c>
      <c r="W145" s="6"/>
      <c r="X145" s="6"/>
      <c r="Y145" s="6"/>
      <c r="Z145" s="6"/>
      <c r="AA145" s="6"/>
      <c r="AB145" s="6"/>
      <c r="AC145" s="6"/>
      <c r="AD145" s="6"/>
      <c r="AE145" s="6"/>
      <c r="AF145" s="6"/>
      <c r="AG145" s="6"/>
      <c r="AH145" s="6"/>
      <c r="AI145" s="6"/>
      <c r="AJ145" s="6"/>
      <c r="AK145" s="6"/>
      <c r="AL145" s="26" t="s">
        <v>419</v>
      </c>
      <c r="AM145" s="24">
        <v>45310</v>
      </c>
      <c r="AN145" s="24" t="s">
        <v>12</v>
      </c>
      <c r="AO145" s="24" t="s">
        <v>17</v>
      </c>
      <c r="AP145" s="24" t="s">
        <v>23</v>
      </c>
      <c r="AQ145" s="24">
        <v>110</v>
      </c>
      <c r="AR145" s="24">
        <v>10</v>
      </c>
      <c r="AS145" s="24">
        <v>120</v>
      </c>
      <c r="AT145" s="24">
        <v>185</v>
      </c>
      <c r="AU145" s="24">
        <v>56</v>
      </c>
      <c r="AV145" s="24">
        <v>11</v>
      </c>
      <c r="AW145" s="24">
        <v>1081</v>
      </c>
      <c r="AX145" s="24">
        <v>1541</v>
      </c>
      <c r="AY145" s="24">
        <v>8.3333333333333329E-2</v>
      </c>
      <c r="AZ145" s="24">
        <v>8.3333333333333329E-2</v>
      </c>
      <c r="BA145" s="24">
        <v>110</v>
      </c>
      <c r="BB145" s="24">
        <v>118910</v>
      </c>
      <c r="BC145" s="24" t="s">
        <v>547</v>
      </c>
      <c r="BD145" s="27" t="s">
        <v>557</v>
      </c>
    </row>
    <row r="146" spans="1:56" x14ac:dyDescent="0.3">
      <c r="A146" s="38" t="s">
        <v>176</v>
      </c>
      <c r="B146" s="39">
        <v>45485</v>
      </c>
      <c r="C146" s="38" t="s">
        <v>26</v>
      </c>
      <c r="D146" s="38" t="s">
        <v>17</v>
      </c>
      <c r="E146" s="38" t="s">
        <v>33</v>
      </c>
      <c r="F146" s="40">
        <v>30</v>
      </c>
      <c r="G146" s="38">
        <v>108</v>
      </c>
      <c r="H146" s="38">
        <f>IFERROR('Automated raw'!$F146+'Automated raw'!$G146,"-")</f>
        <v>138</v>
      </c>
      <c r="I146" s="38">
        <v>199</v>
      </c>
      <c r="J146" s="38">
        <v>52</v>
      </c>
      <c r="K146" s="38">
        <v>7</v>
      </c>
      <c r="L146" s="38">
        <v>908</v>
      </c>
      <c r="M146" s="38">
        <v>1596</v>
      </c>
      <c r="N146" s="38">
        <f>'Automated raw'!$G146/'Automated raw'!$H146</f>
        <v>0.78260869565217395</v>
      </c>
      <c r="O146" s="41">
        <f>IFERROR('Automated raw'!$G146/'Automated raw'!$H146,"incomplete")</f>
        <v>0.78260869565217395</v>
      </c>
      <c r="P146" s="38">
        <f>'Automated raw'!$F146</f>
        <v>30</v>
      </c>
      <c r="Q146" s="42">
        <f>IFERROR('Automated raw'!$P146*'Automated raw'!$L146,0)</f>
        <v>27240</v>
      </c>
      <c r="R146" s="38" t="str">
        <f>IF('Automated raw'!$O146&gt;=60%,"High",IF('Automated raw'!$O146&gt;=30%,"Avg",IF('Automated raw'!$O146&lt;30%,"Dead Stock","Incomplete")))</f>
        <v>High</v>
      </c>
      <c r="S146" s="43" t="str">
        <f>TEXT('Automated raw'!$B146,"mmm")</f>
        <v>Jul</v>
      </c>
      <c r="T146" s="82">
        <f>'Automated raw'!$G146*'Automated raw'!$M146</f>
        <v>172368</v>
      </c>
      <c r="U146" s="6">
        <f>IFERROR((Table7[[#This Row],[Stock In(Total)]]+Table7[[#This Row],[In Stock or Remaining]])/2,"-")</f>
        <v>84</v>
      </c>
      <c r="V146" s="93">
        <f>IFERROR(Table7[[#This Row],[Stock_Out]]/Table7[[#This Row],[Avg Inventory]],"-")</f>
        <v>1.2857142857142858</v>
      </c>
      <c r="W146" s="6"/>
      <c r="X146" s="6"/>
      <c r="Y146" s="6"/>
      <c r="Z146" s="6"/>
      <c r="AA146" s="6"/>
      <c r="AB146" s="6"/>
      <c r="AC146" s="6"/>
      <c r="AD146" s="6"/>
      <c r="AE146" s="6"/>
      <c r="AF146" s="6"/>
      <c r="AG146" s="6"/>
      <c r="AH146" s="6"/>
      <c r="AI146" s="6"/>
      <c r="AJ146" s="6"/>
      <c r="AK146" s="6"/>
      <c r="AL146" s="26" t="s">
        <v>280</v>
      </c>
      <c r="AM146" s="24">
        <v>45637</v>
      </c>
      <c r="AN146" s="24" t="s">
        <v>30</v>
      </c>
      <c r="AO146" s="24" t="s">
        <v>13</v>
      </c>
      <c r="AP146" s="24" t="s">
        <v>14</v>
      </c>
      <c r="AQ146" s="24">
        <v>132</v>
      </c>
      <c r="AR146" s="24">
        <v>42</v>
      </c>
      <c r="AS146" s="24">
        <v>174</v>
      </c>
      <c r="AT146" s="24">
        <v>254</v>
      </c>
      <c r="AU146" s="24">
        <v>36</v>
      </c>
      <c r="AV146" s="24">
        <v>5</v>
      </c>
      <c r="AW146" s="24">
        <v>876</v>
      </c>
      <c r="AX146" s="24">
        <v>2332</v>
      </c>
      <c r="AY146" s="24">
        <v>0.2413793103448276</v>
      </c>
      <c r="AZ146" s="24">
        <v>0.2413793103448276</v>
      </c>
      <c r="BA146" s="24">
        <v>132</v>
      </c>
      <c r="BB146" s="24">
        <v>115632</v>
      </c>
      <c r="BC146" s="24" t="s">
        <v>547</v>
      </c>
      <c r="BD146" s="27" t="s">
        <v>563</v>
      </c>
    </row>
    <row r="147" spans="1:56" x14ac:dyDescent="0.3">
      <c r="A147" s="44" t="s">
        <v>177</v>
      </c>
      <c r="B147" s="45">
        <v>45421</v>
      </c>
      <c r="C147" s="44" t="s">
        <v>30</v>
      </c>
      <c r="D147" s="44" t="s">
        <v>20</v>
      </c>
      <c r="E147" s="44" t="s">
        <v>21</v>
      </c>
      <c r="F147" s="40">
        <v>39</v>
      </c>
      <c r="G147" s="44">
        <v>69</v>
      </c>
      <c r="H147" s="44">
        <f>IFERROR('Automated raw'!$F147+'Automated raw'!$G147,"-")</f>
        <v>108</v>
      </c>
      <c r="I147" s="44">
        <v>6</v>
      </c>
      <c r="J147" s="44">
        <v>65</v>
      </c>
      <c r="K147" s="44">
        <v>3</v>
      </c>
      <c r="L147" s="44">
        <v>859</v>
      </c>
      <c r="M147" s="44">
        <v>2351</v>
      </c>
      <c r="N147" s="44">
        <f>'Automated raw'!$G147/'Automated raw'!$H147</f>
        <v>0.63888888888888884</v>
      </c>
      <c r="O147" s="46">
        <f>IFERROR('Automated raw'!$G147/'Automated raw'!$H147,"incomplete")</f>
        <v>0.63888888888888884</v>
      </c>
      <c r="P147" s="44">
        <f>'Automated raw'!$F147</f>
        <v>39</v>
      </c>
      <c r="Q147" s="47">
        <f>IFERROR('Automated raw'!$P147*'Automated raw'!$L147,0)</f>
        <v>33501</v>
      </c>
      <c r="R147" s="44" t="str">
        <f>IF('Automated raw'!$O147&gt;=60%,"High",IF('Automated raw'!$O147&gt;=30%,"Avg",IF('Automated raw'!$O147&lt;30%,"Dead Stock","Incomplete")))</f>
        <v>High</v>
      </c>
      <c r="S147" s="48" t="str">
        <f>TEXT('Automated raw'!$B147,"mmm")</f>
        <v>May</v>
      </c>
      <c r="T147" s="83">
        <f>'Automated raw'!$G147*'Automated raw'!$M147</f>
        <v>162219</v>
      </c>
      <c r="U147" s="6">
        <f>IFERROR((Table7[[#This Row],[Stock In(Total)]]+Table7[[#This Row],[In Stock or Remaining]])/2,"-")</f>
        <v>73.5</v>
      </c>
      <c r="V147" s="93">
        <f>IFERROR(Table7[[#This Row],[Stock_Out]]/Table7[[#This Row],[Avg Inventory]],"-")</f>
        <v>0.93877551020408168</v>
      </c>
      <c r="W147" s="6"/>
      <c r="X147" s="6"/>
      <c r="Y147" s="6"/>
      <c r="Z147" s="6"/>
      <c r="AA147" s="6"/>
      <c r="AB147" s="6"/>
      <c r="AC147" s="6"/>
      <c r="AD147" s="6"/>
      <c r="AE147" s="6"/>
      <c r="AF147" s="6"/>
      <c r="AG147" s="6"/>
      <c r="AH147" s="6"/>
      <c r="AI147" s="6"/>
      <c r="AJ147" s="6"/>
      <c r="AK147" s="6"/>
      <c r="AL147" s="26" t="s">
        <v>315</v>
      </c>
      <c r="AM147" s="24">
        <v>45388</v>
      </c>
      <c r="AN147" s="24" t="s">
        <v>37</v>
      </c>
      <c r="AO147" s="24" t="s">
        <v>13</v>
      </c>
      <c r="AP147" s="24" t="s">
        <v>21</v>
      </c>
      <c r="AQ147" s="24">
        <v>102</v>
      </c>
      <c r="AR147" s="24">
        <v>34</v>
      </c>
      <c r="AS147" s="24">
        <v>136</v>
      </c>
      <c r="AT147" s="24">
        <v>4</v>
      </c>
      <c r="AU147" s="24">
        <v>35</v>
      </c>
      <c r="AV147" s="24">
        <v>10</v>
      </c>
      <c r="AW147" s="24">
        <v>1115</v>
      </c>
      <c r="AX147" s="24">
        <v>1908</v>
      </c>
      <c r="AY147" s="24">
        <v>0.25</v>
      </c>
      <c r="AZ147" s="24">
        <v>0.25</v>
      </c>
      <c r="BA147" s="24">
        <v>102</v>
      </c>
      <c r="BB147" s="24">
        <v>113730</v>
      </c>
      <c r="BC147" s="24" t="s">
        <v>547</v>
      </c>
      <c r="BD147" s="27" t="s">
        <v>558</v>
      </c>
    </row>
    <row r="148" spans="1:56" x14ac:dyDescent="0.3">
      <c r="A148" s="44" t="s">
        <v>247</v>
      </c>
      <c r="B148" s="45">
        <v>45587</v>
      </c>
      <c r="C148" s="44" t="s">
        <v>26</v>
      </c>
      <c r="D148" s="44" t="s">
        <v>13</v>
      </c>
      <c r="E148" s="44" t="s">
        <v>14</v>
      </c>
      <c r="F148" s="40">
        <v>110</v>
      </c>
      <c r="G148" s="44">
        <v>66</v>
      </c>
      <c r="H148" s="44">
        <f>IFERROR('Automated raw'!$F217+'Automated raw'!$G217,"-")</f>
        <v>179</v>
      </c>
      <c r="I148" s="44">
        <v>70</v>
      </c>
      <c r="J148" s="44">
        <v>71</v>
      </c>
      <c r="K148" s="44">
        <v>3</v>
      </c>
      <c r="L148" s="44">
        <v>763</v>
      </c>
      <c r="M148" s="44">
        <v>2178</v>
      </c>
      <c r="N148" s="44">
        <f>'Automated raw'!$G217/'Automated raw'!$H217</f>
        <v>0.85882352941176465</v>
      </c>
      <c r="O148" s="46">
        <f>IFERROR('Automated raw'!$G217/'Automated raw'!$H217,"incomplete")</f>
        <v>0.85882352941176465</v>
      </c>
      <c r="P148" s="44">
        <f>'Automated raw'!$F217</f>
        <v>106</v>
      </c>
      <c r="Q148" s="47">
        <f>IFERROR('Automated raw'!$P217*'Automated raw'!$L217,0)</f>
        <v>95991</v>
      </c>
      <c r="R148" s="44" t="str">
        <f>IF('Automated raw'!$O217&gt;=60%,"High",IF('Automated raw'!$O217&gt;=30%,"Avg",IF('Automated raw'!$O217&lt;30%,"Dead Stock","Incomplete")))</f>
        <v>Dead Stock</v>
      </c>
      <c r="S148" s="48" t="str">
        <f>TEXT('Automated raw'!$B217,"mmm")</f>
        <v>Jul</v>
      </c>
      <c r="T148" s="83">
        <f>'Automated raw'!$G217*'Automated raw'!$M217</f>
        <v>196297</v>
      </c>
      <c r="U148" s="6">
        <f>IFERROR((Table7[[#This Row],[Stock In(Total)]]+Table7[[#This Row],[In Stock or Remaining]])/2,"-")</f>
        <v>144.5</v>
      </c>
      <c r="V148" s="93">
        <f>IFERROR(Table7[[#This Row],[Stock_Out]]/Table7[[#This Row],[Avg Inventory]],"-")</f>
        <v>0.45674740484429066</v>
      </c>
      <c r="W148" s="6"/>
      <c r="X148" s="6"/>
      <c r="Y148" s="6"/>
      <c r="Z148" s="6"/>
      <c r="AA148" s="6"/>
      <c r="AB148" s="6"/>
      <c r="AC148" s="6"/>
      <c r="AD148" s="6"/>
      <c r="AE148" s="6"/>
      <c r="AF148" s="6"/>
      <c r="AG148" s="6"/>
      <c r="AH148" s="6"/>
      <c r="AI148" s="6"/>
      <c r="AJ148" s="6"/>
      <c r="AK148" s="6"/>
      <c r="AL148" s="26" t="s">
        <v>210</v>
      </c>
      <c r="AM148" s="24">
        <v>45356</v>
      </c>
      <c r="AN148" s="24" t="s">
        <v>16</v>
      </c>
      <c r="AO148" s="24" t="s">
        <v>13</v>
      </c>
      <c r="AP148" s="24" t="s">
        <v>33</v>
      </c>
      <c r="AQ148" s="24">
        <v>103</v>
      </c>
      <c r="AR148" s="24">
        <v>32</v>
      </c>
      <c r="AS148" s="24">
        <v>135</v>
      </c>
      <c r="AT148" s="24">
        <v>175</v>
      </c>
      <c r="AU148" s="24">
        <v>59</v>
      </c>
      <c r="AV148" s="24">
        <v>9</v>
      </c>
      <c r="AW148" s="24">
        <v>1097</v>
      </c>
      <c r="AX148" s="24">
        <v>1482</v>
      </c>
      <c r="AY148" s="24">
        <v>0.23703703703703705</v>
      </c>
      <c r="AZ148" s="24">
        <v>0.23703703703703705</v>
      </c>
      <c r="BA148" s="24">
        <v>103</v>
      </c>
      <c r="BB148" s="24">
        <v>112991</v>
      </c>
      <c r="BC148" s="24" t="s">
        <v>547</v>
      </c>
      <c r="BD148" s="27" t="s">
        <v>562</v>
      </c>
    </row>
    <row r="149" spans="1:56" x14ac:dyDescent="0.3">
      <c r="A149" s="38" t="s">
        <v>256</v>
      </c>
      <c r="B149" s="39">
        <v>45591</v>
      </c>
      <c r="C149" s="38" t="s">
        <v>37</v>
      </c>
      <c r="D149" s="38" t="s">
        <v>17</v>
      </c>
      <c r="E149" s="38" t="s">
        <v>14</v>
      </c>
      <c r="F149" s="40">
        <v>55</v>
      </c>
      <c r="G149" s="38">
        <v>33</v>
      </c>
      <c r="H149" s="38">
        <f>IFERROR('Automated raw'!$F226+'Automated raw'!$G226,"-")</f>
        <v>19</v>
      </c>
      <c r="I149" s="38">
        <v>193</v>
      </c>
      <c r="J149" s="38">
        <v>44</v>
      </c>
      <c r="K149" s="38">
        <v>6</v>
      </c>
      <c r="L149" s="38">
        <v>1535</v>
      </c>
      <c r="M149" s="38">
        <v>2928</v>
      </c>
      <c r="N149" s="38">
        <f>'Automated raw'!$G226/'Automated raw'!$H226</f>
        <v>3.4934497816593885E-2</v>
      </c>
      <c r="O149" s="41">
        <f>IFERROR('Automated raw'!$G226/'Automated raw'!$H226,"incomplete")</f>
        <v>3.4934497816593885E-2</v>
      </c>
      <c r="P149" s="38">
        <f>'Automated raw'!$F226</f>
        <v>11</v>
      </c>
      <c r="Q149" s="42">
        <f>IFERROR('Automated raw'!$P226*'Automated raw'!$L226,0)</f>
        <v>95237</v>
      </c>
      <c r="R149" s="38" t="str">
        <f>IF('Automated raw'!$O226&gt;=60%,"High",IF('Automated raw'!$O226&gt;=30%,"Avg",IF('Automated raw'!$O226&lt;30%,"Dead Stock","Incomplete")))</f>
        <v>Avg</v>
      </c>
      <c r="S149" s="43" t="str">
        <f>TEXT('Automated raw'!$B226,"mmm")</f>
        <v>Jan</v>
      </c>
      <c r="T149" s="82">
        <f>'Automated raw'!$G226*'Automated raw'!$M226</f>
        <v>12616</v>
      </c>
      <c r="U149" s="6">
        <f>IFERROR((Table7[[#This Row],[Stock In(Total)]]+Table7[[#This Row],[In Stock or Remaining]])/2,"-")</f>
        <v>37</v>
      </c>
      <c r="V149" s="93">
        <f>IFERROR(Table7[[#This Row],[Stock_Out]]/Table7[[#This Row],[Avg Inventory]],"-")</f>
        <v>0.89189189189189189</v>
      </c>
      <c r="W149" s="6"/>
      <c r="X149" s="6"/>
      <c r="Y149" s="6"/>
      <c r="Z149" s="6"/>
      <c r="AA149" s="6"/>
      <c r="AB149" s="6"/>
      <c r="AC149" s="6"/>
      <c r="AD149" s="6"/>
      <c r="AE149" s="6"/>
      <c r="AF149" s="6"/>
      <c r="AG149" s="6"/>
      <c r="AH149" s="6"/>
      <c r="AI149" s="6"/>
      <c r="AJ149" s="6"/>
      <c r="AK149" s="6"/>
      <c r="AL149" s="26" t="s">
        <v>401</v>
      </c>
      <c r="AM149" s="24">
        <v>45563</v>
      </c>
      <c r="AN149" s="24" t="s">
        <v>16</v>
      </c>
      <c r="AO149" s="24" t="s">
        <v>20</v>
      </c>
      <c r="AP149" s="24" t="s">
        <v>33</v>
      </c>
      <c r="AQ149" s="24">
        <v>89</v>
      </c>
      <c r="AR149" s="24">
        <v>29</v>
      </c>
      <c r="AS149" s="24">
        <v>118</v>
      </c>
      <c r="AT149" s="24">
        <v>269</v>
      </c>
      <c r="AU149" s="24">
        <v>35</v>
      </c>
      <c r="AV149" s="24">
        <v>13</v>
      </c>
      <c r="AW149" s="24">
        <v>1240</v>
      </c>
      <c r="AX149" s="24">
        <v>2164</v>
      </c>
      <c r="AY149" s="24">
        <v>0.24576271186440679</v>
      </c>
      <c r="AZ149" s="24">
        <v>0.24576271186440679</v>
      </c>
      <c r="BA149" s="24">
        <v>89</v>
      </c>
      <c r="BB149" s="24">
        <v>110360</v>
      </c>
      <c r="BC149" s="24" t="s">
        <v>547</v>
      </c>
      <c r="BD149" s="27" t="s">
        <v>560</v>
      </c>
    </row>
    <row r="150" spans="1:56" x14ac:dyDescent="0.3">
      <c r="A150" s="44" t="s">
        <v>492</v>
      </c>
      <c r="B150" s="45">
        <v>45519</v>
      </c>
      <c r="C150" s="44" t="s">
        <v>53</v>
      </c>
      <c r="D150" s="44" t="s">
        <v>20</v>
      </c>
      <c r="E150" s="44" t="s">
        <v>14</v>
      </c>
      <c r="F150" s="40">
        <v>113</v>
      </c>
      <c r="G150" s="44">
        <v>68</v>
      </c>
      <c r="H150" s="44">
        <f>IFERROR('Automated raw'!$F459+'Automated raw'!$G459,"-")</f>
        <v>59</v>
      </c>
      <c r="I150" s="44">
        <v>22</v>
      </c>
      <c r="J150" s="44">
        <v>43</v>
      </c>
      <c r="K150" s="44">
        <v>10</v>
      </c>
      <c r="L150" s="44">
        <v>1715</v>
      </c>
      <c r="M150" s="44">
        <v>1817</v>
      </c>
      <c r="N150" s="44">
        <f>'Automated raw'!$G459/'Automated raw'!$H459</f>
        <v>0.25</v>
      </c>
      <c r="O150" s="46">
        <f>IFERROR('Automated raw'!$G459/'Automated raw'!$H459,"incomplete")</f>
        <v>0.25</v>
      </c>
      <c r="P150" s="44">
        <f>'Automated raw'!$F459</f>
        <v>26</v>
      </c>
      <c r="Q150" s="47">
        <f>IFERROR('Automated raw'!$P459*'Automated raw'!$L459,0)</f>
        <v>147518</v>
      </c>
      <c r="R150" s="44" t="str">
        <f>IF('Automated raw'!$O459&gt;=60%,"High",IF('Automated raw'!$O459&gt;=30%,"Avg",IF('Automated raw'!$O459&lt;30%,"Dead Stock","Incomplete")))</f>
        <v>Dead Stock</v>
      </c>
      <c r="S150" s="48" t="str">
        <f>TEXT('Automated raw'!$B459,"mmm")</f>
        <v>Feb</v>
      </c>
      <c r="T150" s="83">
        <f>'Automated raw'!$G459*'Automated raw'!$M459</f>
        <v>94248</v>
      </c>
      <c r="U150" s="6">
        <f>IFERROR((Table7[[#This Row],[Stock In(Total)]]+Table7[[#This Row],[In Stock or Remaining]])/2,"-")</f>
        <v>86</v>
      </c>
      <c r="V150" s="93">
        <f>IFERROR(Table7[[#This Row],[Stock_Out]]/Table7[[#This Row],[Avg Inventory]],"-")</f>
        <v>0.79069767441860461</v>
      </c>
      <c r="W150" s="6"/>
      <c r="X150" s="6"/>
      <c r="Y150" s="6"/>
      <c r="Z150" s="6"/>
      <c r="AA150" s="6"/>
      <c r="AB150" s="6"/>
      <c r="AC150" s="6"/>
      <c r="AD150" s="6"/>
      <c r="AE150" s="6"/>
      <c r="AF150" s="6"/>
      <c r="AG150" s="6"/>
      <c r="AH150" s="6"/>
      <c r="AI150" s="6"/>
      <c r="AJ150" s="6"/>
      <c r="AK150" s="6"/>
      <c r="AL150" s="26" t="s">
        <v>74</v>
      </c>
      <c r="AM150" s="24">
        <v>45426</v>
      </c>
      <c r="AN150" s="24" t="s">
        <v>16</v>
      </c>
      <c r="AO150" s="24" t="s">
        <v>20</v>
      </c>
      <c r="AP150" s="24" t="s">
        <v>33</v>
      </c>
      <c r="AQ150" s="24">
        <v>122</v>
      </c>
      <c r="AR150" s="24">
        <v>1</v>
      </c>
      <c r="AS150" s="24">
        <v>123</v>
      </c>
      <c r="AT150" s="24">
        <v>222</v>
      </c>
      <c r="AU150" s="24">
        <v>43</v>
      </c>
      <c r="AV150" s="24">
        <v>9</v>
      </c>
      <c r="AW150" s="24">
        <v>874</v>
      </c>
      <c r="AX150" s="24">
        <v>2248</v>
      </c>
      <c r="AY150" s="24">
        <v>8.130081300813009E-3</v>
      </c>
      <c r="AZ150" s="24">
        <v>8.130081300813009E-3</v>
      </c>
      <c r="BA150" s="24">
        <v>122</v>
      </c>
      <c r="BB150" s="24">
        <v>106628</v>
      </c>
      <c r="BC150" s="24" t="s">
        <v>547</v>
      </c>
      <c r="BD150" s="27" t="s">
        <v>561</v>
      </c>
    </row>
    <row r="151" spans="1:56" x14ac:dyDescent="0.3">
      <c r="A151" s="38" t="s">
        <v>293</v>
      </c>
      <c r="B151" s="39">
        <v>45618</v>
      </c>
      <c r="C151" s="38" t="s">
        <v>157</v>
      </c>
      <c r="D151" s="38" t="s">
        <v>20</v>
      </c>
      <c r="E151" s="38" t="s">
        <v>21</v>
      </c>
      <c r="F151" s="40">
        <v>104</v>
      </c>
      <c r="G151" s="38">
        <v>63</v>
      </c>
      <c r="H151" s="38">
        <f>IFERROR('Automated raw'!$F262+'Automated raw'!$G262,"-")</f>
        <v>127</v>
      </c>
      <c r="I151" s="38">
        <v>222</v>
      </c>
      <c r="J151" s="38">
        <v>40</v>
      </c>
      <c r="K151" s="38">
        <v>13</v>
      </c>
      <c r="L151" s="38">
        <v>1716</v>
      </c>
      <c r="M151" s="38">
        <v>2288</v>
      </c>
      <c r="N151" s="38">
        <f>'Automated raw'!$G262/'Automated raw'!$H262</f>
        <v>0.24242424242424243</v>
      </c>
      <c r="O151" s="41">
        <f>IFERROR('Automated raw'!$G262/'Automated raw'!$H262,"incomplete")</f>
        <v>0.24242424242424243</v>
      </c>
      <c r="P151" s="38">
        <f>'Automated raw'!$F262</f>
        <v>71</v>
      </c>
      <c r="Q151" s="42">
        <f>IFERROR('Automated raw'!$P262*'Automated raw'!$L262,0)</f>
        <v>186368</v>
      </c>
      <c r="R151" s="38" t="str">
        <f>IF('Automated raw'!$O262&gt;=60%,"High",IF('Automated raw'!$O262&gt;=30%,"Avg",IF('Automated raw'!$O262&lt;30%,"Dead Stock","Incomplete")))</f>
        <v>Avg</v>
      </c>
      <c r="S151" s="43" t="str">
        <f>TEXT('Automated raw'!$B262,"mmm")</f>
        <v>Apr</v>
      </c>
      <c r="T151" s="82">
        <f>'Automated raw'!$G262*'Automated raw'!$M262</f>
        <v>99064</v>
      </c>
      <c r="U151" s="6">
        <f>IFERROR((Table7[[#This Row],[Stock In(Total)]]+Table7[[#This Row],[In Stock or Remaining]])/2,"-")</f>
        <v>115.5</v>
      </c>
      <c r="V151" s="93">
        <f>IFERROR(Table7[[#This Row],[Stock_Out]]/Table7[[#This Row],[Avg Inventory]],"-")</f>
        <v>0.54545454545454541</v>
      </c>
      <c r="W151" s="6"/>
      <c r="X151" s="6"/>
      <c r="Y151" s="6"/>
      <c r="Z151" s="6"/>
      <c r="AA151" s="6"/>
      <c r="AB151" s="6"/>
      <c r="AC151" s="6"/>
      <c r="AD151" s="6"/>
      <c r="AE151" s="6"/>
      <c r="AF151" s="6"/>
      <c r="AG151" s="6"/>
      <c r="AH151" s="6"/>
      <c r="AI151" s="6"/>
      <c r="AJ151" s="6"/>
      <c r="AK151" s="6"/>
      <c r="AL151" s="26" t="s">
        <v>92</v>
      </c>
      <c r="AM151" s="24">
        <v>45392</v>
      </c>
      <c r="AN151" s="24" t="s">
        <v>19</v>
      </c>
      <c r="AO151" s="24" t="s">
        <v>20</v>
      </c>
      <c r="AP151" s="24" t="s">
        <v>14</v>
      </c>
      <c r="AQ151" s="24">
        <v>96</v>
      </c>
      <c r="AR151" s="24">
        <v>15</v>
      </c>
      <c r="AS151" s="24">
        <v>111</v>
      </c>
      <c r="AT151" s="24">
        <v>188</v>
      </c>
      <c r="AU151" s="24">
        <v>74</v>
      </c>
      <c r="AV151" s="24">
        <v>12</v>
      </c>
      <c r="AW151" s="24">
        <v>1109</v>
      </c>
      <c r="AX151" s="24">
        <v>2094</v>
      </c>
      <c r="AY151" s="24">
        <v>0.13513513513513514</v>
      </c>
      <c r="AZ151" s="24">
        <v>0.13513513513513514</v>
      </c>
      <c r="BA151" s="24">
        <v>96</v>
      </c>
      <c r="BB151" s="24">
        <v>106464</v>
      </c>
      <c r="BC151" s="24" t="s">
        <v>547</v>
      </c>
      <c r="BD151" s="27" t="s">
        <v>558</v>
      </c>
    </row>
    <row r="152" spans="1:56" x14ac:dyDescent="0.3">
      <c r="A152" s="38" t="s">
        <v>125</v>
      </c>
      <c r="B152" s="39">
        <v>45630</v>
      </c>
      <c r="C152" s="38" t="s">
        <v>45</v>
      </c>
      <c r="D152" s="38" t="s">
        <v>13</v>
      </c>
      <c r="E152" s="38" t="s">
        <v>33</v>
      </c>
      <c r="F152" s="40">
        <v>82</v>
      </c>
      <c r="G152" s="38">
        <v>50</v>
      </c>
      <c r="H152" s="38">
        <f>IFERROR('Automated raw'!$F98+'Automated raw'!$G98,"-")</f>
        <v>232</v>
      </c>
      <c r="I152" s="38">
        <v>255</v>
      </c>
      <c r="J152" s="38">
        <v>39</v>
      </c>
      <c r="K152" s="38">
        <v>7</v>
      </c>
      <c r="L152" s="38">
        <v>1046</v>
      </c>
      <c r="M152" s="38">
        <v>2109</v>
      </c>
      <c r="N152" s="38">
        <f>'Automated raw'!$G98/'Automated raw'!$H98</f>
        <v>0.35622317596566522</v>
      </c>
      <c r="O152" s="41">
        <f>IFERROR('Automated raw'!$G98/'Automated raw'!$H98,"incomplete")</f>
        <v>0.35622317596566522</v>
      </c>
      <c r="P152" s="38">
        <f>'Automated raw'!$F98</f>
        <v>149</v>
      </c>
      <c r="Q152" s="42">
        <f>IFERROR('Automated raw'!$P98*'Automated raw'!$L98,0)</f>
        <v>261660</v>
      </c>
      <c r="R152" s="38" t="str">
        <f>IF('Automated raw'!$O98&gt;=60%,"High",IF('Automated raw'!$O98&gt;=30%,"Avg",IF('Automated raw'!$O98&lt;30%,"Dead Stock","Incomplete")))</f>
        <v>Avg</v>
      </c>
      <c r="S152" s="43" t="str">
        <f>TEXT('Automated raw'!$B98,"mmm")</f>
        <v>Aug</v>
      </c>
      <c r="T152" s="82">
        <f>'Automated raw'!$G98*'Automated raw'!$M98</f>
        <v>261201</v>
      </c>
      <c r="U152" s="6">
        <f>IFERROR((Table7[[#This Row],[Stock In(Total)]]+Table7[[#This Row],[In Stock or Remaining]])/2,"-")</f>
        <v>157</v>
      </c>
      <c r="V152" s="93">
        <f>IFERROR(Table7[[#This Row],[Stock_Out]]/Table7[[#This Row],[Avg Inventory]],"-")</f>
        <v>0.31847133757961782</v>
      </c>
      <c r="W152" s="6"/>
      <c r="X152" s="6"/>
      <c r="Y152" s="6"/>
      <c r="Z152" s="6"/>
      <c r="AA152" s="6"/>
      <c r="AB152" s="6"/>
      <c r="AC152" s="6"/>
      <c r="AD152" s="6"/>
      <c r="AE152" s="6"/>
      <c r="AF152" s="6"/>
      <c r="AG152" s="6"/>
      <c r="AH152" s="6"/>
      <c r="AI152" s="6"/>
      <c r="AJ152" s="6"/>
      <c r="AK152" s="6"/>
      <c r="AL152" s="26" t="s">
        <v>211</v>
      </c>
      <c r="AM152" s="24">
        <v>45559</v>
      </c>
      <c r="AN152" s="24" t="s">
        <v>12</v>
      </c>
      <c r="AO152" s="24" t="s">
        <v>17</v>
      </c>
      <c r="AP152" s="24" t="s">
        <v>21</v>
      </c>
      <c r="AQ152" s="24">
        <v>80</v>
      </c>
      <c r="AR152" s="24">
        <v>24</v>
      </c>
      <c r="AS152" s="24">
        <v>104</v>
      </c>
      <c r="AT152" s="24">
        <v>91</v>
      </c>
      <c r="AU152" s="24">
        <v>48</v>
      </c>
      <c r="AV152" s="24">
        <v>8</v>
      </c>
      <c r="AW152" s="24">
        <v>1328</v>
      </c>
      <c r="AX152" s="24">
        <v>2079</v>
      </c>
      <c r="AY152" s="24">
        <v>0.23076923076923078</v>
      </c>
      <c r="AZ152" s="24">
        <v>0.23076923076923078</v>
      </c>
      <c r="BA152" s="24">
        <v>80</v>
      </c>
      <c r="BB152" s="24">
        <v>106240</v>
      </c>
      <c r="BC152" s="24" t="s">
        <v>547</v>
      </c>
      <c r="BD152" s="27" t="s">
        <v>560</v>
      </c>
    </row>
    <row r="153" spans="1:56" x14ac:dyDescent="0.3">
      <c r="A153" s="44" t="s">
        <v>183</v>
      </c>
      <c r="B153" s="45">
        <v>45352</v>
      </c>
      <c r="C153" s="44" t="s">
        <v>12</v>
      </c>
      <c r="D153" s="44" t="s">
        <v>17</v>
      </c>
      <c r="E153" s="44" t="s">
        <v>14</v>
      </c>
      <c r="F153" s="40">
        <v>42</v>
      </c>
      <c r="G153" s="44">
        <v>78</v>
      </c>
      <c r="H153" s="44">
        <f>IFERROR('Automated raw'!$F153+'Automated raw'!$G153,"-")</f>
        <v>120</v>
      </c>
      <c r="I153" s="44">
        <v>4</v>
      </c>
      <c r="J153" s="44">
        <v>33</v>
      </c>
      <c r="K153" s="44">
        <v>10</v>
      </c>
      <c r="L153" s="44">
        <v>1901</v>
      </c>
      <c r="M153" s="44">
        <v>2348</v>
      </c>
      <c r="N153" s="44">
        <f>'Automated raw'!$G153/'Automated raw'!$H153</f>
        <v>0.65</v>
      </c>
      <c r="O153" s="46">
        <f>IFERROR('Automated raw'!$G153/'Automated raw'!$H153,"incomplete")</f>
        <v>0.65</v>
      </c>
      <c r="P153" s="44">
        <f>'Automated raw'!$F153</f>
        <v>42</v>
      </c>
      <c r="Q153" s="47">
        <f>IFERROR('Automated raw'!$P153*'Automated raw'!$L153,0)</f>
        <v>79842</v>
      </c>
      <c r="R153" s="44" t="str">
        <f>IF('Automated raw'!$O153&gt;=60%,"High",IF('Automated raw'!$O153&gt;=30%,"Avg",IF('Automated raw'!$O153&lt;30%,"Dead Stock","Incomplete")))</f>
        <v>High</v>
      </c>
      <c r="S153" s="48" t="str">
        <f>TEXT('Automated raw'!$B153,"mmm")</f>
        <v>Mar</v>
      </c>
      <c r="T153" s="83">
        <f>'Automated raw'!$G153*'Automated raw'!$M153</f>
        <v>183144</v>
      </c>
      <c r="U153" s="6">
        <f>IFERROR((Table7[[#This Row],[Stock In(Total)]]+Table7[[#This Row],[In Stock or Remaining]])/2,"-")</f>
        <v>81</v>
      </c>
      <c r="V153" s="93">
        <f>IFERROR(Table7[[#This Row],[Stock_Out]]/Table7[[#This Row],[Avg Inventory]],"-")</f>
        <v>0.96296296296296291</v>
      </c>
      <c r="W153" s="6"/>
      <c r="X153" s="6"/>
      <c r="Y153" s="6"/>
      <c r="Z153" s="6"/>
      <c r="AA153" s="6"/>
      <c r="AB153" s="6"/>
      <c r="AC153" s="6"/>
      <c r="AD153" s="6"/>
      <c r="AE153" s="6"/>
      <c r="AF153" s="6"/>
      <c r="AG153" s="6"/>
      <c r="AH153" s="6"/>
      <c r="AI153" s="6"/>
      <c r="AJ153" s="6"/>
      <c r="AK153" s="6"/>
      <c r="AL153" s="26" t="s">
        <v>202</v>
      </c>
      <c r="AM153" s="24">
        <v>45571</v>
      </c>
      <c r="AN153" s="24" t="s">
        <v>26</v>
      </c>
      <c r="AO153" s="24" t="s">
        <v>17</v>
      </c>
      <c r="AP153" s="24" t="s">
        <v>33</v>
      </c>
      <c r="AQ153" s="24">
        <v>146</v>
      </c>
      <c r="AR153" s="24">
        <v>21</v>
      </c>
      <c r="AS153" s="24">
        <v>167</v>
      </c>
      <c r="AT153" s="24">
        <v>119</v>
      </c>
      <c r="AU153" s="24">
        <v>69</v>
      </c>
      <c r="AV153" s="24">
        <v>15</v>
      </c>
      <c r="AW153" s="24">
        <v>706</v>
      </c>
      <c r="AX153" s="24">
        <v>1500</v>
      </c>
      <c r="AY153" s="24">
        <v>0.12574850299401197</v>
      </c>
      <c r="AZ153" s="24">
        <v>0.12574850299401197</v>
      </c>
      <c r="BA153" s="24">
        <v>146</v>
      </c>
      <c r="BB153" s="24">
        <v>103076</v>
      </c>
      <c r="BC153" s="24" t="s">
        <v>547</v>
      </c>
      <c r="BD153" s="27" t="s">
        <v>565</v>
      </c>
    </row>
    <row r="154" spans="1:56" x14ac:dyDescent="0.3">
      <c r="A154" s="38" t="s">
        <v>281</v>
      </c>
      <c r="B154" s="39">
        <v>45381</v>
      </c>
      <c r="C154" s="38" t="s">
        <v>151</v>
      </c>
      <c r="D154" s="38" t="s">
        <v>13</v>
      </c>
      <c r="E154" s="38" t="s">
        <v>14</v>
      </c>
      <c r="F154" s="40">
        <v>93</v>
      </c>
      <c r="G154" s="38">
        <v>57</v>
      </c>
      <c r="H154" s="38">
        <f>IFERROR('Automated raw'!$F250+'Automated raw'!$G250,"-")</f>
        <v>155</v>
      </c>
      <c r="I154" s="38">
        <v>37</v>
      </c>
      <c r="J154" s="38">
        <v>61</v>
      </c>
      <c r="K154" s="38">
        <v>13</v>
      </c>
      <c r="L154" s="38">
        <v>1908</v>
      </c>
      <c r="M154" s="38">
        <v>2437</v>
      </c>
      <c r="N154" s="38">
        <f>'Automated raw'!$G250/'Automated raw'!$H250</f>
        <v>0.57264957264957261</v>
      </c>
      <c r="O154" s="41">
        <f>IFERROR('Automated raw'!$G250/'Automated raw'!$H250,"incomplete")</f>
        <v>0.57264957264957261</v>
      </c>
      <c r="P154" s="38">
        <f>'Automated raw'!$F250</f>
        <v>88</v>
      </c>
      <c r="Q154" s="42">
        <f>IFERROR('Automated raw'!$P250*'Automated raw'!$L250,0)</f>
        <v>18870</v>
      </c>
      <c r="R154" s="38" t="str">
        <f>IF('Automated raw'!$O250&gt;=60%,"High",IF('Automated raw'!$O250&gt;=30%,"Avg",IF('Automated raw'!$O250&lt;30%,"Dead Stock","Incomplete")))</f>
        <v>Dead Stock</v>
      </c>
      <c r="S154" s="43" t="str">
        <f>TEXT('Automated raw'!$B250,"mmm")</f>
        <v>Mar</v>
      </c>
      <c r="T154" s="82">
        <f>'Automated raw'!$G250*'Automated raw'!$M250</f>
        <v>82008</v>
      </c>
      <c r="U154" s="6">
        <f>IFERROR((Table7[[#This Row],[Stock In(Total)]]+Table7[[#This Row],[In Stock or Remaining]])/2,"-")</f>
        <v>124</v>
      </c>
      <c r="V154" s="93">
        <f>IFERROR(Table7[[#This Row],[Stock_Out]]/Table7[[#This Row],[Avg Inventory]],"-")</f>
        <v>0.45967741935483869</v>
      </c>
      <c r="W154" s="6"/>
      <c r="X154" s="6"/>
      <c r="Y154" s="6"/>
      <c r="Z154" s="6"/>
      <c r="AA154" s="6"/>
      <c r="AB154" s="6"/>
      <c r="AC154" s="6"/>
      <c r="AD154" s="6"/>
      <c r="AE154" s="6"/>
      <c r="AF154" s="6"/>
      <c r="AG154" s="6"/>
      <c r="AH154" s="6"/>
      <c r="AI154" s="6"/>
      <c r="AJ154" s="6"/>
      <c r="AK154" s="6"/>
      <c r="AL154" s="26" t="s">
        <v>524</v>
      </c>
      <c r="AM154" s="24">
        <v>45543</v>
      </c>
      <c r="AN154" s="24" t="s">
        <v>12</v>
      </c>
      <c r="AO154" s="24" t="s">
        <v>17</v>
      </c>
      <c r="AP154" s="24" t="s">
        <v>14</v>
      </c>
      <c r="AQ154" s="24">
        <v>112</v>
      </c>
      <c r="AR154" s="24">
        <v>42</v>
      </c>
      <c r="AS154" s="24">
        <v>154</v>
      </c>
      <c r="AT154" s="24">
        <v>223</v>
      </c>
      <c r="AU154" s="24">
        <v>66</v>
      </c>
      <c r="AV154" s="24">
        <v>6</v>
      </c>
      <c r="AW154" s="24">
        <v>907</v>
      </c>
      <c r="AX154" s="24">
        <v>2130</v>
      </c>
      <c r="AY154" s="24">
        <v>0.27272727272727271</v>
      </c>
      <c r="AZ154" s="24">
        <v>0.27272727272727271</v>
      </c>
      <c r="BA154" s="24">
        <v>112</v>
      </c>
      <c r="BB154" s="24">
        <v>101584</v>
      </c>
      <c r="BC154" s="24" t="s">
        <v>547</v>
      </c>
      <c r="BD154" s="27" t="s">
        <v>560</v>
      </c>
    </row>
    <row r="155" spans="1:56" x14ac:dyDescent="0.3">
      <c r="A155" s="44" t="s">
        <v>516</v>
      </c>
      <c r="B155" s="45">
        <v>45620</v>
      </c>
      <c r="C155" s="44" t="s">
        <v>37</v>
      </c>
      <c r="D155" s="44" t="s">
        <v>17</v>
      </c>
      <c r="E155" s="44" t="s">
        <v>14</v>
      </c>
      <c r="F155" s="40">
        <v>70</v>
      </c>
      <c r="G155" s="44">
        <v>43</v>
      </c>
      <c r="H155" s="44">
        <f>IFERROR('Automated raw'!$F483+'Automated raw'!$G483,"-")</f>
        <v>187</v>
      </c>
      <c r="I155" s="44">
        <v>33</v>
      </c>
      <c r="J155" s="44">
        <v>48</v>
      </c>
      <c r="K155" s="44">
        <v>7</v>
      </c>
      <c r="L155" s="44">
        <v>1371</v>
      </c>
      <c r="M155" s="44">
        <v>2192</v>
      </c>
      <c r="N155" s="44">
        <f>'Automated raw'!$G483/'Automated raw'!$H483</f>
        <v>0.53731343283582089</v>
      </c>
      <c r="O155" s="46">
        <f>IFERROR('Automated raw'!$G483/'Automated raw'!$H483,"incomplete")</f>
        <v>0.53731343283582089</v>
      </c>
      <c r="P155" s="44">
        <f>'Automated raw'!$F483</f>
        <v>79</v>
      </c>
      <c r="Q155" s="47">
        <f>IFERROR('Automated raw'!$P483*'Automated raw'!$L483,0)</f>
        <v>105560</v>
      </c>
      <c r="R155" s="44" t="str">
        <f>IF('Automated raw'!$O483&gt;=60%,"High",IF('Automated raw'!$O483&gt;=30%,"Avg",IF('Automated raw'!$O483&lt;30%,"Dead Stock","Incomplete")))</f>
        <v>Avg</v>
      </c>
      <c r="S155" s="48" t="str">
        <f>TEXT('Automated raw'!$B483,"mmm")</f>
        <v>Oct</v>
      </c>
      <c r="T155" s="83">
        <f>'Automated raw'!$G483*'Automated raw'!$M483</f>
        <v>232200</v>
      </c>
      <c r="U155" s="6">
        <f>IFERROR((Table7[[#This Row],[Stock In(Total)]]+Table7[[#This Row],[In Stock or Remaining]])/2,"-")</f>
        <v>128.5</v>
      </c>
      <c r="V155" s="93">
        <f>IFERROR(Table7[[#This Row],[Stock_Out]]/Table7[[#This Row],[Avg Inventory]],"-")</f>
        <v>0.33463035019455251</v>
      </c>
      <c r="W155" s="6"/>
      <c r="X155" s="6"/>
      <c r="Y155" s="6"/>
      <c r="Z155" s="6"/>
      <c r="AA155" s="6"/>
      <c r="AB155" s="6"/>
      <c r="AC155" s="6"/>
      <c r="AD155" s="6"/>
      <c r="AE155" s="6"/>
      <c r="AF155" s="6"/>
      <c r="AG155" s="6"/>
      <c r="AH155" s="6"/>
      <c r="AI155" s="6"/>
      <c r="AJ155" s="6"/>
      <c r="AK155" s="6"/>
      <c r="AL155" s="26" t="s">
        <v>269</v>
      </c>
      <c r="AM155" s="24">
        <v>45348</v>
      </c>
      <c r="AN155" s="24" t="s">
        <v>53</v>
      </c>
      <c r="AO155" s="24" t="s">
        <v>20</v>
      </c>
      <c r="AP155" s="24" t="s">
        <v>23</v>
      </c>
      <c r="AQ155" s="24">
        <v>84</v>
      </c>
      <c r="AR155" s="24">
        <v>0</v>
      </c>
      <c r="AS155" s="24">
        <v>84</v>
      </c>
      <c r="AT155" s="24">
        <v>54</v>
      </c>
      <c r="AU155" s="24">
        <v>50</v>
      </c>
      <c r="AV155" s="24">
        <v>7</v>
      </c>
      <c r="AW155" s="24">
        <v>1153</v>
      </c>
      <c r="AX155" s="24">
        <v>2466</v>
      </c>
      <c r="AY155" s="24">
        <v>0</v>
      </c>
      <c r="AZ155" s="24">
        <v>0</v>
      </c>
      <c r="BA155" s="24">
        <v>84</v>
      </c>
      <c r="BB155" s="24">
        <v>96852</v>
      </c>
      <c r="BC155" s="24" t="s">
        <v>547</v>
      </c>
      <c r="BD155" s="27" t="s">
        <v>555</v>
      </c>
    </row>
    <row r="156" spans="1:56" x14ac:dyDescent="0.3">
      <c r="A156" s="38" t="s">
        <v>186</v>
      </c>
      <c r="B156" s="39">
        <v>45580</v>
      </c>
      <c r="C156" s="38" t="s">
        <v>53</v>
      </c>
      <c r="D156" s="38" t="s">
        <v>17</v>
      </c>
      <c r="E156" s="38" t="s">
        <v>33</v>
      </c>
      <c r="F156" s="40">
        <v>141</v>
      </c>
      <c r="G156" s="38">
        <v>6</v>
      </c>
      <c r="H156" s="38">
        <f>IFERROR('Automated raw'!$F156+'Automated raw'!$G156,"-")</f>
        <v>147</v>
      </c>
      <c r="I156" s="38">
        <v>195</v>
      </c>
      <c r="J156" s="38">
        <v>47</v>
      </c>
      <c r="K156" s="38">
        <v>5</v>
      </c>
      <c r="L156" s="38">
        <v>1277</v>
      </c>
      <c r="M156" s="38">
        <v>2383</v>
      </c>
      <c r="N156" s="38">
        <f>'Automated raw'!$G156/'Automated raw'!$H156</f>
        <v>4.0816326530612242E-2</v>
      </c>
      <c r="O156" s="41">
        <f>IFERROR('Automated raw'!$G156/'Automated raw'!$H156,"incomplete")</f>
        <v>4.0816326530612242E-2</v>
      </c>
      <c r="P156" s="38">
        <f>'Automated raw'!$F156</f>
        <v>141</v>
      </c>
      <c r="Q156" s="42">
        <f>IFERROR('Automated raw'!$P156*'Automated raw'!$L156,0)</f>
        <v>180057</v>
      </c>
      <c r="R156" s="38" t="str">
        <f>IF('Automated raw'!$O156&gt;=60%,"High",IF('Automated raw'!$O156&gt;=30%,"Avg",IF('Automated raw'!$O156&lt;30%,"Dead Stock","Incomplete")))</f>
        <v>Dead Stock</v>
      </c>
      <c r="S156" s="43" t="str">
        <f>TEXT('Automated raw'!$B156,"mmm")</f>
        <v>Oct</v>
      </c>
      <c r="T156" s="82">
        <f>'Automated raw'!$G156*'Automated raw'!$M156</f>
        <v>14298</v>
      </c>
      <c r="U156" s="6">
        <f>IFERROR((Table7[[#This Row],[Stock In(Total)]]+Table7[[#This Row],[In Stock or Remaining]])/2,"-")</f>
        <v>144</v>
      </c>
      <c r="V156" s="93">
        <f>IFERROR(Table7[[#This Row],[Stock_Out]]/Table7[[#This Row],[Avg Inventory]],"-")</f>
        <v>4.1666666666666664E-2</v>
      </c>
      <c r="W156" s="6"/>
      <c r="X156" s="6"/>
      <c r="Y156" s="6"/>
      <c r="Z156" s="6"/>
      <c r="AA156" s="6"/>
      <c r="AB156" s="6"/>
      <c r="AC156" s="6"/>
      <c r="AD156" s="6"/>
      <c r="AE156" s="6"/>
      <c r="AF156" s="6"/>
      <c r="AG156" s="6"/>
      <c r="AH156" s="6"/>
      <c r="AI156" s="6"/>
      <c r="AJ156" s="6"/>
      <c r="AK156" s="6"/>
      <c r="AL156" s="26" t="s">
        <v>295</v>
      </c>
      <c r="AM156" s="24">
        <v>45472</v>
      </c>
      <c r="AN156" s="24" t="s">
        <v>16</v>
      </c>
      <c r="AO156" s="24" t="s">
        <v>17</v>
      </c>
      <c r="AP156" s="24" t="s">
        <v>33</v>
      </c>
      <c r="AQ156" s="24">
        <v>58</v>
      </c>
      <c r="AR156" s="24">
        <v>11</v>
      </c>
      <c r="AS156" s="24">
        <v>69</v>
      </c>
      <c r="AT156" s="24">
        <v>291</v>
      </c>
      <c r="AU156" s="24">
        <v>38</v>
      </c>
      <c r="AV156" s="24">
        <v>11</v>
      </c>
      <c r="AW156" s="24">
        <v>1597</v>
      </c>
      <c r="AX156" s="24">
        <v>2014</v>
      </c>
      <c r="AY156" s="24">
        <v>0.15942028985507245</v>
      </c>
      <c r="AZ156" s="24">
        <v>0.15942028985507245</v>
      </c>
      <c r="BA156" s="24">
        <v>58</v>
      </c>
      <c r="BB156" s="24">
        <v>92626</v>
      </c>
      <c r="BC156" s="24" t="s">
        <v>547</v>
      </c>
      <c r="BD156" s="27" t="s">
        <v>559</v>
      </c>
    </row>
    <row r="157" spans="1:56" x14ac:dyDescent="0.3">
      <c r="A157" s="44" t="s">
        <v>187</v>
      </c>
      <c r="B157" s="45">
        <v>45349</v>
      </c>
      <c r="C157" s="44" t="s">
        <v>26</v>
      </c>
      <c r="D157" s="44" t="s">
        <v>20</v>
      </c>
      <c r="E157" s="44" t="s">
        <v>21</v>
      </c>
      <c r="F157" s="40">
        <v>36</v>
      </c>
      <c r="G157" s="44">
        <v>114</v>
      </c>
      <c r="H157" s="44">
        <f>IFERROR('Automated raw'!$F157+'Automated raw'!$G157,"-")</f>
        <v>150</v>
      </c>
      <c r="I157" s="44">
        <v>78</v>
      </c>
      <c r="J157" s="44">
        <v>71</v>
      </c>
      <c r="K157" s="44">
        <v>15</v>
      </c>
      <c r="L157" s="44">
        <v>812</v>
      </c>
      <c r="M157" s="44">
        <v>1466</v>
      </c>
      <c r="N157" s="44">
        <f>'Automated raw'!$G157/'Automated raw'!$H157</f>
        <v>0.76</v>
      </c>
      <c r="O157" s="46">
        <f>IFERROR('Automated raw'!$G157/'Automated raw'!$H157,"incomplete")</f>
        <v>0.76</v>
      </c>
      <c r="P157" s="44">
        <f>'Automated raw'!$F157</f>
        <v>36</v>
      </c>
      <c r="Q157" s="47">
        <f>IFERROR('Automated raw'!$P157*'Automated raw'!$L157,0)</f>
        <v>29232</v>
      </c>
      <c r="R157" s="44" t="str">
        <f>IF('Automated raw'!$O157&gt;=60%,"High",IF('Automated raw'!$O157&gt;=30%,"Avg",IF('Automated raw'!$O157&lt;30%,"Dead Stock","Incomplete")))</f>
        <v>High</v>
      </c>
      <c r="S157" s="48" t="str">
        <f>TEXT('Automated raw'!$B157,"mmm")</f>
        <v>Feb</v>
      </c>
      <c r="T157" s="83">
        <f>'Automated raw'!$G157*'Automated raw'!$M157</f>
        <v>167124</v>
      </c>
      <c r="U157" s="6">
        <f>IFERROR((Table7[[#This Row],[Stock In(Total)]]+Table7[[#This Row],[In Stock or Remaining]])/2,"-")</f>
        <v>93</v>
      </c>
      <c r="V157" s="93">
        <f>IFERROR(Table7[[#This Row],[Stock_Out]]/Table7[[#This Row],[Avg Inventory]],"-")</f>
        <v>1.2258064516129032</v>
      </c>
      <c r="W157" s="6"/>
      <c r="X157" s="6"/>
      <c r="Y157" s="6"/>
      <c r="Z157" s="6"/>
      <c r="AA157" s="6"/>
      <c r="AB157" s="6"/>
      <c r="AC157" s="6"/>
      <c r="AD157" s="6"/>
      <c r="AE157" s="6"/>
      <c r="AF157" s="6"/>
      <c r="AG157" s="6"/>
      <c r="AH157" s="6"/>
      <c r="AI157" s="6"/>
      <c r="AJ157" s="6"/>
      <c r="AK157" s="6"/>
      <c r="AL157" s="26" t="s">
        <v>235</v>
      </c>
      <c r="AM157" s="24">
        <v>45448</v>
      </c>
      <c r="AN157" s="24" t="s">
        <v>12</v>
      </c>
      <c r="AO157" s="24" t="s">
        <v>13</v>
      </c>
      <c r="AP157" s="24" t="s">
        <v>14</v>
      </c>
      <c r="AQ157" s="24">
        <v>55</v>
      </c>
      <c r="AR157" s="24">
        <v>13</v>
      </c>
      <c r="AS157" s="24">
        <v>68</v>
      </c>
      <c r="AT157" s="24">
        <v>260</v>
      </c>
      <c r="AU157" s="24">
        <v>34</v>
      </c>
      <c r="AV157" s="24">
        <v>14</v>
      </c>
      <c r="AW157" s="24">
        <v>1664</v>
      </c>
      <c r="AX157" s="24">
        <v>3093</v>
      </c>
      <c r="AY157" s="24">
        <v>0.19117647058823528</v>
      </c>
      <c r="AZ157" s="24">
        <v>0.19117647058823528</v>
      </c>
      <c r="BA157" s="24">
        <v>55</v>
      </c>
      <c r="BB157" s="24">
        <v>91520</v>
      </c>
      <c r="BC157" s="24" t="s">
        <v>547</v>
      </c>
      <c r="BD157" s="27" t="s">
        <v>559</v>
      </c>
    </row>
    <row r="158" spans="1:56" x14ac:dyDescent="0.3">
      <c r="A158" s="44" t="s">
        <v>96</v>
      </c>
      <c r="B158" s="45">
        <v>45593</v>
      </c>
      <c r="C158" s="44" t="s">
        <v>53</v>
      </c>
      <c r="D158" s="44" t="s">
        <v>17</v>
      </c>
      <c r="E158" s="44" t="s">
        <v>38</v>
      </c>
      <c r="F158" s="40">
        <v>97</v>
      </c>
      <c r="G158" s="44">
        <v>60</v>
      </c>
      <c r="H158" s="44">
        <f>IFERROR('Automated raw'!$F69+'Automated raw'!$G69,"-")</f>
        <v>167</v>
      </c>
      <c r="I158" s="44">
        <v>170</v>
      </c>
      <c r="J158" s="44">
        <v>32</v>
      </c>
      <c r="K158" s="44">
        <v>10</v>
      </c>
      <c r="L158" s="44">
        <v>316</v>
      </c>
      <c r="M158" s="44">
        <v>876</v>
      </c>
      <c r="N158" s="44">
        <f>'Automated raw'!$G69/'Automated raw'!$H69</f>
        <v>1.696969696969697</v>
      </c>
      <c r="O158" s="46">
        <f>IFERROR('Automated raw'!$G69/'Automated raw'!$H69,"incomplete")</f>
        <v>1.696969696969697</v>
      </c>
      <c r="P158" s="44">
        <f>'Automated raw'!$F69</f>
        <v>111</v>
      </c>
      <c r="Q158" s="47">
        <f>IFERROR('Automated raw'!$P69*'Automated raw'!$L69,0)</f>
        <v>19312</v>
      </c>
      <c r="R158" s="44" t="str">
        <f>IF('Automated raw'!$O69&gt;=60%,"High",IF('Automated raw'!$O69&gt;=30%,"Avg",IF('Automated raw'!$O69&lt;30%,"Dead Stock","Incomplete")))</f>
        <v>Dead Stock</v>
      </c>
      <c r="S158" s="48" t="str">
        <f>TEXT('Automated raw'!$B69,"mmm")</f>
        <v>May</v>
      </c>
      <c r="T158" s="83">
        <f>'Automated raw'!$G69*'Automated raw'!$M69</f>
        <v>108136</v>
      </c>
      <c r="U158" s="6">
        <f>IFERROR((Table7[[#This Row],[Stock In(Total)]]+Table7[[#This Row],[In Stock or Remaining]])/2,"-")</f>
        <v>132</v>
      </c>
      <c r="V158" s="93">
        <f>IFERROR(Table7[[#This Row],[Stock_Out]]/Table7[[#This Row],[Avg Inventory]],"-")</f>
        <v>0.45454545454545453</v>
      </c>
      <c r="W158" s="6"/>
      <c r="X158" s="6"/>
      <c r="Y158" s="6"/>
      <c r="Z158" s="6"/>
      <c r="AA158" s="6"/>
      <c r="AB158" s="6"/>
      <c r="AC158" s="6"/>
      <c r="AD158" s="6"/>
      <c r="AE158" s="6"/>
      <c r="AF158" s="6"/>
      <c r="AG158" s="6"/>
      <c r="AH158" s="6"/>
      <c r="AI158" s="6"/>
      <c r="AJ158" s="6"/>
      <c r="AK158" s="6"/>
      <c r="AL158" s="26" t="s">
        <v>111</v>
      </c>
      <c r="AM158" s="24">
        <v>45602</v>
      </c>
      <c r="AN158" s="24" t="s">
        <v>19</v>
      </c>
      <c r="AO158" s="24" t="s">
        <v>17</v>
      </c>
      <c r="AP158" s="24" t="s">
        <v>38</v>
      </c>
      <c r="AQ158" s="24">
        <v>107</v>
      </c>
      <c r="AR158" s="24">
        <v>24</v>
      </c>
      <c r="AS158" s="24">
        <v>131</v>
      </c>
      <c r="AT158" s="24">
        <v>89</v>
      </c>
      <c r="AU158" s="24">
        <v>46</v>
      </c>
      <c r="AV158" s="24">
        <v>10</v>
      </c>
      <c r="AW158" s="24">
        <v>855</v>
      </c>
      <c r="AX158" s="24">
        <v>2335</v>
      </c>
      <c r="AY158" s="24">
        <v>0.18320610687022901</v>
      </c>
      <c r="AZ158" s="24">
        <v>0.18320610687022901</v>
      </c>
      <c r="BA158" s="24">
        <v>107</v>
      </c>
      <c r="BB158" s="24">
        <v>91485</v>
      </c>
      <c r="BC158" s="24" t="s">
        <v>547</v>
      </c>
      <c r="BD158" s="27" t="s">
        <v>564</v>
      </c>
    </row>
    <row r="159" spans="1:56" x14ac:dyDescent="0.3">
      <c r="A159" s="38" t="s">
        <v>525</v>
      </c>
      <c r="B159" s="39">
        <v>45445</v>
      </c>
      <c r="C159" s="38" t="s">
        <v>37</v>
      </c>
      <c r="D159" s="38" t="s">
        <v>20</v>
      </c>
      <c r="E159" s="38" t="s">
        <v>33</v>
      </c>
      <c r="F159" s="40">
        <v>145</v>
      </c>
      <c r="G159" s="38">
        <v>90</v>
      </c>
      <c r="H159" s="38">
        <f>IFERROR('Automated raw'!$F492+'Automated raw'!$G492,"-")</f>
        <v>176</v>
      </c>
      <c r="I159" s="38">
        <v>154</v>
      </c>
      <c r="J159" s="38">
        <v>71</v>
      </c>
      <c r="K159" s="38">
        <v>11</v>
      </c>
      <c r="L159" s="38">
        <v>664</v>
      </c>
      <c r="M159" s="38">
        <v>1581</v>
      </c>
      <c r="N159" s="38">
        <f>'Automated raw'!$G492/'Automated raw'!$H492</f>
        <v>1.1685393258426966</v>
      </c>
      <c r="O159" s="41">
        <f>IFERROR('Automated raw'!$G492/'Automated raw'!$H492,"incomplete")</f>
        <v>1.1685393258426966</v>
      </c>
      <c r="P159" s="38">
        <f>'Automated raw'!$F492</f>
        <v>72</v>
      </c>
      <c r="Q159" s="42">
        <f>IFERROR('Automated raw'!$P492*'Automated raw'!$L492,0)</f>
        <v>21801</v>
      </c>
      <c r="R159" s="38" t="str">
        <f>IF('Automated raw'!$O492&gt;=60%,"High",IF('Automated raw'!$O492&gt;=30%,"Avg",IF('Automated raw'!$O492&lt;30%,"Dead Stock","Incomplete")))</f>
        <v>High</v>
      </c>
      <c r="S159" s="43" t="str">
        <f>TEXT('Automated raw'!$B492,"mmm")</f>
        <v>Jan</v>
      </c>
      <c r="T159" s="82">
        <f>'Automated raw'!$G492*'Automated raw'!$M492</f>
        <v>116376</v>
      </c>
      <c r="U159" s="6">
        <f>IFERROR((Table7[[#This Row],[Stock In(Total)]]+Table7[[#This Row],[In Stock or Remaining]])/2,"-")</f>
        <v>160.5</v>
      </c>
      <c r="V159" s="93">
        <f>IFERROR(Table7[[#This Row],[Stock_Out]]/Table7[[#This Row],[Avg Inventory]],"-")</f>
        <v>0.56074766355140182</v>
      </c>
      <c r="W159" s="6"/>
      <c r="X159" s="6"/>
      <c r="Y159" s="6"/>
      <c r="Z159" s="6"/>
      <c r="AA159" s="6"/>
      <c r="AB159" s="6"/>
      <c r="AC159" s="6"/>
      <c r="AD159" s="6"/>
      <c r="AE159" s="6"/>
      <c r="AF159" s="6"/>
      <c r="AG159" s="6"/>
      <c r="AH159" s="6"/>
      <c r="AI159" s="6"/>
      <c r="AJ159" s="6"/>
      <c r="AK159" s="6"/>
      <c r="AL159" s="26" t="s">
        <v>72</v>
      </c>
      <c r="AM159" s="24">
        <v>45555</v>
      </c>
      <c r="AN159" s="24" t="s">
        <v>12</v>
      </c>
      <c r="AO159" s="24" t="s">
        <v>20</v>
      </c>
      <c r="AP159" s="24" t="s">
        <v>14</v>
      </c>
      <c r="AQ159" s="24">
        <v>123</v>
      </c>
      <c r="AR159" s="24">
        <v>20</v>
      </c>
      <c r="AS159" s="24">
        <v>143</v>
      </c>
      <c r="AT159" s="24">
        <v>58</v>
      </c>
      <c r="AU159" s="24">
        <v>63</v>
      </c>
      <c r="AV159" s="24">
        <v>4</v>
      </c>
      <c r="AW159" s="24">
        <v>742</v>
      </c>
      <c r="AX159" s="24">
        <v>1437</v>
      </c>
      <c r="AY159" s="24">
        <v>0.13986013986013987</v>
      </c>
      <c r="AZ159" s="24">
        <v>0.13986013986013987</v>
      </c>
      <c r="BA159" s="24">
        <v>123</v>
      </c>
      <c r="BB159" s="24">
        <v>91266</v>
      </c>
      <c r="BC159" s="24" t="s">
        <v>547</v>
      </c>
      <c r="BD159" s="27" t="s">
        <v>560</v>
      </c>
    </row>
    <row r="160" spans="1:56" x14ac:dyDescent="0.3">
      <c r="A160" s="44" t="s">
        <v>408</v>
      </c>
      <c r="B160" s="45">
        <v>45599</v>
      </c>
      <c r="C160" s="44" t="s">
        <v>45</v>
      </c>
      <c r="D160" s="44" t="s">
        <v>20</v>
      </c>
      <c r="E160" s="44" t="s">
        <v>38</v>
      </c>
      <c r="F160" s="40">
        <v>114</v>
      </c>
      <c r="G160" s="44">
        <v>71</v>
      </c>
      <c r="H160" s="44">
        <f>IFERROR('Automated raw'!$F375+'Automated raw'!$G375,"-")</f>
        <v>230</v>
      </c>
      <c r="I160" s="44">
        <v>149</v>
      </c>
      <c r="J160" s="44">
        <v>40</v>
      </c>
      <c r="K160" s="44">
        <v>8</v>
      </c>
      <c r="L160" s="44">
        <v>1611</v>
      </c>
      <c r="M160" s="44">
        <v>2798</v>
      </c>
      <c r="N160" s="44">
        <f>'Automated raw'!$G375/'Automated raw'!$H375</f>
        <v>0.8571428571428571</v>
      </c>
      <c r="O160" s="46">
        <f>IFERROR('Automated raw'!$G375/'Automated raw'!$H375,"incomplete")</f>
        <v>0.8571428571428571</v>
      </c>
      <c r="P160" s="44">
        <f>'Automated raw'!$F375</f>
        <v>116</v>
      </c>
      <c r="Q160" s="47">
        <f>IFERROR('Automated raw'!$P375*'Automated raw'!$L375,0)</f>
        <v>127400</v>
      </c>
      <c r="R160" s="44" t="str">
        <f>IF('Automated raw'!$O375&gt;=60%,"High",IF('Automated raw'!$O375&gt;=30%,"Avg",IF('Automated raw'!$O375&lt;30%,"Dead Stock","Incomplete")))</f>
        <v>Dead Stock</v>
      </c>
      <c r="S160" s="48" t="str">
        <f>TEXT('Automated raw'!$B375,"mmm")</f>
        <v>Jul</v>
      </c>
      <c r="T160" s="83">
        <f>'Automated raw'!$G375*'Automated raw'!$M375</f>
        <v>256614</v>
      </c>
      <c r="U160" s="6">
        <f>IFERROR((Table7[[#This Row],[Stock In(Total)]]+Table7[[#This Row],[In Stock or Remaining]])/2,"-")</f>
        <v>172</v>
      </c>
      <c r="V160" s="93">
        <f>IFERROR(Table7[[#This Row],[Stock_Out]]/Table7[[#This Row],[Avg Inventory]],"-")</f>
        <v>0.41279069767441862</v>
      </c>
      <c r="W160" s="6"/>
      <c r="X160" s="6"/>
      <c r="Y160" s="6"/>
      <c r="Z160" s="6"/>
      <c r="AA160" s="6"/>
      <c r="AB160" s="6"/>
      <c r="AC160" s="6"/>
      <c r="AD160" s="6"/>
      <c r="AE160" s="6"/>
      <c r="AF160" s="6"/>
      <c r="AG160" s="6"/>
      <c r="AH160" s="6"/>
      <c r="AI160" s="6"/>
      <c r="AJ160" s="6"/>
      <c r="AK160" s="6"/>
      <c r="AL160" s="26" t="s">
        <v>512</v>
      </c>
      <c r="AM160" s="24">
        <v>45338</v>
      </c>
      <c r="AN160" s="24" t="s">
        <v>305</v>
      </c>
      <c r="AO160" s="24" t="s">
        <v>13</v>
      </c>
      <c r="AP160" s="24" t="s">
        <v>38</v>
      </c>
      <c r="AQ160" s="24">
        <v>74</v>
      </c>
      <c r="AR160" s="24">
        <v>13</v>
      </c>
      <c r="AS160" s="24">
        <v>87</v>
      </c>
      <c r="AT160" s="24">
        <v>42</v>
      </c>
      <c r="AU160" s="24">
        <v>75</v>
      </c>
      <c r="AV160" s="24">
        <v>3</v>
      </c>
      <c r="AW160" s="24">
        <v>1203</v>
      </c>
      <c r="AX160" s="24">
        <v>2048</v>
      </c>
      <c r="AY160" s="24">
        <v>0.14942528735632185</v>
      </c>
      <c r="AZ160" s="24">
        <v>0.14942528735632185</v>
      </c>
      <c r="BA160" s="24">
        <v>74</v>
      </c>
      <c r="BB160" s="24">
        <v>89022</v>
      </c>
      <c r="BC160" s="24" t="s">
        <v>547</v>
      </c>
      <c r="BD160" s="27" t="s">
        <v>555</v>
      </c>
    </row>
    <row r="161" spans="1:56" x14ac:dyDescent="0.3">
      <c r="A161" s="44" t="s">
        <v>191</v>
      </c>
      <c r="B161" s="45">
        <v>45592</v>
      </c>
      <c r="C161" s="44" t="s">
        <v>26</v>
      </c>
      <c r="D161" s="44" t="s">
        <v>17</v>
      </c>
      <c r="E161" s="44" t="s">
        <v>21</v>
      </c>
      <c r="F161" s="40">
        <v>18</v>
      </c>
      <c r="G161" s="44">
        <v>95</v>
      </c>
      <c r="H161" s="44">
        <f>IFERROR('Automated raw'!$F161+'Automated raw'!$G161,"-")</f>
        <v>113</v>
      </c>
      <c r="I161" s="44">
        <v>197</v>
      </c>
      <c r="J161" s="44">
        <v>61</v>
      </c>
      <c r="K161" s="44">
        <v>9</v>
      </c>
      <c r="L161" s="44">
        <v>228</v>
      </c>
      <c r="M161" s="44">
        <v>1395</v>
      </c>
      <c r="N161" s="44">
        <f>'Automated raw'!$G161/'Automated raw'!$H161</f>
        <v>0.84070796460176989</v>
      </c>
      <c r="O161" s="46">
        <f>IFERROR('Automated raw'!$G161/'Automated raw'!$H161,"incomplete")</f>
        <v>0.84070796460176989</v>
      </c>
      <c r="P161" s="44">
        <f>'Automated raw'!$F161</f>
        <v>18</v>
      </c>
      <c r="Q161" s="47">
        <f>IFERROR('Automated raw'!$P161*'Automated raw'!$L161,0)</f>
        <v>4104</v>
      </c>
      <c r="R161" s="44" t="str">
        <f>IF('Automated raw'!$O161&gt;=60%,"High",IF('Automated raw'!$O161&gt;=30%,"Avg",IF('Automated raw'!$O161&lt;30%,"Dead Stock","Incomplete")))</f>
        <v>High</v>
      </c>
      <c r="S161" s="48" t="str">
        <f>TEXT('Automated raw'!$B161,"mmm")</f>
        <v>Oct</v>
      </c>
      <c r="T161" s="83">
        <f>'Automated raw'!$G161*'Automated raw'!$M161</f>
        <v>132525</v>
      </c>
      <c r="U161" s="6">
        <f>IFERROR((Table7[[#This Row],[Stock In(Total)]]+Table7[[#This Row],[In Stock or Remaining]])/2,"-")</f>
        <v>65.5</v>
      </c>
      <c r="V161" s="93">
        <f>IFERROR(Table7[[#This Row],[Stock_Out]]/Table7[[#This Row],[Avg Inventory]],"-")</f>
        <v>1.4503816793893129</v>
      </c>
      <c r="W161" s="6"/>
      <c r="X161" s="6"/>
      <c r="Y161" s="6"/>
      <c r="Z161" s="6"/>
      <c r="AA161" s="6"/>
      <c r="AB161" s="6"/>
      <c r="AC161" s="6"/>
      <c r="AD161" s="6"/>
      <c r="AE161" s="6"/>
      <c r="AF161" s="6"/>
      <c r="AG161" s="6"/>
      <c r="AH161" s="6"/>
      <c r="AI161" s="6"/>
      <c r="AJ161" s="6"/>
      <c r="AK161" s="6"/>
      <c r="AL161" s="26" t="s">
        <v>289</v>
      </c>
      <c r="AM161" s="24">
        <v>45567</v>
      </c>
      <c r="AN161" s="24" t="s">
        <v>30</v>
      </c>
      <c r="AO161" s="24" t="s">
        <v>17</v>
      </c>
      <c r="AP161" s="24" t="s">
        <v>14</v>
      </c>
      <c r="AQ161" s="24">
        <v>143</v>
      </c>
      <c r="AR161" s="24">
        <v>37</v>
      </c>
      <c r="AS161" s="24">
        <v>180</v>
      </c>
      <c r="AT161" s="24">
        <v>39</v>
      </c>
      <c r="AU161" s="24">
        <v>51</v>
      </c>
      <c r="AV161" s="24">
        <v>7</v>
      </c>
      <c r="AW161" s="24">
        <v>613</v>
      </c>
      <c r="AX161" s="24">
        <v>1651</v>
      </c>
      <c r="AY161" s="24">
        <v>0.20555555555555555</v>
      </c>
      <c r="AZ161" s="24">
        <v>0.20555555555555555</v>
      </c>
      <c r="BA161" s="24">
        <v>143</v>
      </c>
      <c r="BB161" s="24">
        <v>87659</v>
      </c>
      <c r="BC161" s="24" t="s">
        <v>547</v>
      </c>
      <c r="BD161" s="27" t="s">
        <v>565</v>
      </c>
    </row>
    <row r="162" spans="1:56" x14ac:dyDescent="0.3">
      <c r="A162" s="38" t="s">
        <v>505</v>
      </c>
      <c r="B162" s="39">
        <v>45301</v>
      </c>
      <c r="C162" s="38" t="s">
        <v>30</v>
      </c>
      <c r="D162" s="38" t="s">
        <v>20</v>
      </c>
      <c r="E162" s="38" t="s">
        <v>33</v>
      </c>
      <c r="F162" s="40">
        <v>130</v>
      </c>
      <c r="G162" s="38">
        <v>81</v>
      </c>
      <c r="H162" s="38">
        <f>IFERROR('Automated raw'!$F472+'Automated raw'!$G472,"-")</f>
        <v>108</v>
      </c>
      <c r="I162" s="38">
        <v>139</v>
      </c>
      <c r="J162" s="38">
        <v>40</v>
      </c>
      <c r="K162" s="38">
        <v>15</v>
      </c>
      <c r="L162" s="38">
        <v>1577</v>
      </c>
      <c r="M162" s="38">
        <v>2429</v>
      </c>
      <c r="N162" s="38">
        <f>'Automated raw'!$G472/'Automated raw'!$H472</f>
        <v>0.28310502283105021</v>
      </c>
      <c r="O162" s="41">
        <f>IFERROR('Automated raw'!$G472/'Automated raw'!$H472,"incomplete")</f>
        <v>0.28310502283105021</v>
      </c>
      <c r="P162" s="38">
        <f>'Automated raw'!$F472</f>
        <v>46</v>
      </c>
      <c r="Q162" s="42">
        <f>IFERROR('Automated raw'!$P472*'Automated raw'!$L472,0)</f>
        <v>59040</v>
      </c>
      <c r="R162" s="38" t="str">
        <f>IF('Automated raw'!$O472&gt;=60%,"High",IF('Automated raw'!$O472&gt;=30%,"Avg",IF('Automated raw'!$O472&lt;30%,"Dead Stock","Incomplete")))</f>
        <v>Avg</v>
      </c>
      <c r="S162" s="43" t="str">
        <f>TEXT('Automated raw'!$B472,"mmm")</f>
        <v>Sep</v>
      </c>
      <c r="T162" s="82">
        <f>'Automated raw'!$G472*'Automated raw'!$M472</f>
        <v>61194</v>
      </c>
      <c r="U162" s="6">
        <f>IFERROR((Table7[[#This Row],[Stock In(Total)]]+Table7[[#This Row],[In Stock or Remaining]])/2,"-")</f>
        <v>119</v>
      </c>
      <c r="V162" s="93">
        <f>IFERROR(Table7[[#This Row],[Stock_Out]]/Table7[[#This Row],[Avg Inventory]],"-")</f>
        <v>0.68067226890756305</v>
      </c>
      <c r="W162" s="6"/>
      <c r="X162" s="6"/>
      <c r="Y162" s="6"/>
      <c r="Z162" s="6"/>
      <c r="AA162" s="6"/>
      <c r="AB162" s="6"/>
      <c r="AC162" s="6"/>
      <c r="AD162" s="6"/>
      <c r="AE162" s="6"/>
      <c r="AF162" s="6"/>
      <c r="AG162" s="6"/>
      <c r="AH162" s="6"/>
      <c r="AI162" s="6"/>
      <c r="AJ162" s="6"/>
      <c r="AK162" s="6"/>
      <c r="AL162" s="26" t="s">
        <v>292</v>
      </c>
      <c r="AM162" s="24">
        <v>45462</v>
      </c>
      <c r="AN162" s="24" t="s">
        <v>19</v>
      </c>
      <c r="AO162" s="24" t="s">
        <v>13</v>
      </c>
      <c r="AP162" s="24" t="s">
        <v>14</v>
      </c>
      <c r="AQ162" s="24">
        <v>146</v>
      </c>
      <c r="AR162" s="24">
        <v>9</v>
      </c>
      <c r="AS162" s="24">
        <v>155</v>
      </c>
      <c r="AT162" s="24">
        <v>178</v>
      </c>
      <c r="AU162" s="24">
        <v>76</v>
      </c>
      <c r="AV162" s="24">
        <v>6</v>
      </c>
      <c r="AW162" s="24">
        <v>595</v>
      </c>
      <c r="AX162" s="24">
        <v>1298</v>
      </c>
      <c r="AY162" s="24">
        <v>5.8064516129032261E-2</v>
      </c>
      <c r="AZ162" s="24">
        <v>5.8064516129032261E-2</v>
      </c>
      <c r="BA162" s="24">
        <v>146</v>
      </c>
      <c r="BB162" s="24">
        <v>86870</v>
      </c>
      <c r="BC162" s="24" t="s">
        <v>547</v>
      </c>
      <c r="BD162" s="27" t="s">
        <v>559</v>
      </c>
    </row>
    <row r="163" spans="1:56" x14ac:dyDescent="0.3">
      <c r="A163" s="38" t="s">
        <v>143</v>
      </c>
      <c r="B163" s="39">
        <v>45548</v>
      </c>
      <c r="C163" s="38" t="s">
        <v>26</v>
      </c>
      <c r="D163" s="38" t="s">
        <v>13</v>
      </c>
      <c r="E163" s="38" t="s">
        <v>38</v>
      </c>
      <c r="F163" s="40">
        <v>96</v>
      </c>
      <c r="G163" s="38">
        <v>60</v>
      </c>
      <c r="H163" s="38">
        <f>IFERROR('Automated raw'!$F116+'Automated raw'!$G116,"-")</f>
        <v>185</v>
      </c>
      <c r="I163" s="38">
        <v>164</v>
      </c>
      <c r="J163" s="38">
        <v>44</v>
      </c>
      <c r="K163" s="38">
        <v>12</v>
      </c>
      <c r="L163" s="38">
        <v>1279</v>
      </c>
      <c r="M163" s="38">
        <v>2452</v>
      </c>
      <c r="N163" s="38">
        <f>'Automated raw'!$G116/'Automated raw'!$H116</f>
        <v>0.34358974358974359</v>
      </c>
      <c r="O163" s="41">
        <f>IFERROR('Automated raw'!$G116/'Automated raw'!$H116,"incomplete")</f>
        <v>0.34358974358974359</v>
      </c>
      <c r="P163" s="38">
        <f>'Automated raw'!$F116</f>
        <v>118</v>
      </c>
      <c r="Q163" s="42">
        <f>IFERROR('Automated raw'!$P116*'Automated raw'!$L116,0)</f>
        <v>176657</v>
      </c>
      <c r="R163" s="38" t="str">
        <f>IF('Automated raw'!$O116&gt;=60%,"High",IF('Automated raw'!$O116&gt;=30%,"Avg",IF('Automated raw'!$O116&lt;30%,"Dead Stock","Incomplete")))</f>
        <v>Avg</v>
      </c>
      <c r="S163" s="43" t="str">
        <f>TEXT('Automated raw'!$B116,"mmm")</f>
        <v>Jun</v>
      </c>
      <c r="T163" s="82">
        <f>'Automated raw'!$G116*'Automated raw'!$M116</f>
        <v>146462</v>
      </c>
      <c r="U163" s="6">
        <f>IFERROR((Table7[[#This Row],[Stock In(Total)]]+Table7[[#This Row],[In Stock or Remaining]])/2,"-")</f>
        <v>140.5</v>
      </c>
      <c r="V163" s="93">
        <f>IFERROR(Table7[[#This Row],[Stock_Out]]/Table7[[#This Row],[Avg Inventory]],"-")</f>
        <v>0.42704626334519574</v>
      </c>
      <c r="W163" s="6"/>
      <c r="X163" s="6"/>
      <c r="Y163" s="6"/>
      <c r="Z163" s="6"/>
      <c r="AA163" s="6"/>
      <c r="AB163" s="6"/>
      <c r="AC163" s="6"/>
      <c r="AD163" s="6"/>
      <c r="AE163" s="6"/>
      <c r="AF163" s="6"/>
      <c r="AG163" s="6"/>
      <c r="AH163" s="6"/>
      <c r="AI163" s="6"/>
      <c r="AJ163" s="6"/>
      <c r="AK163" s="6"/>
      <c r="AL163" s="26" t="s">
        <v>229</v>
      </c>
      <c r="AM163" s="24">
        <v>45489</v>
      </c>
      <c r="AN163" s="24" t="s">
        <v>30</v>
      </c>
      <c r="AO163" s="24" t="s">
        <v>13</v>
      </c>
      <c r="AP163" s="24" t="s">
        <v>23</v>
      </c>
      <c r="AQ163" s="24">
        <v>50</v>
      </c>
      <c r="AR163" s="24">
        <v>20</v>
      </c>
      <c r="AS163" s="24">
        <v>70</v>
      </c>
      <c r="AT163" s="24">
        <v>266</v>
      </c>
      <c r="AU163" s="24">
        <v>73</v>
      </c>
      <c r="AV163" s="24">
        <v>7</v>
      </c>
      <c r="AW163" s="24">
        <v>1670</v>
      </c>
      <c r="AX163" s="24">
        <v>2516</v>
      </c>
      <c r="AY163" s="24">
        <v>0.2857142857142857</v>
      </c>
      <c r="AZ163" s="24">
        <v>0.2857142857142857</v>
      </c>
      <c r="BA163" s="24">
        <v>50</v>
      </c>
      <c r="BB163" s="24">
        <v>83500</v>
      </c>
      <c r="BC163" s="24" t="s">
        <v>547</v>
      </c>
      <c r="BD163" s="27" t="s">
        <v>556</v>
      </c>
    </row>
    <row r="164" spans="1:56" x14ac:dyDescent="0.3">
      <c r="A164" s="38" t="s">
        <v>148</v>
      </c>
      <c r="B164" s="39">
        <v>45493</v>
      </c>
      <c r="C164" s="38" t="s">
        <v>19</v>
      </c>
      <c r="D164" s="38" t="s">
        <v>17</v>
      </c>
      <c r="E164" s="38" t="s">
        <v>14</v>
      </c>
      <c r="F164" s="40">
        <v>126</v>
      </c>
      <c r="G164" s="38">
        <v>79</v>
      </c>
      <c r="H164" s="38">
        <f>IFERROR('Automated raw'!$F120+'Automated raw'!$G120,"-")</f>
        <v>107</v>
      </c>
      <c r="I164" s="38">
        <v>11</v>
      </c>
      <c r="J164" s="38">
        <v>36</v>
      </c>
      <c r="K164" s="38">
        <v>3</v>
      </c>
      <c r="L164" s="38">
        <v>527</v>
      </c>
      <c r="M164" s="38">
        <v>1846</v>
      </c>
      <c r="N164" s="38">
        <f>'Automated raw'!$G120/'Automated raw'!$H120</f>
        <v>0.9285714285714286</v>
      </c>
      <c r="O164" s="41">
        <f>IFERROR('Automated raw'!$G120/'Automated raw'!$H120,"incomplete")</f>
        <v>0.9285714285714286</v>
      </c>
      <c r="P164" s="38">
        <f>'Automated raw'!$F120</f>
        <v>68</v>
      </c>
      <c r="Q164" s="42">
        <f>IFERROR('Automated raw'!$P120*'Automated raw'!$L120,0)</f>
        <v>21257</v>
      </c>
      <c r="R164" s="38" t="str">
        <f>IF('Automated raw'!$O120&gt;=60%,"High",IF('Automated raw'!$O120&gt;=30%,"Avg",IF('Automated raw'!$O120&lt;30%,"Dead Stock","Incomplete")))</f>
        <v>Dead Stock</v>
      </c>
      <c r="S164" s="43" t="str">
        <f>TEXT('Automated raw'!$B120,"mmm")</f>
        <v>Oct</v>
      </c>
      <c r="T164" s="82">
        <f>'Automated raw'!$G120*'Automated raw'!$M120</f>
        <v>35568</v>
      </c>
      <c r="U164" s="6">
        <f>IFERROR((Table7[[#This Row],[Stock In(Total)]]+Table7[[#This Row],[In Stock or Remaining]])/2,"-")</f>
        <v>116.5</v>
      </c>
      <c r="V164" s="93">
        <f>IFERROR(Table7[[#This Row],[Stock_Out]]/Table7[[#This Row],[Avg Inventory]],"-")</f>
        <v>0.67811158798283266</v>
      </c>
      <c r="W164" s="6"/>
      <c r="X164" s="6"/>
      <c r="Y164" s="6"/>
      <c r="Z164" s="6"/>
      <c r="AA164" s="6"/>
      <c r="AB164" s="6"/>
      <c r="AC164" s="6"/>
      <c r="AD164" s="6"/>
      <c r="AE164" s="6"/>
      <c r="AF164" s="6"/>
      <c r="AG164" s="6"/>
      <c r="AH164" s="6"/>
      <c r="AI164" s="6"/>
      <c r="AJ164" s="6"/>
      <c r="AK164" s="6"/>
      <c r="AL164" s="26" t="s">
        <v>204</v>
      </c>
      <c r="AM164" s="24">
        <v>45375</v>
      </c>
      <c r="AN164" s="24" t="s">
        <v>30</v>
      </c>
      <c r="AO164" s="24" t="s">
        <v>20</v>
      </c>
      <c r="AP164" s="24" t="s">
        <v>38</v>
      </c>
      <c r="AQ164" s="24">
        <v>43</v>
      </c>
      <c r="AR164" s="24">
        <v>11</v>
      </c>
      <c r="AS164" s="24">
        <v>54</v>
      </c>
      <c r="AT164" s="24">
        <v>147</v>
      </c>
      <c r="AU164" s="24">
        <v>70</v>
      </c>
      <c r="AV164" s="24">
        <v>8</v>
      </c>
      <c r="AW164" s="24">
        <v>1884</v>
      </c>
      <c r="AX164" s="24">
        <v>3178</v>
      </c>
      <c r="AY164" s="24">
        <v>0.20370370370370369</v>
      </c>
      <c r="AZ164" s="24">
        <v>0.20370370370370369</v>
      </c>
      <c r="BA164" s="24">
        <v>43</v>
      </c>
      <c r="BB164" s="24">
        <v>81012</v>
      </c>
      <c r="BC164" s="24" t="s">
        <v>547</v>
      </c>
      <c r="BD164" s="27" t="s">
        <v>562</v>
      </c>
    </row>
    <row r="165" spans="1:56" x14ac:dyDescent="0.3">
      <c r="A165" s="44" t="s">
        <v>195</v>
      </c>
      <c r="B165" s="45">
        <v>45566</v>
      </c>
      <c r="C165" s="44" t="s">
        <v>16</v>
      </c>
      <c r="D165" s="44" t="s">
        <v>20</v>
      </c>
      <c r="E165" s="44" t="s">
        <v>38</v>
      </c>
      <c r="F165" s="40">
        <v>36</v>
      </c>
      <c r="G165" s="44">
        <v>97</v>
      </c>
      <c r="H165" s="44">
        <f>IFERROR('Automated raw'!$F165+'Automated raw'!$G165,"-")</f>
        <v>133</v>
      </c>
      <c r="I165" s="44">
        <v>84</v>
      </c>
      <c r="J165" s="44">
        <v>59</v>
      </c>
      <c r="K165" s="44">
        <v>2</v>
      </c>
      <c r="L165" s="44">
        <v>698</v>
      </c>
      <c r="M165" s="44">
        <v>1944</v>
      </c>
      <c r="N165" s="44">
        <f>'Automated raw'!$G165/'Automated raw'!$H165</f>
        <v>0.72932330827067671</v>
      </c>
      <c r="O165" s="46">
        <f>IFERROR('Automated raw'!$G165/'Automated raw'!$H165,"incomplete")</f>
        <v>0.72932330827067671</v>
      </c>
      <c r="P165" s="44">
        <f>'Automated raw'!$F165</f>
        <v>36</v>
      </c>
      <c r="Q165" s="47">
        <f>IFERROR('Automated raw'!$P165*'Automated raw'!$L165,0)</f>
        <v>25128</v>
      </c>
      <c r="R165" s="44" t="str">
        <f>IF('Automated raw'!$O165&gt;=60%,"High",IF('Automated raw'!$O165&gt;=30%,"Avg",IF('Automated raw'!$O165&lt;30%,"Dead Stock","Incomplete")))</f>
        <v>High</v>
      </c>
      <c r="S165" s="48" t="str">
        <f>TEXT('Automated raw'!$B165,"mmm")</f>
        <v>Oct</v>
      </c>
      <c r="T165" s="83">
        <f>'Automated raw'!$G165*'Automated raw'!$M165</f>
        <v>188568</v>
      </c>
      <c r="U165" s="6">
        <f>IFERROR((Table7[[#This Row],[Stock In(Total)]]+Table7[[#This Row],[In Stock or Remaining]])/2,"-")</f>
        <v>84.5</v>
      </c>
      <c r="V165" s="93">
        <f>IFERROR(Table7[[#This Row],[Stock_Out]]/Table7[[#This Row],[Avg Inventory]],"-")</f>
        <v>1.1479289940828403</v>
      </c>
      <c r="W165" s="6"/>
      <c r="X165" s="6"/>
      <c r="Y165" s="6"/>
      <c r="Z165" s="6"/>
      <c r="AA165" s="6"/>
      <c r="AB165" s="6"/>
      <c r="AC165" s="6"/>
      <c r="AD165" s="6"/>
      <c r="AE165" s="6"/>
      <c r="AF165" s="6"/>
      <c r="AG165" s="6"/>
      <c r="AH165" s="6"/>
      <c r="AI165" s="6"/>
      <c r="AJ165" s="6"/>
      <c r="AK165" s="6"/>
      <c r="AL165" s="26" t="s">
        <v>324</v>
      </c>
      <c r="AM165" s="24">
        <v>45527</v>
      </c>
      <c r="AN165" s="24" t="s">
        <v>45</v>
      </c>
      <c r="AO165" s="24" t="s">
        <v>17</v>
      </c>
      <c r="AP165" s="24" t="s">
        <v>21</v>
      </c>
      <c r="AQ165" s="24">
        <v>131</v>
      </c>
      <c r="AR165" s="24">
        <v>21</v>
      </c>
      <c r="AS165" s="24">
        <v>152</v>
      </c>
      <c r="AT165" s="24">
        <v>1</v>
      </c>
      <c r="AU165" s="24">
        <v>58</v>
      </c>
      <c r="AV165" s="24">
        <v>9</v>
      </c>
      <c r="AW165" s="24">
        <v>591</v>
      </c>
      <c r="AX165" s="24">
        <v>1121</v>
      </c>
      <c r="AY165" s="24">
        <v>0.13815789473684212</v>
      </c>
      <c r="AZ165" s="24">
        <v>0.13815789473684212</v>
      </c>
      <c r="BA165" s="24">
        <v>131</v>
      </c>
      <c r="BB165" s="24">
        <v>77421</v>
      </c>
      <c r="BC165" s="24" t="s">
        <v>547</v>
      </c>
      <c r="BD165" s="27" t="s">
        <v>554</v>
      </c>
    </row>
    <row r="166" spans="1:56" x14ac:dyDescent="0.3">
      <c r="A166" s="38" t="s">
        <v>447</v>
      </c>
      <c r="B166" s="39">
        <v>45608</v>
      </c>
      <c r="C166" s="38" t="s">
        <v>259</v>
      </c>
      <c r="D166" s="38" t="s">
        <v>20</v>
      </c>
      <c r="E166" s="38" t="s">
        <v>14</v>
      </c>
      <c r="F166" s="40">
        <v>129</v>
      </c>
      <c r="G166" s="38">
        <v>81</v>
      </c>
      <c r="H166" s="38">
        <f>IFERROR('Automated raw'!$F414+'Automated raw'!$G414,"-")</f>
        <v>110</v>
      </c>
      <c r="I166" s="38">
        <v>73</v>
      </c>
      <c r="J166" s="38">
        <v>40</v>
      </c>
      <c r="K166" s="38">
        <v>11</v>
      </c>
      <c r="L166" s="38">
        <v>314</v>
      </c>
      <c r="M166" s="38">
        <v>439</v>
      </c>
      <c r="N166" s="38">
        <f>'Automated raw'!$G414/'Automated raw'!$H414</f>
        <v>0.27142857142857141</v>
      </c>
      <c r="O166" s="41">
        <f>IFERROR('Automated raw'!$G414/'Automated raw'!$H414,"incomplete")</f>
        <v>0.27142857142857141</v>
      </c>
      <c r="P166" s="38">
        <f>'Automated raw'!$F414</f>
        <v>53</v>
      </c>
      <c r="Q166" s="42">
        <f>IFERROR('Automated raw'!$P414*'Automated raw'!$L414,0)</f>
        <v>36894</v>
      </c>
      <c r="R166" s="38" t="str">
        <f>IF('Automated raw'!$O414&gt;=60%,"High",IF('Automated raw'!$O414&gt;=30%,"Avg",IF('Automated raw'!$O414&lt;30%,"Dead Stock","Incomplete")))</f>
        <v>High</v>
      </c>
      <c r="S166" s="43" t="str">
        <f>TEXT('Automated raw'!$B414,"mmm")</f>
        <v>Jul</v>
      </c>
      <c r="T166" s="82">
        <f>'Automated raw'!$G414*'Automated raw'!$M414</f>
        <v>44403</v>
      </c>
      <c r="U166" s="6">
        <f>IFERROR((Table7[[#This Row],[Stock In(Total)]]+Table7[[#This Row],[In Stock or Remaining]])/2,"-")</f>
        <v>119.5</v>
      </c>
      <c r="V166" s="93">
        <f>IFERROR(Table7[[#This Row],[Stock_Out]]/Table7[[#This Row],[Avg Inventory]],"-")</f>
        <v>0.67782426778242677</v>
      </c>
      <c r="W166" s="6"/>
      <c r="X166" s="6"/>
      <c r="Y166" s="6"/>
      <c r="Z166" s="6"/>
      <c r="AA166" s="6"/>
      <c r="AB166" s="6"/>
      <c r="AC166" s="6"/>
      <c r="AD166" s="6"/>
      <c r="AE166" s="6"/>
      <c r="AF166" s="6"/>
      <c r="AG166" s="6"/>
      <c r="AH166" s="6"/>
      <c r="AI166" s="6"/>
      <c r="AJ166" s="6"/>
      <c r="AK166" s="6"/>
      <c r="AL166" s="26" t="s">
        <v>443</v>
      </c>
      <c r="AM166" s="24">
        <v>45595</v>
      </c>
      <c r="AN166" s="24" t="s">
        <v>12</v>
      </c>
      <c r="AO166" s="24" t="s">
        <v>17</v>
      </c>
      <c r="AP166" s="24" t="s">
        <v>14</v>
      </c>
      <c r="AQ166" s="24">
        <v>118</v>
      </c>
      <c r="AR166" s="24">
        <v>48</v>
      </c>
      <c r="AS166" s="24">
        <v>166</v>
      </c>
      <c r="AT166" s="24">
        <v>282</v>
      </c>
      <c r="AU166" s="24">
        <v>51</v>
      </c>
      <c r="AV166" s="24">
        <v>15</v>
      </c>
      <c r="AW166" s="24">
        <v>649</v>
      </c>
      <c r="AX166" s="24">
        <v>1681</v>
      </c>
      <c r="AY166" s="24">
        <v>0.28915662650602408</v>
      </c>
      <c r="AZ166" s="24">
        <v>0.28915662650602408</v>
      </c>
      <c r="BA166" s="24">
        <v>118</v>
      </c>
      <c r="BB166" s="24">
        <v>76582</v>
      </c>
      <c r="BC166" s="24" t="s">
        <v>547</v>
      </c>
      <c r="BD166" s="27" t="s">
        <v>565</v>
      </c>
    </row>
    <row r="167" spans="1:56" x14ac:dyDescent="0.3">
      <c r="A167" s="44" t="s">
        <v>197</v>
      </c>
      <c r="B167" s="45">
        <v>45365</v>
      </c>
      <c r="C167" s="44" t="s">
        <v>37</v>
      </c>
      <c r="D167" s="44" t="s">
        <v>17</v>
      </c>
      <c r="E167" s="44" t="s">
        <v>38</v>
      </c>
      <c r="F167" s="40" t="s">
        <v>23</v>
      </c>
      <c r="G167" s="44">
        <v>13</v>
      </c>
      <c r="H167" s="44" t="str">
        <f>IFERROR('Automated raw'!$F167+'Automated raw'!$G167,"-")</f>
        <v>-</v>
      </c>
      <c r="I167" s="44">
        <v>77</v>
      </c>
      <c r="J167" s="44">
        <v>78</v>
      </c>
      <c r="K167" s="44">
        <v>2</v>
      </c>
      <c r="L167" s="44">
        <v>1870</v>
      </c>
      <c r="M167" s="44">
        <v>2019</v>
      </c>
      <c r="N167" s="44" t="e">
        <f>'Automated raw'!$G167/'Automated raw'!$H167</f>
        <v>#VALUE!</v>
      </c>
      <c r="O167" s="51" t="str">
        <f>IFERROR('Automated raw'!$G167/'Automated raw'!$H167,"incomplete")</f>
        <v>incomplete</v>
      </c>
      <c r="P167" s="44" t="str">
        <f>'Automated raw'!$F167</f>
        <v>Not Available</v>
      </c>
      <c r="Q167" s="47">
        <f>IFERROR('Automated raw'!$P167*'Automated raw'!$L167,0)</f>
        <v>0</v>
      </c>
      <c r="R167" s="44" t="str">
        <f>IF('Automated raw'!$O167&gt;=60%,"High",IF('Automated raw'!$O167&gt;=30%,"Avg",IF('Automated raw'!$O167&lt;30%,"Dead Stock","Incomplete")))</f>
        <v>High</v>
      </c>
      <c r="S167" s="48" t="str">
        <f>TEXT('Automated raw'!$B167,"mmm")</f>
        <v>Mar</v>
      </c>
      <c r="T167" s="83">
        <f>'Automated raw'!$G167*'Automated raw'!$M167</f>
        <v>26247</v>
      </c>
      <c r="U167" s="6" t="str">
        <f>IFERROR((Table7[[#This Row],[Stock In(Total)]]+Table7[[#This Row],[In Stock or Remaining]])/2,"-")</f>
        <v>-</v>
      </c>
      <c r="V167" s="93" t="str">
        <f>IFERROR(Table7[[#This Row],[Stock_Out]]/Table7[[#This Row],[Avg Inventory]],"-")</f>
        <v>-</v>
      </c>
      <c r="W167" s="6"/>
      <c r="X167" s="6"/>
      <c r="Y167" s="6"/>
      <c r="Z167" s="6"/>
      <c r="AA167" s="6"/>
      <c r="AB167" s="6"/>
      <c r="AC167" s="6"/>
      <c r="AD167" s="6"/>
      <c r="AE167" s="6"/>
      <c r="AF167" s="6"/>
      <c r="AG167" s="6"/>
      <c r="AH167" s="6"/>
      <c r="AI167" s="6"/>
      <c r="AJ167" s="6"/>
      <c r="AK167" s="6"/>
      <c r="AL167" s="26" t="s">
        <v>302</v>
      </c>
      <c r="AM167" s="24">
        <v>45305</v>
      </c>
      <c r="AN167" s="24" t="s">
        <v>45</v>
      </c>
      <c r="AO167" s="24" t="s">
        <v>17</v>
      </c>
      <c r="AP167" s="24" t="s">
        <v>38</v>
      </c>
      <c r="AQ167" s="24">
        <v>39</v>
      </c>
      <c r="AR167" s="24">
        <v>11</v>
      </c>
      <c r="AS167" s="24">
        <v>50</v>
      </c>
      <c r="AT167" s="24">
        <v>187</v>
      </c>
      <c r="AU167" s="24">
        <v>39</v>
      </c>
      <c r="AV167" s="24">
        <v>10</v>
      </c>
      <c r="AW167" s="24">
        <v>1961</v>
      </c>
      <c r="AX167" s="24">
        <v>3381</v>
      </c>
      <c r="AY167" s="24">
        <v>0.22</v>
      </c>
      <c r="AZ167" s="24">
        <v>0.22</v>
      </c>
      <c r="BA167" s="24">
        <v>39</v>
      </c>
      <c r="BB167" s="24">
        <v>76479</v>
      </c>
      <c r="BC167" s="24" t="s">
        <v>547</v>
      </c>
      <c r="BD167" s="27" t="s">
        <v>557</v>
      </c>
    </row>
    <row r="168" spans="1:56" x14ac:dyDescent="0.3">
      <c r="A168" s="38" t="s">
        <v>198</v>
      </c>
      <c r="B168" s="39">
        <v>45300</v>
      </c>
      <c r="C168" s="38" t="s">
        <v>26</v>
      </c>
      <c r="D168" s="38" t="s">
        <v>17</v>
      </c>
      <c r="E168" s="38" t="s">
        <v>38</v>
      </c>
      <c r="F168" s="40">
        <v>21</v>
      </c>
      <c r="G168" s="38">
        <v>48</v>
      </c>
      <c r="H168" s="38">
        <f>IFERROR('Automated raw'!$F168+'Automated raw'!$G168,"-")</f>
        <v>69</v>
      </c>
      <c r="I168" s="38">
        <v>263</v>
      </c>
      <c r="J168" s="38">
        <v>79</v>
      </c>
      <c r="K168" s="38">
        <v>15</v>
      </c>
      <c r="L168" s="38">
        <v>1803</v>
      </c>
      <c r="M168" s="38">
        <v>2558</v>
      </c>
      <c r="N168" s="38">
        <f>'Automated raw'!$G168/'Automated raw'!$H168</f>
        <v>0.69565217391304346</v>
      </c>
      <c r="O168" s="41">
        <f>IFERROR('Automated raw'!$G168/'Automated raw'!$H168,"incomplete")</f>
        <v>0.69565217391304346</v>
      </c>
      <c r="P168" s="38">
        <f>'Automated raw'!$F168</f>
        <v>21</v>
      </c>
      <c r="Q168" s="42">
        <f>IFERROR('Automated raw'!$P168*'Automated raw'!$L168,0)</f>
        <v>37863</v>
      </c>
      <c r="R168" s="38" t="str">
        <f>IF('Automated raw'!$O168&gt;=60%,"High",IF('Automated raw'!$O168&gt;=30%,"Avg",IF('Automated raw'!$O168&lt;30%,"Dead Stock","Incomplete")))</f>
        <v>High</v>
      </c>
      <c r="S168" s="43" t="str">
        <f>TEXT('Automated raw'!$B168,"mmm")</f>
        <v>Jan</v>
      </c>
      <c r="T168" s="82">
        <f>'Automated raw'!$G168*'Automated raw'!$M168</f>
        <v>122784</v>
      </c>
      <c r="U168" s="6">
        <f>IFERROR((Table7[[#This Row],[Stock In(Total)]]+Table7[[#This Row],[In Stock or Remaining]])/2,"-")</f>
        <v>45</v>
      </c>
      <c r="V168" s="93">
        <f>IFERROR(Table7[[#This Row],[Stock_Out]]/Table7[[#This Row],[Avg Inventory]],"-")</f>
        <v>1.0666666666666667</v>
      </c>
      <c r="W168" s="6"/>
      <c r="X168" s="6"/>
      <c r="Y168" s="6"/>
      <c r="Z168" s="6"/>
      <c r="AA168" s="6"/>
      <c r="AB168" s="6"/>
      <c r="AC168" s="6"/>
      <c r="AD168" s="6"/>
      <c r="AE168" s="6"/>
      <c r="AF168" s="6"/>
      <c r="AG168" s="6"/>
      <c r="AH168" s="6"/>
      <c r="AI168" s="6"/>
      <c r="AJ168" s="6"/>
      <c r="AK168" s="6"/>
      <c r="AL168" s="26" t="s">
        <v>130</v>
      </c>
      <c r="AM168" s="24">
        <v>45620</v>
      </c>
      <c r="AN168" s="24" t="s">
        <v>37</v>
      </c>
      <c r="AO168" s="24" t="s">
        <v>20</v>
      </c>
      <c r="AP168" s="24" t="s">
        <v>14</v>
      </c>
      <c r="AQ168" s="24">
        <v>79</v>
      </c>
      <c r="AR168" s="24">
        <v>15</v>
      </c>
      <c r="AS168" s="24">
        <v>94</v>
      </c>
      <c r="AT168" s="24">
        <v>191</v>
      </c>
      <c r="AU168" s="24">
        <v>32</v>
      </c>
      <c r="AV168" s="24">
        <v>6</v>
      </c>
      <c r="AW168" s="24">
        <v>963</v>
      </c>
      <c r="AX168" s="24">
        <v>2172</v>
      </c>
      <c r="AY168" s="24">
        <v>0.15957446808510639</v>
      </c>
      <c r="AZ168" s="24">
        <v>0.15957446808510639</v>
      </c>
      <c r="BA168" s="24">
        <v>79</v>
      </c>
      <c r="BB168" s="24">
        <v>76077</v>
      </c>
      <c r="BC168" s="24" t="s">
        <v>547</v>
      </c>
      <c r="BD168" s="27" t="s">
        <v>564</v>
      </c>
    </row>
    <row r="169" spans="1:56" x14ac:dyDescent="0.3">
      <c r="A169" s="38" t="s">
        <v>517</v>
      </c>
      <c r="B169" s="39">
        <v>45656</v>
      </c>
      <c r="C169" s="38" t="s">
        <v>26</v>
      </c>
      <c r="D169" s="38" t="s">
        <v>13</v>
      </c>
      <c r="E169" s="38" t="s">
        <v>38</v>
      </c>
      <c r="F169" s="40">
        <v>138</v>
      </c>
      <c r="G169" s="38">
        <v>87</v>
      </c>
      <c r="H169" s="38">
        <f>IFERROR('Automated raw'!$F484+'Automated raw'!$G484,"-")</f>
        <v>93</v>
      </c>
      <c r="I169" s="38">
        <v>286</v>
      </c>
      <c r="J169" s="38">
        <v>60</v>
      </c>
      <c r="K169" s="38">
        <v>9</v>
      </c>
      <c r="L169" s="38">
        <v>1042</v>
      </c>
      <c r="M169" s="38">
        <v>2473</v>
      </c>
      <c r="N169" s="38">
        <f>'Automated raw'!$G484/'Automated raw'!$H484</f>
        <v>0.3776223776223776</v>
      </c>
      <c r="O169" s="41">
        <f>IFERROR('Automated raw'!$G484/'Automated raw'!$H484,"incomplete")</f>
        <v>0.3776223776223776</v>
      </c>
      <c r="P169" s="38">
        <f>'Automated raw'!$F484</f>
        <v>39</v>
      </c>
      <c r="Q169" s="42">
        <f>IFERROR('Automated raw'!$P484*'Automated raw'!$L484,0)</f>
        <v>95475</v>
      </c>
      <c r="R169" s="38" t="str">
        <f>IF('Automated raw'!$O484&gt;=60%,"High",IF('Automated raw'!$O484&gt;=30%,"Avg",IF('Automated raw'!$O484&lt;30%,"Dead Stock","Incomplete")))</f>
        <v>Avg</v>
      </c>
      <c r="S169" s="43" t="str">
        <f>TEXT('Automated raw'!$B484,"mmm")</f>
        <v>Nov</v>
      </c>
      <c r="T169" s="82">
        <f>'Automated raw'!$G484*'Automated raw'!$M484</f>
        <v>109890</v>
      </c>
      <c r="U169" s="6">
        <f>IFERROR((Table7[[#This Row],[Stock In(Total)]]+Table7[[#This Row],[In Stock or Remaining]])/2,"-")</f>
        <v>115.5</v>
      </c>
      <c r="V169" s="93">
        <f>IFERROR(Table7[[#This Row],[Stock_Out]]/Table7[[#This Row],[Avg Inventory]],"-")</f>
        <v>0.75324675324675328</v>
      </c>
      <c r="W169" s="6"/>
      <c r="X169" s="6"/>
      <c r="Y169" s="6"/>
      <c r="Z169" s="6"/>
      <c r="AA169" s="6"/>
      <c r="AB169" s="6"/>
      <c r="AC169" s="6"/>
      <c r="AD169" s="6"/>
      <c r="AE169" s="6"/>
      <c r="AF169" s="6"/>
      <c r="AG169" s="6"/>
      <c r="AH169" s="6"/>
      <c r="AI169" s="6"/>
      <c r="AJ169" s="6"/>
      <c r="AK169" s="6"/>
      <c r="AL169" s="26" t="s">
        <v>406</v>
      </c>
      <c r="AM169" s="24">
        <v>45529</v>
      </c>
      <c r="AN169" s="24" t="s">
        <v>53</v>
      </c>
      <c r="AO169" s="24" t="s">
        <v>13</v>
      </c>
      <c r="AP169" s="24" t="s">
        <v>38</v>
      </c>
      <c r="AQ169" s="24">
        <v>104</v>
      </c>
      <c r="AR169" s="24">
        <v>36</v>
      </c>
      <c r="AS169" s="24">
        <v>140</v>
      </c>
      <c r="AT169" s="24">
        <v>250</v>
      </c>
      <c r="AU169" s="24">
        <v>39</v>
      </c>
      <c r="AV169" s="24">
        <v>11</v>
      </c>
      <c r="AW169" s="24">
        <v>709</v>
      </c>
      <c r="AX169" s="24">
        <v>991</v>
      </c>
      <c r="AY169" s="24">
        <v>0.25714285714285712</v>
      </c>
      <c r="AZ169" s="24">
        <v>0.25714285714285712</v>
      </c>
      <c r="BA169" s="24">
        <v>104</v>
      </c>
      <c r="BB169" s="24">
        <v>73736</v>
      </c>
      <c r="BC169" s="24" t="s">
        <v>547</v>
      </c>
      <c r="BD169" s="27" t="s">
        <v>554</v>
      </c>
    </row>
    <row r="170" spans="1:56" x14ac:dyDescent="0.3">
      <c r="A170" s="38" t="s">
        <v>121</v>
      </c>
      <c r="B170" s="39">
        <v>45479</v>
      </c>
      <c r="C170" s="38" t="s">
        <v>53</v>
      </c>
      <c r="D170" s="38" t="s">
        <v>13</v>
      </c>
      <c r="E170" s="38" t="s">
        <v>33</v>
      </c>
      <c r="F170" s="40">
        <v>49</v>
      </c>
      <c r="G170" s="38">
        <v>31</v>
      </c>
      <c r="H170" s="38">
        <f>IFERROR('Automated raw'!$F94+'Automated raw'!$G94,"-")</f>
        <v>137</v>
      </c>
      <c r="I170" s="38">
        <v>7</v>
      </c>
      <c r="J170" s="38">
        <v>35</v>
      </c>
      <c r="K170" s="38">
        <v>12</v>
      </c>
      <c r="L170" s="38">
        <v>1228</v>
      </c>
      <c r="M170" s="38">
        <v>2132</v>
      </c>
      <c r="N170" s="38">
        <f>'Automated raw'!$G94/'Automated raw'!$H94</f>
        <v>0.63157894736842102</v>
      </c>
      <c r="O170" s="41">
        <f>IFERROR('Automated raw'!$G94/'Automated raw'!$H94,"incomplete")</f>
        <v>0.63157894736842102</v>
      </c>
      <c r="P170" s="38">
        <f>'Automated raw'!$F94</f>
        <v>89</v>
      </c>
      <c r="Q170" s="42">
        <f>IFERROR('Automated raw'!$P94*'Automated raw'!$L94,0)</f>
        <v>27440</v>
      </c>
      <c r="R170" s="38" t="str">
        <f>IF('Automated raw'!$O94&gt;=60%,"High",IF('Automated raw'!$O94&gt;=30%,"Avg",IF('Automated raw'!$O94&lt;30%,"Dead Stock","Incomplete")))</f>
        <v>Dead Stock</v>
      </c>
      <c r="S170" s="43" t="str">
        <f>TEXT('Automated raw'!$B94,"mmm")</f>
        <v>Feb</v>
      </c>
      <c r="T170" s="82">
        <f>'Automated raw'!$G94*'Automated raw'!$M94</f>
        <v>44304</v>
      </c>
      <c r="U170" s="6">
        <f>IFERROR((Table7[[#This Row],[Stock In(Total)]]+Table7[[#This Row],[In Stock or Remaining]])/2,"-")</f>
        <v>93</v>
      </c>
      <c r="V170" s="93">
        <f>IFERROR(Table7[[#This Row],[Stock_Out]]/Table7[[#This Row],[Avg Inventory]],"-")</f>
        <v>0.33333333333333331</v>
      </c>
      <c r="W170" s="6"/>
      <c r="X170" s="6"/>
      <c r="Y170" s="6"/>
      <c r="Z170" s="6"/>
      <c r="AA170" s="6"/>
      <c r="AB170" s="6"/>
      <c r="AC170" s="6"/>
      <c r="AD170" s="6"/>
      <c r="AE170" s="6"/>
      <c r="AF170" s="6"/>
      <c r="AG170" s="6"/>
      <c r="AH170" s="6"/>
      <c r="AI170" s="6"/>
      <c r="AJ170" s="6"/>
      <c r="AK170" s="6"/>
      <c r="AL170" s="26" t="s">
        <v>161</v>
      </c>
      <c r="AM170" s="24">
        <v>45472</v>
      </c>
      <c r="AN170" s="24" t="s">
        <v>26</v>
      </c>
      <c r="AO170" s="24" t="s">
        <v>17</v>
      </c>
      <c r="AP170" s="24" t="s">
        <v>33</v>
      </c>
      <c r="AQ170" s="24">
        <v>77</v>
      </c>
      <c r="AR170" s="24">
        <v>23</v>
      </c>
      <c r="AS170" s="24">
        <v>100</v>
      </c>
      <c r="AT170" s="24">
        <v>125</v>
      </c>
      <c r="AU170" s="24">
        <v>55</v>
      </c>
      <c r="AV170" s="24">
        <v>12</v>
      </c>
      <c r="AW170" s="24">
        <v>945</v>
      </c>
      <c r="AX170" s="24">
        <v>1446</v>
      </c>
      <c r="AY170" s="24">
        <v>0.23</v>
      </c>
      <c r="AZ170" s="24">
        <v>0.23</v>
      </c>
      <c r="BA170" s="24">
        <v>77</v>
      </c>
      <c r="BB170" s="24">
        <v>72765</v>
      </c>
      <c r="BC170" s="24" t="s">
        <v>547</v>
      </c>
      <c r="BD170" s="27" t="s">
        <v>559</v>
      </c>
    </row>
    <row r="171" spans="1:56" x14ac:dyDescent="0.3">
      <c r="A171" s="44" t="s">
        <v>201</v>
      </c>
      <c r="B171" s="45">
        <v>45480</v>
      </c>
      <c r="C171" s="44" t="s">
        <v>16</v>
      </c>
      <c r="D171" s="44" t="s">
        <v>13</v>
      </c>
      <c r="E171" s="44" t="s">
        <v>33</v>
      </c>
      <c r="F171" s="40">
        <v>110</v>
      </c>
      <c r="G171" s="44">
        <v>25</v>
      </c>
      <c r="H171" s="44">
        <f>IFERROR('Automated raw'!$F171+'Automated raw'!$G171,"-")</f>
        <v>135</v>
      </c>
      <c r="I171" s="44">
        <v>35</v>
      </c>
      <c r="J171" s="44">
        <v>72</v>
      </c>
      <c r="K171" s="44">
        <v>5</v>
      </c>
      <c r="L171" s="44">
        <v>574</v>
      </c>
      <c r="M171" s="44">
        <v>1546</v>
      </c>
      <c r="N171" s="44">
        <f>'Automated raw'!$G171/'Automated raw'!$H171</f>
        <v>0.18518518518518517</v>
      </c>
      <c r="O171" s="46">
        <f>IFERROR('Automated raw'!$G171/'Automated raw'!$H171,"incomplete")</f>
        <v>0.18518518518518517</v>
      </c>
      <c r="P171" s="44">
        <f>'Automated raw'!$F171</f>
        <v>110</v>
      </c>
      <c r="Q171" s="47">
        <f>IFERROR('Automated raw'!$P171*'Automated raw'!$L171,0)</f>
        <v>63140</v>
      </c>
      <c r="R171" s="44" t="str">
        <f>IF('Automated raw'!$O171&gt;=60%,"High",IF('Automated raw'!$O171&gt;=30%,"Avg",IF('Automated raw'!$O171&lt;30%,"Dead Stock","Incomplete")))</f>
        <v>Dead Stock</v>
      </c>
      <c r="S171" s="48" t="str">
        <f>TEXT('Automated raw'!$B171,"mmm")</f>
        <v>Jul</v>
      </c>
      <c r="T171" s="83">
        <f>'Automated raw'!$G171*'Automated raw'!$M171</f>
        <v>38650</v>
      </c>
      <c r="U171" s="6">
        <f>IFERROR((Table7[[#This Row],[Stock In(Total)]]+Table7[[#This Row],[In Stock or Remaining]])/2,"-")</f>
        <v>122.5</v>
      </c>
      <c r="V171" s="93">
        <f>IFERROR(Table7[[#This Row],[Stock_Out]]/Table7[[#This Row],[Avg Inventory]],"-")</f>
        <v>0.20408163265306123</v>
      </c>
      <c r="W171" s="6"/>
      <c r="X171" s="6"/>
      <c r="Y171" s="6"/>
      <c r="Z171" s="6"/>
      <c r="AA171" s="6"/>
      <c r="AB171" s="6"/>
      <c r="AC171" s="6"/>
      <c r="AD171" s="6"/>
      <c r="AE171" s="6"/>
      <c r="AF171" s="6"/>
      <c r="AG171" s="6"/>
      <c r="AH171" s="6"/>
      <c r="AI171" s="6"/>
      <c r="AJ171" s="6"/>
      <c r="AK171" s="6"/>
      <c r="AL171" s="26" t="s">
        <v>428</v>
      </c>
      <c r="AM171" s="24">
        <v>45578</v>
      </c>
      <c r="AN171" s="24" t="s">
        <v>53</v>
      </c>
      <c r="AO171" s="24" t="s">
        <v>17</v>
      </c>
      <c r="AP171" s="24" t="s">
        <v>21</v>
      </c>
      <c r="AQ171" s="24">
        <v>92</v>
      </c>
      <c r="AR171" s="24">
        <v>4</v>
      </c>
      <c r="AS171" s="24">
        <v>96</v>
      </c>
      <c r="AT171" s="24">
        <v>286</v>
      </c>
      <c r="AU171" s="24">
        <v>35</v>
      </c>
      <c r="AV171" s="24">
        <v>12</v>
      </c>
      <c r="AW171" s="24">
        <v>769</v>
      </c>
      <c r="AX171" s="24">
        <v>1363</v>
      </c>
      <c r="AY171" s="24">
        <v>4.1666666666666664E-2</v>
      </c>
      <c r="AZ171" s="24">
        <v>4.1666666666666664E-2</v>
      </c>
      <c r="BA171" s="24">
        <v>92</v>
      </c>
      <c r="BB171" s="24">
        <v>70748</v>
      </c>
      <c r="BC171" s="24" t="s">
        <v>547</v>
      </c>
      <c r="BD171" s="27" t="s">
        <v>565</v>
      </c>
    </row>
    <row r="172" spans="1:56" x14ac:dyDescent="0.3">
      <c r="A172" s="38" t="s">
        <v>202</v>
      </c>
      <c r="B172" s="39">
        <v>45571</v>
      </c>
      <c r="C172" s="38" t="s">
        <v>26</v>
      </c>
      <c r="D172" s="38" t="s">
        <v>17</v>
      </c>
      <c r="E172" s="38" t="s">
        <v>33</v>
      </c>
      <c r="F172" s="40">
        <v>146</v>
      </c>
      <c r="G172" s="38">
        <v>21</v>
      </c>
      <c r="H172" s="38">
        <f>IFERROR('Automated raw'!$F172+'Automated raw'!$G172,"-")</f>
        <v>167</v>
      </c>
      <c r="I172" s="38">
        <v>119</v>
      </c>
      <c r="J172" s="38">
        <v>69</v>
      </c>
      <c r="K172" s="38">
        <v>15</v>
      </c>
      <c r="L172" s="38">
        <v>706</v>
      </c>
      <c r="M172" s="38">
        <v>1500</v>
      </c>
      <c r="N172" s="38">
        <f>'Automated raw'!$G172/'Automated raw'!$H172</f>
        <v>0.12574850299401197</v>
      </c>
      <c r="O172" s="41">
        <f>IFERROR('Automated raw'!$G172/'Automated raw'!$H172,"incomplete")</f>
        <v>0.12574850299401197</v>
      </c>
      <c r="P172" s="38">
        <f>'Automated raw'!$F172</f>
        <v>146</v>
      </c>
      <c r="Q172" s="42">
        <f>IFERROR('Automated raw'!$P172*'Automated raw'!$L172,0)</f>
        <v>103076</v>
      </c>
      <c r="R172" s="38" t="str">
        <f>IF('Automated raw'!$O172&gt;=60%,"High",IF('Automated raw'!$O172&gt;=30%,"Avg",IF('Automated raw'!$O172&lt;30%,"Dead Stock","Incomplete")))</f>
        <v>Dead Stock</v>
      </c>
      <c r="S172" s="43" t="str">
        <f>TEXT('Automated raw'!$B172,"mmm")</f>
        <v>Oct</v>
      </c>
      <c r="T172" s="82">
        <f>'Automated raw'!$G172*'Automated raw'!$M172</f>
        <v>31500</v>
      </c>
      <c r="U172" s="6">
        <f>IFERROR((Table7[[#This Row],[Stock In(Total)]]+Table7[[#This Row],[In Stock or Remaining]])/2,"-")</f>
        <v>156.5</v>
      </c>
      <c r="V172" s="93">
        <f>IFERROR(Table7[[#This Row],[Stock_Out]]/Table7[[#This Row],[Avg Inventory]],"-")</f>
        <v>0.13418530351437699</v>
      </c>
      <c r="W172" s="6"/>
      <c r="X172" s="6"/>
      <c r="Y172" s="6"/>
      <c r="Z172" s="6"/>
      <c r="AA172" s="6"/>
      <c r="AB172" s="6"/>
      <c r="AC172" s="6"/>
      <c r="AD172" s="6"/>
      <c r="AE172" s="6"/>
      <c r="AF172" s="6"/>
      <c r="AG172" s="6"/>
      <c r="AH172" s="6"/>
      <c r="AI172" s="6"/>
      <c r="AJ172" s="6"/>
      <c r="AK172" s="6"/>
      <c r="AL172" s="26" t="s">
        <v>510</v>
      </c>
      <c r="AM172" s="24">
        <v>45502</v>
      </c>
      <c r="AN172" s="24" t="s">
        <v>26</v>
      </c>
      <c r="AO172" s="24" t="s">
        <v>17</v>
      </c>
      <c r="AP172" s="24" t="s">
        <v>21</v>
      </c>
      <c r="AQ172" s="24">
        <v>45</v>
      </c>
      <c r="AR172" s="24">
        <v>1</v>
      </c>
      <c r="AS172" s="24">
        <v>46</v>
      </c>
      <c r="AT172" s="24">
        <v>2</v>
      </c>
      <c r="AU172" s="24">
        <v>59</v>
      </c>
      <c r="AV172" s="24">
        <v>8</v>
      </c>
      <c r="AW172" s="24">
        <v>1551</v>
      </c>
      <c r="AX172" s="24">
        <v>1824</v>
      </c>
      <c r="AY172" s="24">
        <v>2.1739130434782608E-2</v>
      </c>
      <c r="AZ172" s="24">
        <v>2.1739130434782608E-2</v>
      </c>
      <c r="BA172" s="24">
        <v>45</v>
      </c>
      <c r="BB172" s="24">
        <v>69795</v>
      </c>
      <c r="BC172" s="24" t="s">
        <v>547</v>
      </c>
      <c r="BD172" s="27" t="s">
        <v>556</v>
      </c>
    </row>
    <row r="173" spans="1:56" x14ac:dyDescent="0.3">
      <c r="A173" s="38" t="s">
        <v>29</v>
      </c>
      <c r="B173" s="39">
        <v>45501</v>
      </c>
      <c r="C173" s="38" t="s">
        <v>30</v>
      </c>
      <c r="D173" s="38" t="s">
        <v>13</v>
      </c>
      <c r="E173" s="38" t="s">
        <v>21</v>
      </c>
      <c r="F173" s="40">
        <v>135</v>
      </c>
      <c r="G173" s="38">
        <v>86</v>
      </c>
      <c r="H173" s="38">
        <f>IFERROR('Automated raw'!$F10+'Automated raw'!$G10,"-")</f>
        <v>110</v>
      </c>
      <c r="I173" s="38">
        <v>94</v>
      </c>
      <c r="J173" s="38">
        <v>71</v>
      </c>
      <c r="K173" s="38">
        <v>6</v>
      </c>
      <c r="L173" s="38">
        <v>1571</v>
      </c>
      <c r="M173" s="38">
        <v>2690</v>
      </c>
      <c r="N173" s="38">
        <f>'Automated raw'!$G10/'Automated raw'!$H10</f>
        <v>0.20624999999999999</v>
      </c>
      <c r="O173" s="41">
        <f>IFERROR('Automated raw'!$G10/'Automated raw'!$H10,"incomplete")</f>
        <v>0.20624999999999999</v>
      </c>
      <c r="P173" s="38">
        <f>'Automated raw'!$F10</f>
        <v>77</v>
      </c>
      <c r="Q173" s="42">
        <f>IFERROR('Automated raw'!$P10*'Automated raw'!$L10,0)</f>
        <v>64176</v>
      </c>
      <c r="R173" s="38" t="str">
        <f>IF('Automated raw'!$O10&gt;=60%,"High",IF('Automated raw'!$O10&gt;=30%,"Avg",IF('Automated raw'!$O10&lt;30%,"Dead Stock","Incomplete")))</f>
        <v>Avg</v>
      </c>
      <c r="S173" s="43" t="str">
        <f>TEXT('Automated raw'!$B10,"mmm")</f>
        <v>May</v>
      </c>
      <c r="T173" s="82">
        <f>'Automated raw'!$G10*'Automated raw'!$M10</f>
        <v>45804</v>
      </c>
      <c r="U173" s="6">
        <f>IFERROR((Table7[[#This Row],[Stock In(Total)]]+Table7[[#This Row],[In Stock or Remaining]])/2,"-")</f>
        <v>122.5</v>
      </c>
      <c r="V173" s="93">
        <f>IFERROR(Table7[[#This Row],[Stock_Out]]/Table7[[#This Row],[Avg Inventory]],"-")</f>
        <v>0.70204081632653059</v>
      </c>
      <c r="W173" s="6"/>
      <c r="X173" s="6"/>
      <c r="Y173" s="6"/>
      <c r="Z173" s="6"/>
      <c r="AA173" s="6"/>
      <c r="AB173" s="6"/>
      <c r="AC173" s="6"/>
      <c r="AD173" s="6"/>
      <c r="AE173" s="6"/>
      <c r="AF173" s="6"/>
      <c r="AG173" s="6"/>
      <c r="AH173" s="6"/>
      <c r="AI173" s="6"/>
      <c r="AJ173" s="6"/>
      <c r="AK173" s="6"/>
      <c r="AL173" s="26" t="s">
        <v>209</v>
      </c>
      <c r="AM173" s="24">
        <v>45629</v>
      </c>
      <c r="AN173" s="24" t="s">
        <v>45</v>
      </c>
      <c r="AO173" s="24" t="s">
        <v>13</v>
      </c>
      <c r="AP173" s="24" t="s">
        <v>38</v>
      </c>
      <c r="AQ173" s="24">
        <v>99</v>
      </c>
      <c r="AR173" s="24">
        <v>40</v>
      </c>
      <c r="AS173" s="24">
        <v>139</v>
      </c>
      <c r="AT173" s="24">
        <v>232</v>
      </c>
      <c r="AU173" s="24">
        <v>72</v>
      </c>
      <c r="AV173" s="24">
        <v>8</v>
      </c>
      <c r="AW173" s="24">
        <v>689</v>
      </c>
      <c r="AX173" s="24">
        <v>905</v>
      </c>
      <c r="AY173" s="24">
        <v>0.28776978417266186</v>
      </c>
      <c r="AZ173" s="24">
        <v>0.28776978417266186</v>
      </c>
      <c r="BA173" s="24">
        <v>99</v>
      </c>
      <c r="BB173" s="24">
        <v>68211</v>
      </c>
      <c r="BC173" s="24" t="s">
        <v>547</v>
      </c>
      <c r="BD173" s="27" t="s">
        <v>563</v>
      </c>
    </row>
    <row r="174" spans="1:56" x14ac:dyDescent="0.3">
      <c r="A174" s="38" t="s">
        <v>204</v>
      </c>
      <c r="B174" s="39">
        <v>45375</v>
      </c>
      <c r="C174" s="38" t="s">
        <v>30</v>
      </c>
      <c r="D174" s="38" t="s">
        <v>20</v>
      </c>
      <c r="E174" s="38" t="s">
        <v>38</v>
      </c>
      <c r="F174" s="40">
        <v>43</v>
      </c>
      <c r="G174" s="38">
        <v>11</v>
      </c>
      <c r="H174" s="38">
        <f>IFERROR('Automated raw'!$F174+'Automated raw'!$G174,"-")</f>
        <v>54</v>
      </c>
      <c r="I174" s="38">
        <v>147</v>
      </c>
      <c r="J174" s="38">
        <v>70</v>
      </c>
      <c r="K174" s="38">
        <v>8</v>
      </c>
      <c r="L174" s="38">
        <v>1884</v>
      </c>
      <c r="M174" s="38">
        <v>3178</v>
      </c>
      <c r="N174" s="38">
        <f>'Automated raw'!$G174/'Automated raw'!$H174</f>
        <v>0.20370370370370369</v>
      </c>
      <c r="O174" s="41">
        <f>IFERROR('Automated raw'!$G174/'Automated raw'!$H174,"incomplete")</f>
        <v>0.20370370370370369</v>
      </c>
      <c r="P174" s="38">
        <f>'Automated raw'!$F174</f>
        <v>43</v>
      </c>
      <c r="Q174" s="42">
        <f>IFERROR('Automated raw'!$P174*'Automated raw'!$L174,0)</f>
        <v>81012</v>
      </c>
      <c r="R174" s="38" t="str">
        <f>IF('Automated raw'!$O174&gt;=60%,"High",IF('Automated raw'!$O174&gt;=30%,"Avg",IF('Automated raw'!$O174&lt;30%,"Dead Stock","Incomplete")))</f>
        <v>Dead Stock</v>
      </c>
      <c r="S174" s="43" t="str">
        <f>TEXT('Automated raw'!$B174,"mmm")</f>
        <v>Mar</v>
      </c>
      <c r="T174" s="82">
        <f>'Automated raw'!$G174*'Automated raw'!$M174</f>
        <v>34958</v>
      </c>
      <c r="U174" s="6">
        <f>IFERROR((Table7[[#This Row],[Stock In(Total)]]+Table7[[#This Row],[In Stock or Remaining]])/2,"-")</f>
        <v>48.5</v>
      </c>
      <c r="V174" s="93">
        <f>IFERROR(Table7[[#This Row],[Stock_Out]]/Table7[[#This Row],[Avg Inventory]],"-")</f>
        <v>0.22680412371134021</v>
      </c>
      <c r="W174" s="6"/>
      <c r="X174" s="6"/>
      <c r="Y174" s="6"/>
      <c r="Z174" s="6"/>
      <c r="AA174" s="6"/>
      <c r="AB174" s="6"/>
      <c r="AC174" s="6"/>
      <c r="AD174" s="6"/>
      <c r="AE174" s="6"/>
      <c r="AF174" s="6"/>
      <c r="AG174" s="6"/>
      <c r="AH174" s="6"/>
      <c r="AI174" s="6"/>
      <c r="AJ174" s="6"/>
      <c r="AK174" s="6"/>
      <c r="AL174" s="26" t="s">
        <v>387</v>
      </c>
      <c r="AM174" s="24">
        <v>45527</v>
      </c>
      <c r="AN174" s="24" t="s">
        <v>53</v>
      </c>
      <c r="AO174" s="24" t="s">
        <v>20</v>
      </c>
      <c r="AP174" s="24" t="s">
        <v>14</v>
      </c>
      <c r="AQ174" s="24">
        <v>40</v>
      </c>
      <c r="AR174" s="24">
        <v>15</v>
      </c>
      <c r="AS174" s="24">
        <v>55</v>
      </c>
      <c r="AT174" s="24">
        <v>30</v>
      </c>
      <c r="AU174" s="24">
        <v>52</v>
      </c>
      <c r="AV174" s="24">
        <v>7</v>
      </c>
      <c r="AW174" s="24">
        <v>1667</v>
      </c>
      <c r="AX174" s="24">
        <v>2069</v>
      </c>
      <c r="AY174" s="24">
        <v>0.27272727272727271</v>
      </c>
      <c r="AZ174" s="24">
        <v>0.27272727272727271</v>
      </c>
      <c r="BA174" s="24">
        <v>40</v>
      </c>
      <c r="BB174" s="24">
        <v>66680</v>
      </c>
      <c r="BC174" s="24" t="s">
        <v>547</v>
      </c>
      <c r="BD174" s="27" t="s">
        <v>554</v>
      </c>
    </row>
    <row r="175" spans="1:56" x14ac:dyDescent="0.3">
      <c r="A175" s="44" t="s">
        <v>205</v>
      </c>
      <c r="B175" s="45">
        <v>45418</v>
      </c>
      <c r="C175" s="44" t="s">
        <v>37</v>
      </c>
      <c r="D175" s="44" t="s">
        <v>20</v>
      </c>
      <c r="E175" s="44" t="s">
        <v>14</v>
      </c>
      <c r="F175" s="40" t="s">
        <v>23</v>
      </c>
      <c r="G175" s="44">
        <v>78</v>
      </c>
      <c r="H175" s="44" t="str">
        <f>IFERROR('Automated raw'!$F175+'Automated raw'!$G175,"-")</f>
        <v>-</v>
      </c>
      <c r="I175" s="44">
        <v>271</v>
      </c>
      <c r="J175" s="44">
        <v>51</v>
      </c>
      <c r="K175" s="44">
        <v>7</v>
      </c>
      <c r="L175" s="44">
        <v>363</v>
      </c>
      <c r="M175" s="44">
        <v>826</v>
      </c>
      <c r="N175" s="44" t="e">
        <f>'Automated raw'!$G175/'Automated raw'!$H175</f>
        <v>#VALUE!</v>
      </c>
      <c r="O175" s="51" t="str">
        <f>IFERROR('Automated raw'!$G175/'Automated raw'!$H175,"incomplete")</f>
        <v>incomplete</v>
      </c>
      <c r="P175" s="44" t="str">
        <f>'Automated raw'!$F175</f>
        <v>Not Available</v>
      </c>
      <c r="Q175" s="47">
        <f>IFERROR('Automated raw'!$P175*'Automated raw'!$L175,0)</f>
        <v>0</v>
      </c>
      <c r="R175" s="44" t="str">
        <f>IF('Automated raw'!$O175&gt;=60%,"High",IF('Automated raw'!$O175&gt;=30%,"Avg",IF('Automated raw'!$O175&lt;30%,"Dead Stock","Incomplete")))</f>
        <v>High</v>
      </c>
      <c r="S175" s="48" t="str">
        <f>TEXT('Automated raw'!$B175,"mmm")</f>
        <v>May</v>
      </c>
      <c r="T175" s="83">
        <f>'Automated raw'!$G175*'Automated raw'!$M175</f>
        <v>64428</v>
      </c>
      <c r="U175" s="6" t="str">
        <f>IFERROR((Table7[[#This Row],[Stock In(Total)]]+Table7[[#This Row],[In Stock or Remaining]])/2,"-")</f>
        <v>-</v>
      </c>
      <c r="V175" s="93" t="str">
        <f>IFERROR(Table7[[#This Row],[Stock_Out]]/Table7[[#This Row],[Avg Inventory]],"-")</f>
        <v>-</v>
      </c>
      <c r="W175" s="6"/>
      <c r="X175" s="6"/>
      <c r="Y175" s="6"/>
      <c r="Z175" s="6"/>
      <c r="AA175" s="6"/>
      <c r="AB175" s="6"/>
      <c r="AC175" s="6"/>
      <c r="AD175" s="6"/>
      <c r="AE175" s="6"/>
      <c r="AF175" s="6"/>
      <c r="AG175" s="6"/>
      <c r="AH175" s="6"/>
      <c r="AI175" s="6"/>
      <c r="AJ175" s="6"/>
      <c r="AK175" s="6"/>
      <c r="AL175" s="26" t="s">
        <v>454</v>
      </c>
      <c r="AM175" s="24">
        <v>45463</v>
      </c>
      <c r="AN175" s="24" t="s">
        <v>12</v>
      </c>
      <c r="AO175" s="24" t="s">
        <v>17</v>
      </c>
      <c r="AP175" s="24" t="s">
        <v>33</v>
      </c>
      <c r="AQ175" s="24">
        <v>63</v>
      </c>
      <c r="AR175" s="24">
        <v>12</v>
      </c>
      <c r="AS175" s="24">
        <v>75</v>
      </c>
      <c r="AT175" s="24">
        <v>296</v>
      </c>
      <c r="AU175" s="24">
        <v>40</v>
      </c>
      <c r="AV175" s="24">
        <v>6</v>
      </c>
      <c r="AW175" s="24">
        <v>1004</v>
      </c>
      <c r="AX175" s="24">
        <v>2138</v>
      </c>
      <c r="AY175" s="24">
        <v>0.16</v>
      </c>
      <c r="AZ175" s="24">
        <v>0.16</v>
      </c>
      <c r="BA175" s="24">
        <v>63</v>
      </c>
      <c r="BB175" s="24">
        <v>63252</v>
      </c>
      <c r="BC175" s="24" t="s">
        <v>547</v>
      </c>
      <c r="BD175" s="27" t="s">
        <v>559</v>
      </c>
    </row>
    <row r="176" spans="1:56" x14ac:dyDescent="0.3">
      <c r="A176" s="38" t="s">
        <v>103</v>
      </c>
      <c r="B176" s="39">
        <v>45408</v>
      </c>
      <c r="C176" s="38" t="s">
        <v>30</v>
      </c>
      <c r="D176" s="38" t="s">
        <v>13</v>
      </c>
      <c r="E176" s="38" t="s">
        <v>38</v>
      </c>
      <c r="F176" s="40">
        <v>36</v>
      </c>
      <c r="G176" s="38">
        <v>23</v>
      </c>
      <c r="H176" s="38">
        <f>IFERROR('Automated raw'!$F76+'Automated raw'!$G76,"-")</f>
        <v>207</v>
      </c>
      <c r="I176" s="38">
        <v>40</v>
      </c>
      <c r="J176" s="38">
        <v>44</v>
      </c>
      <c r="K176" s="38">
        <v>5</v>
      </c>
      <c r="L176" s="38">
        <v>1785</v>
      </c>
      <c r="M176" s="38">
        <v>2840</v>
      </c>
      <c r="N176" s="38">
        <f>'Automated raw'!$G76/'Automated raw'!$H76</f>
        <v>0.36224489795918369</v>
      </c>
      <c r="O176" s="41">
        <f>IFERROR('Automated raw'!$G76/'Automated raw'!$H76,"incomplete")</f>
        <v>0.36224489795918369</v>
      </c>
      <c r="P176" s="38">
        <f>'Automated raw'!$F76</f>
        <v>136</v>
      </c>
      <c r="Q176" s="42">
        <f>IFERROR('Automated raw'!$P76*'Automated raw'!$L76,0)</f>
        <v>143664</v>
      </c>
      <c r="R176" s="38" t="str">
        <f>IF('Automated raw'!$O76&gt;=60%,"High",IF('Automated raw'!$O76&gt;=30%,"Avg",IF('Automated raw'!$O76&lt;30%,"Dead Stock","Incomplete")))</f>
        <v>Avg</v>
      </c>
      <c r="S176" s="43" t="str">
        <f>TEXT('Automated raw'!$B76,"mmm")</f>
        <v>Feb</v>
      </c>
      <c r="T176" s="82">
        <f>'Automated raw'!$G76*'Automated raw'!$M76</f>
        <v>123043</v>
      </c>
      <c r="U176" s="6">
        <f>IFERROR((Table7[[#This Row],[Stock In(Total)]]+Table7[[#This Row],[In Stock or Remaining]])/2,"-")</f>
        <v>121.5</v>
      </c>
      <c r="V176" s="93">
        <f>IFERROR(Table7[[#This Row],[Stock_Out]]/Table7[[#This Row],[Avg Inventory]],"-")</f>
        <v>0.18930041152263374</v>
      </c>
      <c r="W176" s="6"/>
      <c r="X176" s="6"/>
      <c r="Y176" s="6"/>
      <c r="Z176" s="6"/>
      <c r="AA176" s="6"/>
      <c r="AB176" s="6"/>
      <c r="AC176" s="6"/>
      <c r="AD176" s="6"/>
      <c r="AE176" s="6"/>
      <c r="AF176" s="6"/>
      <c r="AG176" s="6"/>
      <c r="AH176" s="6"/>
      <c r="AI176" s="6"/>
      <c r="AJ176" s="6"/>
      <c r="AK176" s="6"/>
      <c r="AL176" s="26" t="s">
        <v>201</v>
      </c>
      <c r="AM176" s="24">
        <v>45480</v>
      </c>
      <c r="AN176" s="24" t="s">
        <v>16</v>
      </c>
      <c r="AO176" s="24" t="s">
        <v>13</v>
      </c>
      <c r="AP176" s="24" t="s">
        <v>33</v>
      </c>
      <c r="AQ176" s="24">
        <v>110</v>
      </c>
      <c r="AR176" s="24">
        <v>25</v>
      </c>
      <c r="AS176" s="24">
        <v>135</v>
      </c>
      <c r="AT176" s="24">
        <v>35</v>
      </c>
      <c r="AU176" s="24">
        <v>72</v>
      </c>
      <c r="AV176" s="24">
        <v>5</v>
      </c>
      <c r="AW176" s="24">
        <v>574</v>
      </c>
      <c r="AX176" s="24">
        <v>1546</v>
      </c>
      <c r="AY176" s="24">
        <v>0.18518518518518517</v>
      </c>
      <c r="AZ176" s="24">
        <v>0.18518518518518517</v>
      </c>
      <c r="BA176" s="24">
        <v>110</v>
      </c>
      <c r="BB176" s="24">
        <v>63140</v>
      </c>
      <c r="BC176" s="24" t="s">
        <v>547</v>
      </c>
      <c r="BD176" s="27" t="s">
        <v>556</v>
      </c>
    </row>
    <row r="177" spans="1:56" x14ac:dyDescent="0.3">
      <c r="A177" s="44" t="s">
        <v>217</v>
      </c>
      <c r="B177" s="45">
        <v>45473</v>
      </c>
      <c r="C177" s="44" t="s">
        <v>12</v>
      </c>
      <c r="D177" s="44" t="s">
        <v>13</v>
      </c>
      <c r="E177" s="44" t="s">
        <v>38</v>
      </c>
      <c r="F177" s="40">
        <v>36</v>
      </c>
      <c r="G177" s="44">
        <v>23</v>
      </c>
      <c r="H177" s="44">
        <f>IFERROR('Automated raw'!$F187+'Automated raw'!$G187,"-")</f>
        <v>206</v>
      </c>
      <c r="I177" s="44">
        <v>181</v>
      </c>
      <c r="J177" s="44">
        <v>45</v>
      </c>
      <c r="K177" s="44">
        <v>13</v>
      </c>
      <c r="L177" s="44">
        <v>318</v>
      </c>
      <c r="M177" s="44">
        <v>1611</v>
      </c>
      <c r="N177" s="44">
        <f>'Automated raw'!$G187/'Automated raw'!$H187</f>
        <v>0.48795180722891568</v>
      </c>
      <c r="O177" s="46">
        <f>IFERROR('Automated raw'!$G187/'Automated raw'!$H187,"incomplete")</f>
        <v>0.48795180722891568</v>
      </c>
      <c r="P177" s="44">
        <f>'Automated raw'!$F187</f>
        <v>125</v>
      </c>
      <c r="Q177" s="47">
        <f>IFERROR('Automated raw'!$P187*'Automated raw'!$L187,0)</f>
        <v>51430</v>
      </c>
      <c r="R177" s="44" t="str">
        <f>IF('Automated raw'!$O187&gt;=60%,"High",IF('Automated raw'!$O187&gt;=30%,"Avg",IF('Automated raw'!$O187&lt;30%,"Dead Stock","Incomplete")))</f>
        <v>Avg</v>
      </c>
      <c r="S177" s="48" t="str">
        <f>TEXT('Automated raw'!$B187,"mmm")</f>
        <v>Apr</v>
      </c>
      <c r="T177" s="83">
        <f>'Automated raw'!$G187*'Automated raw'!$M187</f>
        <v>76788</v>
      </c>
      <c r="U177" s="6">
        <f>IFERROR((Table7[[#This Row],[Stock In(Total)]]+Table7[[#This Row],[In Stock or Remaining]])/2,"-")</f>
        <v>121</v>
      </c>
      <c r="V177" s="93">
        <f>IFERROR(Table7[[#This Row],[Stock_Out]]/Table7[[#This Row],[Avg Inventory]],"-")</f>
        <v>0.19008264462809918</v>
      </c>
      <c r="W177" s="6"/>
      <c r="X177" s="6"/>
      <c r="Y177" s="6"/>
      <c r="Z177" s="6"/>
      <c r="AA177" s="6"/>
      <c r="AB177" s="6"/>
      <c r="AC177" s="6"/>
      <c r="AD177" s="6"/>
      <c r="AE177" s="6"/>
      <c r="AF177" s="6"/>
      <c r="AG177" s="6"/>
      <c r="AH177" s="6"/>
      <c r="AI177" s="6"/>
      <c r="AJ177" s="6"/>
      <c r="AK177" s="6"/>
      <c r="AL177" s="26" t="s">
        <v>478</v>
      </c>
      <c r="AM177" s="24">
        <v>45421</v>
      </c>
      <c r="AN177" s="24" t="s">
        <v>12</v>
      </c>
      <c r="AO177" s="24" t="s">
        <v>13</v>
      </c>
      <c r="AP177" s="24" t="s">
        <v>14</v>
      </c>
      <c r="AQ177" s="24">
        <v>150</v>
      </c>
      <c r="AR177" s="24">
        <v>31</v>
      </c>
      <c r="AS177" s="24">
        <v>181</v>
      </c>
      <c r="AT177" s="24">
        <v>24</v>
      </c>
      <c r="AU177" s="24">
        <v>77</v>
      </c>
      <c r="AV177" s="24">
        <v>6</v>
      </c>
      <c r="AW177" s="24">
        <v>420</v>
      </c>
      <c r="AX177" s="24">
        <v>1536</v>
      </c>
      <c r="AY177" s="24">
        <v>0.17127071823204421</v>
      </c>
      <c r="AZ177" s="24">
        <v>0.17127071823204421</v>
      </c>
      <c r="BA177" s="24">
        <v>150</v>
      </c>
      <c r="BB177" s="24">
        <v>63000</v>
      </c>
      <c r="BC177" s="24" t="s">
        <v>547</v>
      </c>
      <c r="BD177" s="27" t="s">
        <v>561</v>
      </c>
    </row>
    <row r="178" spans="1:56" x14ac:dyDescent="0.3">
      <c r="A178" s="38" t="s">
        <v>208</v>
      </c>
      <c r="B178" s="39">
        <v>45567</v>
      </c>
      <c r="C178" s="38" t="s">
        <v>12</v>
      </c>
      <c r="D178" s="38" t="s">
        <v>17</v>
      </c>
      <c r="E178" s="38" t="s">
        <v>21</v>
      </c>
      <c r="F178" s="40">
        <v>12</v>
      </c>
      <c r="G178" s="38">
        <v>115</v>
      </c>
      <c r="H178" s="38">
        <f>IFERROR('Automated raw'!$F178+'Automated raw'!$G178,"-")</f>
        <v>127</v>
      </c>
      <c r="I178" s="38">
        <v>109</v>
      </c>
      <c r="J178" s="38">
        <v>31</v>
      </c>
      <c r="K178" s="38">
        <v>11</v>
      </c>
      <c r="L178" s="38">
        <v>1814</v>
      </c>
      <c r="M178" s="38">
        <v>2053</v>
      </c>
      <c r="N178" s="38">
        <f>'Automated raw'!$G178/'Automated raw'!$H178</f>
        <v>0.90551181102362199</v>
      </c>
      <c r="O178" s="41">
        <f>IFERROR('Automated raw'!$G178/'Automated raw'!$H178,"incomplete")</f>
        <v>0.90551181102362199</v>
      </c>
      <c r="P178" s="38">
        <f>'Automated raw'!$F178</f>
        <v>12</v>
      </c>
      <c r="Q178" s="42">
        <f>IFERROR('Automated raw'!$P178*'Automated raw'!$L178,0)</f>
        <v>21768</v>
      </c>
      <c r="R178" s="38" t="str">
        <f>IF('Automated raw'!$O178&gt;=60%,"High",IF('Automated raw'!$O178&gt;=30%,"Avg",IF('Automated raw'!$O178&lt;30%,"Dead Stock","Incomplete")))</f>
        <v>High</v>
      </c>
      <c r="S178" s="43" t="str">
        <f>TEXT('Automated raw'!$B178,"mmm")</f>
        <v>Oct</v>
      </c>
      <c r="T178" s="82">
        <f>'Automated raw'!$G178*'Automated raw'!$M178</f>
        <v>236095</v>
      </c>
      <c r="U178" s="6">
        <f>IFERROR((Table7[[#This Row],[Stock In(Total)]]+Table7[[#This Row],[In Stock or Remaining]])/2,"-")</f>
        <v>69.5</v>
      </c>
      <c r="V178" s="93">
        <f>IFERROR(Table7[[#This Row],[Stock_Out]]/Table7[[#This Row],[Avg Inventory]],"-")</f>
        <v>1.6546762589928057</v>
      </c>
      <c r="W178" s="6"/>
      <c r="X178" s="6"/>
      <c r="Y178" s="6"/>
      <c r="Z178" s="6"/>
      <c r="AA178" s="6"/>
      <c r="AB178" s="6"/>
      <c r="AC178" s="6"/>
      <c r="AD178" s="6"/>
      <c r="AE178" s="6"/>
      <c r="AF178" s="6"/>
      <c r="AG178" s="6"/>
      <c r="AH178" s="6"/>
      <c r="AI178" s="6"/>
      <c r="AJ178" s="6"/>
      <c r="AK178" s="6"/>
      <c r="AL178" s="26" t="s">
        <v>459</v>
      </c>
      <c r="AM178" s="24">
        <v>45453</v>
      </c>
      <c r="AN178" s="24" t="s">
        <v>26</v>
      </c>
      <c r="AO178" s="24" t="s">
        <v>17</v>
      </c>
      <c r="AP178" s="24" t="s">
        <v>38</v>
      </c>
      <c r="AQ178" s="24">
        <v>33</v>
      </c>
      <c r="AR178" s="24">
        <v>12</v>
      </c>
      <c r="AS178" s="24">
        <v>45</v>
      </c>
      <c r="AT178" s="24">
        <v>128</v>
      </c>
      <c r="AU178" s="24">
        <v>64</v>
      </c>
      <c r="AV178" s="24">
        <v>13</v>
      </c>
      <c r="AW178" s="24">
        <v>1811</v>
      </c>
      <c r="AX178" s="24">
        <v>2202</v>
      </c>
      <c r="AY178" s="24">
        <v>0.26666666666666666</v>
      </c>
      <c r="AZ178" s="24">
        <v>0.26666666666666666</v>
      </c>
      <c r="BA178" s="24">
        <v>33</v>
      </c>
      <c r="BB178" s="24">
        <v>59763</v>
      </c>
      <c r="BC178" s="24" t="s">
        <v>547</v>
      </c>
      <c r="BD178" s="27" t="s">
        <v>559</v>
      </c>
    </row>
    <row r="179" spans="1:56" x14ac:dyDescent="0.3">
      <c r="A179" s="44" t="s">
        <v>209</v>
      </c>
      <c r="B179" s="45">
        <v>45629</v>
      </c>
      <c r="C179" s="44" t="s">
        <v>45</v>
      </c>
      <c r="D179" s="44" t="s">
        <v>13</v>
      </c>
      <c r="E179" s="44" t="s">
        <v>38</v>
      </c>
      <c r="F179" s="40">
        <v>99</v>
      </c>
      <c r="G179" s="44">
        <v>40</v>
      </c>
      <c r="H179" s="44">
        <f>IFERROR('Automated raw'!$F179+'Automated raw'!$G179,"-")</f>
        <v>139</v>
      </c>
      <c r="I179" s="44">
        <v>232</v>
      </c>
      <c r="J179" s="44">
        <v>72</v>
      </c>
      <c r="K179" s="44">
        <v>8</v>
      </c>
      <c r="L179" s="44">
        <v>689</v>
      </c>
      <c r="M179" s="44">
        <v>905</v>
      </c>
      <c r="N179" s="44">
        <f>'Automated raw'!$G179/'Automated raw'!$H179</f>
        <v>0.28776978417266186</v>
      </c>
      <c r="O179" s="46">
        <f>IFERROR('Automated raw'!$G179/'Automated raw'!$H179,"incomplete")</f>
        <v>0.28776978417266186</v>
      </c>
      <c r="P179" s="44">
        <f>'Automated raw'!$F179</f>
        <v>99</v>
      </c>
      <c r="Q179" s="47">
        <f>IFERROR('Automated raw'!$P179*'Automated raw'!$L179,0)</f>
        <v>68211</v>
      </c>
      <c r="R179" s="44" t="str">
        <f>IF('Automated raw'!$O179&gt;=60%,"High",IF('Automated raw'!$O179&gt;=30%,"Avg",IF('Automated raw'!$O179&lt;30%,"Dead Stock","Incomplete")))</f>
        <v>Dead Stock</v>
      </c>
      <c r="S179" s="48" t="str">
        <f>TEXT('Automated raw'!$B179,"mmm")</f>
        <v>Dec</v>
      </c>
      <c r="T179" s="83">
        <f>'Automated raw'!$G179*'Automated raw'!$M179</f>
        <v>36200</v>
      </c>
      <c r="U179" s="6">
        <f>IFERROR((Table7[[#This Row],[Stock In(Total)]]+Table7[[#This Row],[In Stock or Remaining]])/2,"-")</f>
        <v>119</v>
      </c>
      <c r="V179" s="93">
        <f>IFERROR(Table7[[#This Row],[Stock_Out]]/Table7[[#This Row],[Avg Inventory]],"-")</f>
        <v>0.33613445378151263</v>
      </c>
      <c r="W179" s="6"/>
      <c r="X179" s="6"/>
      <c r="Y179" s="6"/>
      <c r="Z179" s="6"/>
      <c r="AA179" s="6"/>
      <c r="AB179" s="6"/>
      <c r="AC179" s="6"/>
      <c r="AD179" s="6"/>
      <c r="AE179" s="6"/>
      <c r="AF179" s="6"/>
      <c r="AG179" s="6"/>
      <c r="AH179" s="6"/>
      <c r="AI179" s="6"/>
      <c r="AJ179" s="6"/>
      <c r="AK179" s="6"/>
      <c r="AL179" s="26" t="s">
        <v>28</v>
      </c>
      <c r="AM179" s="24">
        <v>45483</v>
      </c>
      <c r="AN179" s="24" t="s">
        <v>16</v>
      </c>
      <c r="AO179" s="24" t="s">
        <v>17</v>
      </c>
      <c r="AP179" s="24" t="s">
        <v>14</v>
      </c>
      <c r="AQ179" s="24">
        <v>74</v>
      </c>
      <c r="AR179" s="24">
        <v>13</v>
      </c>
      <c r="AS179" s="24">
        <v>87</v>
      </c>
      <c r="AT179" s="24">
        <v>208</v>
      </c>
      <c r="AU179" s="24">
        <v>40</v>
      </c>
      <c r="AV179" s="24">
        <v>13</v>
      </c>
      <c r="AW179" s="24">
        <v>807</v>
      </c>
      <c r="AX179" s="24">
        <v>1801</v>
      </c>
      <c r="AY179" s="24">
        <v>0.14942528735632185</v>
      </c>
      <c r="AZ179" s="24">
        <v>0.14942528735632185</v>
      </c>
      <c r="BA179" s="24">
        <v>74</v>
      </c>
      <c r="BB179" s="24">
        <v>59718</v>
      </c>
      <c r="BC179" s="24" t="s">
        <v>547</v>
      </c>
      <c r="BD179" s="27" t="s">
        <v>556</v>
      </c>
    </row>
    <row r="180" spans="1:56" x14ac:dyDescent="0.3">
      <c r="A180" s="38" t="s">
        <v>210</v>
      </c>
      <c r="B180" s="39">
        <v>45356</v>
      </c>
      <c r="C180" s="38" t="s">
        <v>16</v>
      </c>
      <c r="D180" s="38" t="s">
        <v>13</v>
      </c>
      <c r="E180" s="38" t="s">
        <v>33</v>
      </c>
      <c r="F180" s="40">
        <v>103</v>
      </c>
      <c r="G180" s="38">
        <v>32</v>
      </c>
      <c r="H180" s="38">
        <f>IFERROR('Automated raw'!$F180+'Automated raw'!$G180,"-")</f>
        <v>135</v>
      </c>
      <c r="I180" s="38">
        <v>175</v>
      </c>
      <c r="J180" s="38">
        <v>59</v>
      </c>
      <c r="K180" s="38">
        <v>9</v>
      </c>
      <c r="L180" s="38">
        <v>1097</v>
      </c>
      <c r="M180" s="38">
        <v>1482</v>
      </c>
      <c r="N180" s="38">
        <f>'Automated raw'!$G180/'Automated raw'!$H180</f>
        <v>0.23703703703703705</v>
      </c>
      <c r="O180" s="41">
        <f>IFERROR('Automated raw'!$G180/'Automated raw'!$H180,"incomplete")</f>
        <v>0.23703703703703705</v>
      </c>
      <c r="P180" s="38">
        <f>'Automated raw'!$F180</f>
        <v>103</v>
      </c>
      <c r="Q180" s="42">
        <f>IFERROR('Automated raw'!$P180*'Automated raw'!$L180,0)</f>
        <v>112991</v>
      </c>
      <c r="R180" s="38" t="str">
        <f>IF('Automated raw'!$O180&gt;=60%,"High",IF('Automated raw'!$O180&gt;=30%,"Avg",IF('Automated raw'!$O180&lt;30%,"Dead Stock","Incomplete")))</f>
        <v>Dead Stock</v>
      </c>
      <c r="S180" s="43" t="str">
        <f>TEXT('Automated raw'!$B180,"mmm")</f>
        <v>Mar</v>
      </c>
      <c r="T180" s="82">
        <f>'Automated raw'!$G180*'Automated raw'!$M180</f>
        <v>47424</v>
      </c>
      <c r="U180" s="6">
        <f>IFERROR((Table7[[#This Row],[Stock In(Total)]]+Table7[[#This Row],[In Stock or Remaining]])/2,"-")</f>
        <v>119</v>
      </c>
      <c r="V180" s="93">
        <f>IFERROR(Table7[[#This Row],[Stock_Out]]/Table7[[#This Row],[Avg Inventory]],"-")</f>
        <v>0.26890756302521007</v>
      </c>
      <c r="W180" s="6"/>
      <c r="X180" s="6"/>
      <c r="Y180" s="6"/>
      <c r="Z180" s="6"/>
      <c r="AA180" s="6"/>
      <c r="AB180" s="6"/>
      <c r="AC180" s="6"/>
      <c r="AD180" s="6"/>
      <c r="AE180" s="6"/>
      <c r="AF180" s="6"/>
      <c r="AG180" s="6"/>
      <c r="AH180" s="6"/>
      <c r="AI180" s="6"/>
      <c r="AJ180" s="6"/>
      <c r="AK180" s="6"/>
      <c r="AL180" s="26" t="s">
        <v>341</v>
      </c>
      <c r="AM180" s="24">
        <v>45560</v>
      </c>
      <c r="AN180" s="24" t="s">
        <v>12</v>
      </c>
      <c r="AO180" s="24" t="s">
        <v>13</v>
      </c>
      <c r="AP180" s="24" t="s">
        <v>38</v>
      </c>
      <c r="AQ180" s="24">
        <v>51</v>
      </c>
      <c r="AR180" s="24">
        <v>3</v>
      </c>
      <c r="AS180" s="24">
        <v>54</v>
      </c>
      <c r="AT180" s="24">
        <v>253</v>
      </c>
      <c r="AU180" s="24">
        <v>52</v>
      </c>
      <c r="AV180" s="24">
        <v>3</v>
      </c>
      <c r="AW180" s="24">
        <v>1145</v>
      </c>
      <c r="AX180" s="24">
        <v>2439</v>
      </c>
      <c r="AY180" s="24">
        <v>5.5555555555555552E-2</v>
      </c>
      <c r="AZ180" s="24">
        <v>5.5555555555555552E-2</v>
      </c>
      <c r="BA180" s="24">
        <v>51</v>
      </c>
      <c r="BB180" s="24">
        <v>58395</v>
      </c>
      <c r="BC180" s="24" t="s">
        <v>547</v>
      </c>
      <c r="BD180" s="27" t="s">
        <v>560</v>
      </c>
    </row>
    <row r="181" spans="1:56" x14ac:dyDescent="0.3">
      <c r="A181" s="44" t="s">
        <v>211</v>
      </c>
      <c r="B181" s="45">
        <v>45559</v>
      </c>
      <c r="C181" s="44" t="s">
        <v>12</v>
      </c>
      <c r="D181" s="44" t="s">
        <v>17</v>
      </c>
      <c r="E181" s="44" t="s">
        <v>21</v>
      </c>
      <c r="F181" s="40">
        <v>80</v>
      </c>
      <c r="G181" s="44">
        <v>24</v>
      </c>
      <c r="H181" s="44">
        <f>IFERROR('Automated raw'!$F181+'Automated raw'!$G181,"-")</f>
        <v>104</v>
      </c>
      <c r="I181" s="44">
        <v>91</v>
      </c>
      <c r="J181" s="44">
        <v>48</v>
      </c>
      <c r="K181" s="44">
        <v>8</v>
      </c>
      <c r="L181" s="44">
        <v>1328</v>
      </c>
      <c r="M181" s="44">
        <v>2079</v>
      </c>
      <c r="N181" s="44">
        <f>'Automated raw'!$G181/'Automated raw'!$H181</f>
        <v>0.23076923076923078</v>
      </c>
      <c r="O181" s="46">
        <f>IFERROR('Automated raw'!$G181/'Automated raw'!$H181,"incomplete")</f>
        <v>0.23076923076923078</v>
      </c>
      <c r="P181" s="44">
        <f>'Automated raw'!$F181</f>
        <v>80</v>
      </c>
      <c r="Q181" s="47">
        <f>IFERROR('Automated raw'!$P181*'Automated raw'!$L181,0)</f>
        <v>106240</v>
      </c>
      <c r="R181" s="44" t="str">
        <f>IF('Automated raw'!$O181&gt;=60%,"High",IF('Automated raw'!$O181&gt;=30%,"Avg",IF('Automated raw'!$O181&lt;30%,"Dead Stock","Incomplete")))</f>
        <v>Dead Stock</v>
      </c>
      <c r="S181" s="48" t="str">
        <f>TEXT('Automated raw'!$B181,"mmm")</f>
        <v>Sep</v>
      </c>
      <c r="T181" s="83">
        <f>'Automated raw'!$G181*'Automated raw'!$M181</f>
        <v>49896</v>
      </c>
      <c r="U181" s="6">
        <f>IFERROR((Table7[[#This Row],[Stock In(Total)]]+Table7[[#This Row],[In Stock or Remaining]])/2,"-")</f>
        <v>92</v>
      </c>
      <c r="V181" s="93">
        <f>IFERROR(Table7[[#This Row],[Stock_Out]]/Table7[[#This Row],[Avg Inventory]],"-")</f>
        <v>0.2608695652173913</v>
      </c>
      <c r="W181" s="6"/>
      <c r="X181" s="6"/>
      <c r="Y181" s="6"/>
      <c r="Z181" s="6"/>
      <c r="AA181" s="6"/>
      <c r="AB181" s="6"/>
      <c r="AC181" s="6"/>
      <c r="AD181" s="6"/>
      <c r="AE181" s="6"/>
      <c r="AF181" s="6"/>
      <c r="AG181" s="6"/>
      <c r="AH181" s="6"/>
      <c r="AI181" s="6"/>
      <c r="AJ181" s="6"/>
      <c r="AK181" s="6"/>
      <c r="AL181" s="26" t="s">
        <v>333</v>
      </c>
      <c r="AM181" s="24">
        <v>45552</v>
      </c>
      <c r="AN181" s="24" t="s">
        <v>45</v>
      </c>
      <c r="AO181" s="24" t="s">
        <v>13</v>
      </c>
      <c r="AP181" s="24" t="s">
        <v>21</v>
      </c>
      <c r="AQ181" s="24">
        <v>110</v>
      </c>
      <c r="AR181" s="24">
        <v>7</v>
      </c>
      <c r="AS181" s="24">
        <v>117</v>
      </c>
      <c r="AT181" s="24">
        <v>84</v>
      </c>
      <c r="AU181" s="24">
        <v>59</v>
      </c>
      <c r="AV181" s="24">
        <v>14</v>
      </c>
      <c r="AW181" s="24">
        <v>528</v>
      </c>
      <c r="AX181" s="24">
        <v>847</v>
      </c>
      <c r="AY181" s="24">
        <v>5.9829059829059832E-2</v>
      </c>
      <c r="AZ181" s="24">
        <v>5.9829059829059832E-2</v>
      </c>
      <c r="BA181" s="24">
        <v>110</v>
      </c>
      <c r="BB181" s="24">
        <v>58080</v>
      </c>
      <c r="BC181" s="24" t="s">
        <v>547</v>
      </c>
      <c r="BD181" s="27" t="s">
        <v>560</v>
      </c>
    </row>
    <row r="182" spans="1:56" x14ac:dyDescent="0.3">
      <c r="A182" s="38" t="s">
        <v>212</v>
      </c>
      <c r="B182" s="39">
        <v>45367</v>
      </c>
      <c r="C182" s="38" t="s">
        <v>30</v>
      </c>
      <c r="D182" s="38" t="s">
        <v>17</v>
      </c>
      <c r="E182" s="38" t="s">
        <v>21</v>
      </c>
      <c r="F182" s="40">
        <v>48</v>
      </c>
      <c r="G182" s="38">
        <v>101</v>
      </c>
      <c r="H182" s="38">
        <f>IFERROR('Automated raw'!$F182+'Automated raw'!$G182,"-")</f>
        <v>149</v>
      </c>
      <c r="I182" s="38">
        <v>258</v>
      </c>
      <c r="J182" s="38">
        <v>66</v>
      </c>
      <c r="K182" s="38">
        <v>3</v>
      </c>
      <c r="L182" s="38">
        <v>478</v>
      </c>
      <c r="M182" s="38">
        <v>1825</v>
      </c>
      <c r="N182" s="38">
        <f>'Automated raw'!$G182/'Automated raw'!$H182</f>
        <v>0.67785234899328861</v>
      </c>
      <c r="O182" s="41">
        <f>IFERROR('Automated raw'!$G182/'Automated raw'!$H182,"incomplete")</f>
        <v>0.67785234899328861</v>
      </c>
      <c r="P182" s="38">
        <f>'Automated raw'!$F182</f>
        <v>48</v>
      </c>
      <c r="Q182" s="42">
        <f>IFERROR('Automated raw'!$P182*'Automated raw'!$L182,0)</f>
        <v>22944</v>
      </c>
      <c r="R182" s="38" t="str">
        <f>IF('Automated raw'!$O182&gt;=60%,"High",IF('Automated raw'!$O182&gt;=30%,"Avg",IF('Automated raw'!$O182&lt;30%,"Dead Stock","Incomplete")))</f>
        <v>High</v>
      </c>
      <c r="S182" s="43" t="str">
        <f>TEXT('Automated raw'!$B182,"mmm")</f>
        <v>Mar</v>
      </c>
      <c r="T182" s="82">
        <f>'Automated raw'!$G182*'Automated raw'!$M182</f>
        <v>184325</v>
      </c>
      <c r="U182" s="6">
        <f>IFERROR((Table7[[#This Row],[Stock In(Total)]]+Table7[[#This Row],[In Stock or Remaining]])/2,"-")</f>
        <v>98.5</v>
      </c>
      <c r="V182" s="93">
        <f>IFERROR(Table7[[#This Row],[Stock_Out]]/Table7[[#This Row],[Avg Inventory]],"-")</f>
        <v>1.0253807106598984</v>
      </c>
      <c r="W182" s="6"/>
      <c r="X182" s="6"/>
      <c r="Y182" s="6"/>
      <c r="Z182" s="6"/>
      <c r="AA182" s="6"/>
      <c r="AB182" s="6"/>
      <c r="AC182" s="6"/>
      <c r="AD182" s="6"/>
      <c r="AE182" s="6"/>
      <c r="AF182" s="6"/>
      <c r="AG182" s="6"/>
      <c r="AH182" s="6"/>
      <c r="AI182" s="6"/>
      <c r="AJ182" s="6"/>
      <c r="AK182" s="6"/>
      <c r="AL182" s="26" t="s">
        <v>508</v>
      </c>
      <c r="AM182" s="24">
        <v>45513</v>
      </c>
      <c r="AN182" s="24" t="s">
        <v>26</v>
      </c>
      <c r="AO182" s="24" t="s">
        <v>17</v>
      </c>
      <c r="AP182" s="24" t="s">
        <v>21</v>
      </c>
      <c r="AQ182" s="24">
        <v>51</v>
      </c>
      <c r="AR182" s="24">
        <v>12</v>
      </c>
      <c r="AS182" s="24">
        <v>63</v>
      </c>
      <c r="AT182" s="24">
        <v>141</v>
      </c>
      <c r="AU182" s="24">
        <v>69</v>
      </c>
      <c r="AV182" s="24">
        <v>2</v>
      </c>
      <c r="AW182" s="24">
        <v>1101</v>
      </c>
      <c r="AX182" s="24">
        <v>1202</v>
      </c>
      <c r="AY182" s="24">
        <v>0.19047619047619047</v>
      </c>
      <c r="AZ182" s="24">
        <v>0.19047619047619047</v>
      </c>
      <c r="BA182" s="24">
        <v>51</v>
      </c>
      <c r="BB182" s="24">
        <v>56151</v>
      </c>
      <c r="BC182" s="24" t="s">
        <v>547</v>
      </c>
      <c r="BD182" s="27" t="s">
        <v>554</v>
      </c>
    </row>
    <row r="183" spans="1:56" x14ac:dyDescent="0.3">
      <c r="A183" s="38" t="s">
        <v>244</v>
      </c>
      <c r="B183" s="39">
        <v>45306</v>
      </c>
      <c r="C183" s="38" t="s">
        <v>26</v>
      </c>
      <c r="D183" s="38" t="s">
        <v>17</v>
      </c>
      <c r="E183" s="38" t="s">
        <v>33</v>
      </c>
      <c r="F183" s="40">
        <v>61</v>
      </c>
      <c r="G183" s="38">
        <v>39</v>
      </c>
      <c r="H183" s="38">
        <f>IFERROR('Automated raw'!$F214+'Automated raw'!$G214,"-")</f>
        <v>184</v>
      </c>
      <c r="I183" s="38">
        <v>31</v>
      </c>
      <c r="J183" s="38">
        <v>78</v>
      </c>
      <c r="K183" s="38">
        <v>7</v>
      </c>
      <c r="L183" s="38">
        <v>1028</v>
      </c>
      <c r="M183" s="38">
        <v>1448</v>
      </c>
      <c r="N183" s="38">
        <f>'Automated raw'!$G214/'Automated raw'!$H214</f>
        <v>0.33936651583710409</v>
      </c>
      <c r="O183" s="41">
        <f>IFERROR('Automated raw'!$G214/'Automated raw'!$H214,"incomplete")</f>
        <v>0.33936651583710409</v>
      </c>
      <c r="P183" s="38">
        <f>'Automated raw'!$F214</f>
        <v>109</v>
      </c>
      <c r="Q183" s="42">
        <f>IFERROR('Automated raw'!$P214*'Automated raw'!$L214,0)</f>
        <v>30105</v>
      </c>
      <c r="R183" s="38" t="str">
        <f>IF('Automated raw'!$O214&gt;=60%,"High",IF('Automated raw'!$O214&gt;=30%,"Avg",IF('Automated raw'!$O214&lt;30%,"Dead Stock","Incomplete")))</f>
        <v>High</v>
      </c>
      <c r="S183" s="43" t="str">
        <f>TEXT('Automated raw'!$B214,"mmm")</f>
        <v>Oct</v>
      </c>
      <c r="T183" s="82">
        <f>'Automated raw'!$G214*'Automated raw'!$M214</f>
        <v>85650</v>
      </c>
      <c r="U183" s="6">
        <f>IFERROR((Table7[[#This Row],[Stock In(Total)]]+Table7[[#This Row],[In Stock or Remaining]])/2,"-")</f>
        <v>122.5</v>
      </c>
      <c r="V183" s="93">
        <f>IFERROR(Table7[[#This Row],[Stock_Out]]/Table7[[#This Row],[Avg Inventory]],"-")</f>
        <v>0.3183673469387755</v>
      </c>
      <c r="W183" s="6"/>
      <c r="X183" s="6"/>
      <c r="Y183" s="6"/>
      <c r="Z183" s="6"/>
      <c r="AA183" s="6"/>
      <c r="AB183" s="6"/>
      <c r="AC183" s="6"/>
      <c r="AD183" s="6"/>
      <c r="AE183" s="6"/>
      <c r="AF183" s="6"/>
      <c r="AG183" s="6"/>
      <c r="AH183" s="6"/>
      <c r="AI183" s="6"/>
      <c r="AJ183" s="6"/>
      <c r="AK183" s="6"/>
      <c r="AL183" s="26" t="s">
        <v>522</v>
      </c>
      <c r="AM183" s="24">
        <v>45345</v>
      </c>
      <c r="AN183" s="24" t="s">
        <v>30</v>
      </c>
      <c r="AO183" s="24" t="s">
        <v>13</v>
      </c>
      <c r="AP183" s="24" t="s">
        <v>14</v>
      </c>
      <c r="AQ183" s="24">
        <v>49</v>
      </c>
      <c r="AR183" s="24">
        <v>4</v>
      </c>
      <c r="AS183" s="24">
        <v>53</v>
      </c>
      <c r="AT183" s="24">
        <v>283</v>
      </c>
      <c r="AU183" s="24">
        <v>64</v>
      </c>
      <c r="AV183" s="24">
        <v>6</v>
      </c>
      <c r="AW183" s="24">
        <v>1143</v>
      </c>
      <c r="AX183" s="24">
        <v>2543</v>
      </c>
      <c r="AY183" s="24">
        <v>7.5471698113207544E-2</v>
      </c>
      <c r="AZ183" s="24">
        <v>7.5471698113207544E-2</v>
      </c>
      <c r="BA183" s="24">
        <v>49</v>
      </c>
      <c r="BB183" s="24">
        <v>56007</v>
      </c>
      <c r="BC183" s="24" t="s">
        <v>547</v>
      </c>
      <c r="BD183" s="27" t="s">
        <v>555</v>
      </c>
    </row>
    <row r="184" spans="1:56" x14ac:dyDescent="0.3">
      <c r="A184" s="38" t="s">
        <v>214</v>
      </c>
      <c r="B184" s="39">
        <v>45304</v>
      </c>
      <c r="C184" s="38" t="s">
        <v>19</v>
      </c>
      <c r="D184" s="38" t="s">
        <v>13</v>
      </c>
      <c r="E184" s="38" t="s">
        <v>33</v>
      </c>
      <c r="F184" s="40">
        <v>79</v>
      </c>
      <c r="G184" s="38">
        <v>4</v>
      </c>
      <c r="H184" s="38">
        <f>IFERROR('Automated raw'!$F184+'Automated raw'!$G184,"-")</f>
        <v>83</v>
      </c>
      <c r="I184" s="38">
        <v>268</v>
      </c>
      <c r="J184" s="38">
        <v>39</v>
      </c>
      <c r="K184" s="38">
        <v>14</v>
      </c>
      <c r="L184" s="38">
        <v>655</v>
      </c>
      <c r="M184" s="38">
        <v>1519</v>
      </c>
      <c r="N184" s="38">
        <f>'Automated raw'!$G184/'Automated raw'!$H184</f>
        <v>4.8192771084337352E-2</v>
      </c>
      <c r="O184" s="41">
        <f>IFERROR('Automated raw'!$G184/'Automated raw'!$H184,"incomplete")</f>
        <v>4.8192771084337352E-2</v>
      </c>
      <c r="P184" s="38">
        <f>'Automated raw'!$F184</f>
        <v>79</v>
      </c>
      <c r="Q184" s="42">
        <f>IFERROR('Automated raw'!$P184*'Automated raw'!$L184,0)</f>
        <v>51745</v>
      </c>
      <c r="R184" s="38" t="str">
        <f>IF('Automated raw'!$O184&gt;=60%,"High",IF('Automated raw'!$O184&gt;=30%,"Avg",IF('Automated raw'!$O184&lt;30%,"Dead Stock","Incomplete")))</f>
        <v>Dead Stock</v>
      </c>
      <c r="S184" s="43" t="str">
        <f>TEXT('Automated raw'!$B184,"mmm")</f>
        <v>Jan</v>
      </c>
      <c r="T184" s="82">
        <f>'Automated raw'!$G184*'Automated raw'!$M184</f>
        <v>6076</v>
      </c>
      <c r="U184" s="6">
        <f>IFERROR((Table7[[#This Row],[Stock In(Total)]]+Table7[[#This Row],[In Stock or Remaining]])/2,"-")</f>
        <v>81</v>
      </c>
      <c r="V184" s="93">
        <f>IFERROR(Table7[[#This Row],[Stock_Out]]/Table7[[#This Row],[Avg Inventory]],"-")</f>
        <v>4.9382716049382713E-2</v>
      </c>
      <c r="W184" s="6"/>
      <c r="X184" s="6"/>
      <c r="Y184" s="6"/>
      <c r="Z184" s="6"/>
      <c r="AA184" s="6"/>
      <c r="AB184" s="6"/>
      <c r="AC184" s="6"/>
      <c r="AD184" s="6"/>
      <c r="AE184" s="6"/>
      <c r="AF184" s="6"/>
      <c r="AG184" s="6"/>
      <c r="AH184" s="6"/>
      <c r="AI184" s="6"/>
      <c r="AJ184" s="6"/>
      <c r="AK184" s="6"/>
      <c r="AL184" s="26" t="s">
        <v>226</v>
      </c>
      <c r="AM184" s="24">
        <v>45550</v>
      </c>
      <c r="AN184" s="24" t="s">
        <v>12</v>
      </c>
      <c r="AO184" s="24" t="s">
        <v>20</v>
      </c>
      <c r="AP184" s="24" t="s">
        <v>38</v>
      </c>
      <c r="AQ184" s="24">
        <v>65</v>
      </c>
      <c r="AR184" s="24">
        <v>26</v>
      </c>
      <c r="AS184" s="24">
        <v>91</v>
      </c>
      <c r="AT184" s="24">
        <v>13</v>
      </c>
      <c r="AU184" s="24">
        <v>36</v>
      </c>
      <c r="AV184" s="24">
        <v>5</v>
      </c>
      <c r="AW184" s="24">
        <v>827</v>
      </c>
      <c r="AX184" s="24">
        <v>1594</v>
      </c>
      <c r="AY184" s="24">
        <v>0.2857142857142857</v>
      </c>
      <c r="AZ184" s="24">
        <v>0.2857142857142857</v>
      </c>
      <c r="BA184" s="24">
        <v>65</v>
      </c>
      <c r="BB184" s="24">
        <v>53755</v>
      </c>
      <c r="BC184" s="24" t="s">
        <v>547</v>
      </c>
      <c r="BD184" s="27" t="s">
        <v>560</v>
      </c>
    </row>
    <row r="185" spans="1:56" x14ac:dyDescent="0.3">
      <c r="A185" s="38" t="s">
        <v>250</v>
      </c>
      <c r="B185" s="39">
        <v>45341</v>
      </c>
      <c r="C185" s="38" t="s">
        <v>12</v>
      </c>
      <c r="D185" s="38" t="s">
        <v>13</v>
      </c>
      <c r="E185" s="38" t="s">
        <v>14</v>
      </c>
      <c r="F185" s="40">
        <v>125</v>
      </c>
      <c r="G185" s="38">
        <v>81</v>
      </c>
      <c r="H185" s="38">
        <f>IFERROR('Automated raw'!$F220+'Automated raw'!$G220,"-")</f>
        <v>197</v>
      </c>
      <c r="I185" s="38">
        <v>176</v>
      </c>
      <c r="J185" s="38">
        <v>53</v>
      </c>
      <c r="K185" s="38">
        <v>2</v>
      </c>
      <c r="L185" s="38">
        <v>1613</v>
      </c>
      <c r="M185" s="38">
        <v>2358</v>
      </c>
      <c r="N185" s="38">
        <f>'Automated raw'!$G220/'Automated raw'!$H220</f>
        <v>0.30451127819548873</v>
      </c>
      <c r="O185" s="41">
        <f>IFERROR('Automated raw'!$G220/'Automated raw'!$H220,"incomplete")</f>
        <v>0.30451127819548873</v>
      </c>
      <c r="P185" s="38">
        <f>'Automated raw'!$F220</f>
        <v>116</v>
      </c>
      <c r="Q185" s="42">
        <f>IFERROR('Automated raw'!$P220*'Automated raw'!$L220,0)</f>
        <v>121569</v>
      </c>
      <c r="R185" s="38" t="str">
        <f>IF('Automated raw'!$O220&gt;=60%,"High",IF('Automated raw'!$O220&gt;=30%,"Avg",IF('Automated raw'!$O220&lt;30%,"Dead Stock","Incomplete")))</f>
        <v>Avg</v>
      </c>
      <c r="S185" s="43" t="str">
        <f>TEXT('Automated raw'!$B220,"mmm")</f>
        <v>Aug</v>
      </c>
      <c r="T185" s="82">
        <f>'Automated raw'!$G220*'Automated raw'!$M220</f>
        <v>155520</v>
      </c>
      <c r="U185" s="6">
        <f>IFERROR((Table7[[#This Row],[Stock In(Total)]]+Table7[[#This Row],[In Stock or Remaining]])/2,"-")</f>
        <v>161</v>
      </c>
      <c r="V185" s="93">
        <f>IFERROR(Table7[[#This Row],[Stock_Out]]/Table7[[#This Row],[Avg Inventory]],"-")</f>
        <v>0.50310559006211175</v>
      </c>
      <c r="W185" s="6"/>
      <c r="X185" s="6"/>
      <c r="Y185" s="6"/>
      <c r="Z185" s="6"/>
      <c r="AA185" s="6"/>
      <c r="AB185" s="6"/>
      <c r="AC185" s="6"/>
      <c r="AD185" s="6"/>
      <c r="AE185" s="6"/>
      <c r="AF185" s="6"/>
      <c r="AG185" s="6"/>
      <c r="AH185" s="6"/>
      <c r="AI185" s="6"/>
      <c r="AJ185" s="6"/>
      <c r="AK185" s="6"/>
      <c r="AL185" s="26" t="s">
        <v>227</v>
      </c>
      <c r="AM185" s="24">
        <v>45531</v>
      </c>
      <c r="AN185" s="24" t="s">
        <v>19</v>
      </c>
      <c r="AO185" s="24" t="s">
        <v>13</v>
      </c>
      <c r="AP185" s="24" t="s">
        <v>38</v>
      </c>
      <c r="AQ185" s="24">
        <v>86</v>
      </c>
      <c r="AR185" s="24">
        <v>15</v>
      </c>
      <c r="AS185" s="24">
        <v>101</v>
      </c>
      <c r="AT185" s="24">
        <v>272</v>
      </c>
      <c r="AU185" s="24">
        <v>56</v>
      </c>
      <c r="AV185" s="24">
        <v>13</v>
      </c>
      <c r="AW185" s="24">
        <v>624</v>
      </c>
      <c r="AX185" s="24">
        <v>1526</v>
      </c>
      <c r="AY185" s="24">
        <v>0.14851485148514851</v>
      </c>
      <c r="AZ185" s="24">
        <v>0.14851485148514851</v>
      </c>
      <c r="BA185" s="24">
        <v>86</v>
      </c>
      <c r="BB185" s="24">
        <v>53664</v>
      </c>
      <c r="BC185" s="24" t="s">
        <v>547</v>
      </c>
      <c r="BD185" s="27" t="s">
        <v>554</v>
      </c>
    </row>
    <row r="186" spans="1:56" x14ac:dyDescent="0.3">
      <c r="A186" s="38" t="s">
        <v>216</v>
      </c>
      <c r="B186" s="39">
        <v>45513</v>
      </c>
      <c r="C186" s="38" t="s">
        <v>26</v>
      </c>
      <c r="D186" s="38" t="s">
        <v>13</v>
      </c>
      <c r="E186" s="38" t="s">
        <v>14</v>
      </c>
      <c r="F186" s="40" t="s">
        <v>23</v>
      </c>
      <c r="G186" s="38">
        <v>47</v>
      </c>
      <c r="H186" s="38" t="str">
        <f>IFERROR('Automated raw'!$F186+'Automated raw'!$G186,"-")</f>
        <v>-</v>
      </c>
      <c r="I186" s="38">
        <v>89</v>
      </c>
      <c r="J186" s="38">
        <v>41</v>
      </c>
      <c r="K186" s="38">
        <v>12</v>
      </c>
      <c r="L186" s="38">
        <v>1695</v>
      </c>
      <c r="M186" s="38">
        <v>3017</v>
      </c>
      <c r="N186" s="38" t="e">
        <f>'Automated raw'!$G186/'Automated raw'!$H186</f>
        <v>#VALUE!</v>
      </c>
      <c r="O186" s="49" t="str">
        <f>IFERROR('Automated raw'!$G186/'Automated raw'!$H186,"incomplete")</f>
        <v>incomplete</v>
      </c>
      <c r="P186" s="38" t="str">
        <f>'Automated raw'!$F186</f>
        <v>Not Available</v>
      </c>
      <c r="Q186" s="42">
        <f>IFERROR('Automated raw'!$P186*'Automated raw'!$L186,0)</f>
        <v>0</v>
      </c>
      <c r="R186" s="38" t="str">
        <f>IF('Automated raw'!$O186&gt;=60%,"High",IF('Automated raw'!$O186&gt;=30%,"Avg",IF('Automated raw'!$O186&lt;30%,"Dead Stock","Incomplete")))</f>
        <v>High</v>
      </c>
      <c r="S186" s="43" t="str">
        <f>TEXT('Automated raw'!$B186,"mmm")</f>
        <v>Aug</v>
      </c>
      <c r="T186" s="82">
        <f>'Automated raw'!$G186*'Automated raw'!$M186</f>
        <v>141799</v>
      </c>
      <c r="U186" s="6" t="str">
        <f>IFERROR((Table7[[#This Row],[Stock In(Total)]]+Table7[[#This Row],[In Stock or Remaining]])/2,"-")</f>
        <v>-</v>
      </c>
      <c r="V186" s="93" t="str">
        <f>IFERROR(Table7[[#This Row],[Stock_Out]]/Table7[[#This Row],[Avg Inventory]],"-")</f>
        <v>-</v>
      </c>
      <c r="W186" s="6"/>
      <c r="X186" s="6"/>
      <c r="Y186" s="6"/>
      <c r="Z186" s="6"/>
      <c r="AA186" s="6"/>
      <c r="AB186" s="6"/>
      <c r="AC186" s="6"/>
      <c r="AD186" s="6"/>
      <c r="AE186" s="6"/>
      <c r="AF186" s="6"/>
      <c r="AG186" s="6"/>
      <c r="AH186" s="6"/>
      <c r="AI186" s="6"/>
      <c r="AJ186" s="6"/>
      <c r="AK186" s="6"/>
      <c r="AL186" s="26" t="s">
        <v>494</v>
      </c>
      <c r="AM186" s="24">
        <v>45377</v>
      </c>
      <c r="AN186" s="24" t="s">
        <v>19</v>
      </c>
      <c r="AO186" s="24" t="s">
        <v>20</v>
      </c>
      <c r="AP186" s="24" t="s">
        <v>21</v>
      </c>
      <c r="AQ186" s="24">
        <v>81</v>
      </c>
      <c r="AR186" s="24">
        <v>9</v>
      </c>
      <c r="AS186" s="24">
        <v>90</v>
      </c>
      <c r="AT186" s="24">
        <v>116</v>
      </c>
      <c r="AU186" s="24">
        <v>79</v>
      </c>
      <c r="AV186" s="24">
        <v>2</v>
      </c>
      <c r="AW186" s="24">
        <v>660</v>
      </c>
      <c r="AX186" s="24">
        <v>1277</v>
      </c>
      <c r="AY186" s="24">
        <v>0.1</v>
      </c>
      <c r="AZ186" s="24">
        <v>0.1</v>
      </c>
      <c r="BA186" s="24">
        <v>81</v>
      </c>
      <c r="BB186" s="24">
        <v>53460</v>
      </c>
      <c r="BC186" s="24" t="s">
        <v>547</v>
      </c>
      <c r="BD186" s="27" t="s">
        <v>562</v>
      </c>
    </row>
    <row r="187" spans="1:56" x14ac:dyDescent="0.3">
      <c r="A187" s="44" t="s">
        <v>484</v>
      </c>
      <c r="B187" s="45">
        <v>45409</v>
      </c>
      <c r="C187" s="44" t="s">
        <v>53</v>
      </c>
      <c r="D187" s="44" t="s">
        <v>13</v>
      </c>
      <c r="E187" s="44" t="s">
        <v>38</v>
      </c>
      <c r="F187" s="40">
        <v>125</v>
      </c>
      <c r="G187" s="44">
        <v>81</v>
      </c>
      <c r="H187" s="44">
        <f>IFERROR('Automated raw'!$F451+'Automated raw'!$G451,"-")</f>
        <v>166</v>
      </c>
      <c r="I187" s="44">
        <v>55</v>
      </c>
      <c r="J187" s="44">
        <v>55</v>
      </c>
      <c r="K187" s="44">
        <v>2</v>
      </c>
      <c r="L187" s="44">
        <v>695</v>
      </c>
      <c r="M187" s="44">
        <v>948</v>
      </c>
      <c r="N187" s="44">
        <f>'Automated raw'!$G451/'Automated raw'!$H451</f>
        <v>0.37246963562753038</v>
      </c>
      <c r="O187" s="46">
        <f>IFERROR('Automated raw'!$G451/'Automated raw'!$H451,"incomplete")</f>
        <v>0.37246963562753038</v>
      </c>
      <c r="P187" s="44">
        <f>'Automated raw'!$F451</f>
        <v>74</v>
      </c>
      <c r="Q187" s="47">
        <f>IFERROR('Automated raw'!$P451*'Automated raw'!$L451,0)</f>
        <v>148176</v>
      </c>
      <c r="R187" s="44" t="str">
        <f>IF('Automated raw'!$O451&gt;=60%,"High",IF('Automated raw'!$O451&gt;=30%,"Avg",IF('Automated raw'!$O451&lt;30%,"Dead Stock","Incomplete")))</f>
        <v>High</v>
      </c>
      <c r="S187" s="48" t="str">
        <f>TEXT('Automated raw'!$B451,"mmm")</f>
        <v>Oct</v>
      </c>
      <c r="T187" s="83">
        <f>'Automated raw'!$G451*'Automated raw'!$M451</f>
        <v>170936</v>
      </c>
      <c r="U187" s="6">
        <f>IFERROR((Table7[[#This Row],[Stock In(Total)]]+Table7[[#This Row],[In Stock or Remaining]])/2,"-")</f>
        <v>145.5</v>
      </c>
      <c r="V187" s="93">
        <f>IFERROR(Table7[[#This Row],[Stock_Out]]/Table7[[#This Row],[Avg Inventory]],"-")</f>
        <v>0.55670103092783507</v>
      </c>
      <c r="W187" s="6"/>
      <c r="X187" s="6"/>
      <c r="Y187" s="6"/>
      <c r="Z187" s="6"/>
      <c r="AA187" s="6"/>
      <c r="AB187" s="6"/>
      <c r="AC187" s="6"/>
      <c r="AD187" s="6"/>
      <c r="AE187" s="6"/>
      <c r="AF187" s="6"/>
      <c r="AG187" s="6"/>
      <c r="AH187" s="6"/>
      <c r="AI187" s="6"/>
      <c r="AJ187" s="6"/>
      <c r="AK187" s="6"/>
      <c r="AL187" s="26" t="s">
        <v>473</v>
      </c>
      <c r="AM187" s="24">
        <v>45606</v>
      </c>
      <c r="AN187" s="24" t="s">
        <v>30</v>
      </c>
      <c r="AO187" s="24" t="s">
        <v>17</v>
      </c>
      <c r="AP187" s="24" t="s">
        <v>33</v>
      </c>
      <c r="AQ187" s="24">
        <v>111</v>
      </c>
      <c r="AR187" s="24">
        <v>16</v>
      </c>
      <c r="AS187" s="24">
        <v>127</v>
      </c>
      <c r="AT187" s="24">
        <v>207</v>
      </c>
      <c r="AU187" s="24">
        <v>65</v>
      </c>
      <c r="AV187" s="24">
        <v>9</v>
      </c>
      <c r="AW187" s="24">
        <v>478</v>
      </c>
      <c r="AX187" s="24">
        <v>953</v>
      </c>
      <c r="AY187" s="24">
        <v>0.12598425196850394</v>
      </c>
      <c r="AZ187" s="24">
        <v>0.12598425196850394</v>
      </c>
      <c r="BA187" s="24">
        <v>111</v>
      </c>
      <c r="BB187" s="24">
        <v>53058</v>
      </c>
      <c r="BC187" s="24" t="s">
        <v>547</v>
      </c>
      <c r="BD187" s="27" t="s">
        <v>564</v>
      </c>
    </row>
    <row r="188" spans="1:56" x14ac:dyDescent="0.3">
      <c r="A188" s="38" t="s">
        <v>218</v>
      </c>
      <c r="B188" s="39">
        <v>45547</v>
      </c>
      <c r="C188" s="38" t="s">
        <v>37</v>
      </c>
      <c r="D188" s="38" t="s">
        <v>13</v>
      </c>
      <c r="E188" s="38" t="s">
        <v>33</v>
      </c>
      <c r="F188" s="40">
        <v>139</v>
      </c>
      <c r="G188" s="38">
        <v>1</v>
      </c>
      <c r="H188" s="38">
        <f>IFERROR('Automated raw'!$F188+'Automated raw'!$G188,"-")</f>
        <v>140</v>
      </c>
      <c r="I188" s="38">
        <v>237</v>
      </c>
      <c r="J188" s="38">
        <v>67</v>
      </c>
      <c r="K188" s="38">
        <v>11</v>
      </c>
      <c r="L188" s="38">
        <v>1042</v>
      </c>
      <c r="M188" s="38">
        <v>1269</v>
      </c>
      <c r="N188" s="38">
        <f>'Automated raw'!$G188/'Automated raw'!$H188</f>
        <v>7.1428571428571426E-3</v>
      </c>
      <c r="O188" s="41">
        <f>IFERROR('Automated raw'!$G188/'Automated raw'!$H188,"incomplete")</f>
        <v>7.1428571428571426E-3</v>
      </c>
      <c r="P188" s="38">
        <f>'Automated raw'!$F188</f>
        <v>139</v>
      </c>
      <c r="Q188" s="42">
        <f>IFERROR('Automated raw'!$P188*'Automated raw'!$L188,0)</f>
        <v>144838</v>
      </c>
      <c r="R188" s="38" t="str">
        <f>IF('Automated raw'!$O188&gt;=60%,"High",IF('Automated raw'!$O188&gt;=30%,"Avg",IF('Automated raw'!$O188&lt;30%,"Dead Stock","Incomplete")))</f>
        <v>Dead Stock</v>
      </c>
      <c r="S188" s="43" t="str">
        <f>TEXT('Automated raw'!$B188,"mmm")</f>
        <v>Sep</v>
      </c>
      <c r="T188" s="82">
        <f>'Automated raw'!$G188*'Automated raw'!$M188</f>
        <v>1269</v>
      </c>
      <c r="U188" s="6">
        <f>IFERROR((Table7[[#This Row],[Stock In(Total)]]+Table7[[#This Row],[In Stock or Remaining]])/2,"-")</f>
        <v>139.5</v>
      </c>
      <c r="V188" s="93">
        <f>IFERROR(Table7[[#This Row],[Stock_Out]]/Table7[[#This Row],[Avg Inventory]],"-")</f>
        <v>7.1684587813620072E-3</v>
      </c>
      <c r="W188" s="6"/>
      <c r="X188" s="6"/>
      <c r="Y188" s="6"/>
      <c r="Z188" s="6"/>
      <c r="AA188" s="6"/>
      <c r="AB188" s="6"/>
      <c r="AC188" s="6"/>
      <c r="AD188" s="6"/>
      <c r="AE188" s="6"/>
      <c r="AF188" s="6"/>
      <c r="AG188" s="6"/>
      <c r="AH188" s="6"/>
      <c r="AI188" s="6"/>
      <c r="AJ188" s="6"/>
      <c r="AK188" s="6"/>
      <c r="AL188" s="26" t="s">
        <v>214</v>
      </c>
      <c r="AM188" s="24">
        <v>45304</v>
      </c>
      <c r="AN188" s="24" t="s">
        <v>19</v>
      </c>
      <c r="AO188" s="24" t="s">
        <v>13</v>
      </c>
      <c r="AP188" s="24" t="s">
        <v>33</v>
      </c>
      <c r="AQ188" s="24">
        <v>79</v>
      </c>
      <c r="AR188" s="24">
        <v>4</v>
      </c>
      <c r="AS188" s="24">
        <v>83</v>
      </c>
      <c r="AT188" s="24">
        <v>268</v>
      </c>
      <c r="AU188" s="24">
        <v>39</v>
      </c>
      <c r="AV188" s="24">
        <v>14</v>
      </c>
      <c r="AW188" s="24">
        <v>655</v>
      </c>
      <c r="AX188" s="24">
        <v>1519</v>
      </c>
      <c r="AY188" s="24">
        <v>4.8192771084337352E-2</v>
      </c>
      <c r="AZ188" s="24">
        <v>4.8192771084337352E-2</v>
      </c>
      <c r="BA188" s="24">
        <v>79</v>
      </c>
      <c r="BB188" s="24">
        <v>51745</v>
      </c>
      <c r="BC188" s="24" t="s">
        <v>547</v>
      </c>
      <c r="BD188" s="27" t="s">
        <v>557</v>
      </c>
    </row>
    <row r="189" spans="1:56" x14ac:dyDescent="0.3">
      <c r="A189" s="44" t="s">
        <v>404</v>
      </c>
      <c r="B189" s="45">
        <v>45295</v>
      </c>
      <c r="C189" s="44" t="s">
        <v>16</v>
      </c>
      <c r="D189" s="44" t="s">
        <v>13</v>
      </c>
      <c r="E189" s="44" t="s">
        <v>14</v>
      </c>
      <c r="F189" s="40">
        <v>134</v>
      </c>
      <c r="G189" s="44">
        <v>87</v>
      </c>
      <c r="H189" s="44">
        <f>IFERROR('Automated raw'!$F371+'Automated raw'!$G371,"-")</f>
        <v>65</v>
      </c>
      <c r="I189" s="44">
        <v>21</v>
      </c>
      <c r="J189" s="44">
        <v>75</v>
      </c>
      <c r="K189" s="44">
        <v>3</v>
      </c>
      <c r="L189" s="44">
        <v>1108</v>
      </c>
      <c r="M189" s="44">
        <v>1316</v>
      </c>
      <c r="N189" s="44">
        <f>'Automated raw'!$G371/'Automated raw'!$H371</f>
        <v>0.21333333333333335</v>
      </c>
      <c r="O189" s="46">
        <f>IFERROR('Automated raw'!$G371/'Automated raw'!$H371,"incomplete")</f>
        <v>0.21333333333333335</v>
      </c>
      <c r="P189" s="44">
        <f>'Automated raw'!$F371</f>
        <v>33</v>
      </c>
      <c r="Q189" s="47">
        <f>IFERROR('Automated raw'!$P371*'Automated raw'!$L371,0)</f>
        <v>50954</v>
      </c>
      <c r="R189" s="44" t="str">
        <f>IF('Automated raw'!$O371&gt;=60%,"High",IF('Automated raw'!$O371&gt;=30%,"Avg",IF('Automated raw'!$O371&lt;30%,"Dead Stock","Incomplete")))</f>
        <v>High</v>
      </c>
      <c r="S189" s="48" t="str">
        <f>TEXT('Automated raw'!$B371,"mmm")</f>
        <v>Sep</v>
      </c>
      <c r="T189" s="83">
        <f>'Automated raw'!$G371*'Automated raw'!$M371</f>
        <v>62048</v>
      </c>
      <c r="U189" s="6">
        <f>IFERROR((Table7[[#This Row],[Stock In(Total)]]+Table7[[#This Row],[In Stock or Remaining]])/2,"-")</f>
        <v>99.5</v>
      </c>
      <c r="V189" s="93">
        <f>IFERROR(Table7[[#This Row],[Stock_Out]]/Table7[[#This Row],[Avg Inventory]],"-")</f>
        <v>0.87437185929648242</v>
      </c>
      <c r="W189" s="6"/>
      <c r="X189" s="6"/>
      <c r="Y189" s="6"/>
      <c r="Z189" s="6"/>
      <c r="AA189" s="6"/>
      <c r="AB189" s="6"/>
      <c r="AC189" s="6"/>
      <c r="AD189" s="6"/>
      <c r="AE189" s="6"/>
      <c r="AF189" s="6"/>
      <c r="AG189" s="6"/>
      <c r="AH189" s="6"/>
      <c r="AI189" s="6"/>
      <c r="AJ189" s="6"/>
      <c r="AK189" s="6"/>
      <c r="AL189" s="26" t="s">
        <v>325</v>
      </c>
      <c r="AM189" s="24">
        <v>45504</v>
      </c>
      <c r="AN189" s="24" t="s">
        <v>19</v>
      </c>
      <c r="AO189" s="24" t="s">
        <v>20</v>
      </c>
      <c r="AP189" s="24" t="s">
        <v>38</v>
      </c>
      <c r="AQ189" s="24">
        <v>82</v>
      </c>
      <c r="AR189" s="24">
        <v>23</v>
      </c>
      <c r="AS189" s="24">
        <v>105</v>
      </c>
      <c r="AT189" s="24">
        <v>285</v>
      </c>
      <c r="AU189" s="24">
        <v>52</v>
      </c>
      <c r="AV189" s="24">
        <v>8</v>
      </c>
      <c r="AW189" s="24">
        <v>604</v>
      </c>
      <c r="AX189" s="24">
        <v>719</v>
      </c>
      <c r="AY189" s="24">
        <v>0.21904761904761905</v>
      </c>
      <c r="AZ189" s="24">
        <v>0.21904761904761905</v>
      </c>
      <c r="BA189" s="24">
        <v>82</v>
      </c>
      <c r="BB189" s="24">
        <v>49528</v>
      </c>
      <c r="BC189" s="24" t="s">
        <v>547</v>
      </c>
      <c r="BD189" s="27" t="s">
        <v>556</v>
      </c>
    </row>
    <row r="190" spans="1:56" x14ac:dyDescent="0.3">
      <c r="A190" s="38" t="s">
        <v>220</v>
      </c>
      <c r="B190" s="39">
        <v>45340</v>
      </c>
      <c r="C190" s="38" t="s">
        <v>37</v>
      </c>
      <c r="D190" s="38" t="s">
        <v>20</v>
      </c>
      <c r="E190" s="38" t="s">
        <v>33</v>
      </c>
      <c r="F190" s="40">
        <v>21</v>
      </c>
      <c r="G190" s="38">
        <v>105</v>
      </c>
      <c r="H190" s="38">
        <f>IFERROR('Automated raw'!$F190+'Automated raw'!$G190,"-")</f>
        <v>126</v>
      </c>
      <c r="I190" s="38">
        <v>92</v>
      </c>
      <c r="J190" s="38">
        <v>61</v>
      </c>
      <c r="K190" s="38">
        <v>2</v>
      </c>
      <c r="L190" s="38">
        <v>1035</v>
      </c>
      <c r="M190" s="38">
        <v>2362</v>
      </c>
      <c r="N190" s="38">
        <f>'Automated raw'!$G190/'Automated raw'!$H190</f>
        <v>0.83333333333333337</v>
      </c>
      <c r="O190" s="41">
        <f>IFERROR('Automated raw'!$G190/'Automated raw'!$H190,"incomplete")</f>
        <v>0.83333333333333337</v>
      </c>
      <c r="P190" s="38">
        <f>'Automated raw'!$F190</f>
        <v>21</v>
      </c>
      <c r="Q190" s="42">
        <f>IFERROR('Automated raw'!$P190*'Automated raw'!$L190,0)</f>
        <v>21735</v>
      </c>
      <c r="R190" s="38" t="str">
        <f>IF('Automated raw'!$O190&gt;=60%,"High",IF('Automated raw'!$O190&gt;=30%,"Avg",IF('Automated raw'!$O190&lt;30%,"Dead Stock","Incomplete")))</f>
        <v>High</v>
      </c>
      <c r="S190" s="43" t="str">
        <f>TEXT('Automated raw'!$B190,"mmm")</f>
        <v>Feb</v>
      </c>
      <c r="T190" s="82">
        <f>'Automated raw'!$G190*'Automated raw'!$M190</f>
        <v>248010</v>
      </c>
      <c r="U190" s="6">
        <f>IFERROR((Table7[[#This Row],[Stock In(Total)]]+Table7[[#This Row],[In Stock or Remaining]])/2,"-")</f>
        <v>73.5</v>
      </c>
      <c r="V190" s="93">
        <f>IFERROR(Table7[[#This Row],[Stock_Out]]/Table7[[#This Row],[Avg Inventory]],"-")</f>
        <v>1.4285714285714286</v>
      </c>
      <c r="W190" s="6"/>
      <c r="X190" s="6"/>
      <c r="Y190" s="6"/>
      <c r="Z190" s="6"/>
      <c r="AA190" s="6"/>
      <c r="AB190" s="6"/>
      <c r="AC190" s="6"/>
      <c r="AD190" s="6"/>
      <c r="AE190" s="6"/>
      <c r="AF190" s="6"/>
      <c r="AG190" s="6"/>
      <c r="AH190" s="6"/>
      <c r="AI190" s="6"/>
      <c r="AJ190" s="6"/>
      <c r="AK190" s="6"/>
      <c r="AL190" s="26" t="s">
        <v>426</v>
      </c>
      <c r="AM190" s="24">
        <v>45348</v>
      </c>
      <c r="AN190" s="24" t="s">
        <v>45</v>
      </c>
      <c r="AO190" s="24" t="s">
        <v>17</v>
      </c>
      <c r="AP190" s="24" t="s">
        <v>14</v>
      </c>
      <c r="AQ190" s="24">
        <v>112</v>
      </c>
      <c r="AR190" s="24">
        <v>47</v>
      </c>
      <c r="AS190" s="24">
        <v>159</v>
      </c>
      <c r="AT190" s="24">
        <v>25</v>
      </c>
      <c r="AU190" s="24">
        <v>73</v>
      </c>
      <c r="AV190" s="24">
        <v>13</v>
      </c>
      <c r="AW190" s="24">
        <v>433</v>
      </c>
      <c r="AX190" s="24">
        <v>802</v>
      </c>
      <c r="AY190" s="24">
        <v>0.29559748427672955</v>
      </c>
      <c r="AZ190" s="24">
        <v>0.29559748427672955</v>
      </c>
      <c r="BA190" s="24">
        <v>112</v>
      </c>
      <c r="BB190" s="24">
        <v>48496</v>
      </c>
      <c r="BC190" s="24" t="s">
        <v>547</v>
      </c>
      <c r="BD190" s="27" t="s">
        <v>555</v>
      </c>
    </row>
    <row r="191" spans="1:56" x14ac:dyDescent="0.3">
      <c r="A191" s="44" t="s">
        <v>106</v>
      </c>
      <c r="B191" s="45">
        <v>45566</v>
      </c>
      <c r="C191" s="44" t="s">
        <v>53</v>
      </c>
      <c r="D191" s="44" t="s">
        <v>13</v>
      </c>
      <c r="E191" s="44" t="s">
        <v>38</v>
      </c>
      <c r="F191" s="40">
        <v>63</v>
      </c>
      <c r="G191" s="44">
        <v>41</v>
      </c>
      <c r="H191" s="44">
        <f>IFERROR('Automated raw'!$F79+'Automated raw'!$G79,"-")</f>
        <v>224</v>
      </c>
      <c r="I191" s="44">
        <v>90</v>
      </c>
      <c r="J191" s="44">
        <v>72</v>
      </c>
      <c r="K191" s="44">
        <v>13</v>
      </c>
      <c r="L191" s="44">
        <v>450</v>
      </c>
      <c r="M191" s="44">
        <v>572</v>
      </c>
      <c r="N191" s="44">
        <f>'Automated raw'!$G79/'Automated raw'!$H79</f>
        <v>0.48125000000000001</v>
      </c>
      <c r="O191" s="46">
        <f>IFERROR('Automated raw'!$G79/'Automated raw'!$H79,"incomplete")</f>
        <v>0.48125000000000001</v>
      </c>
      <c r="P191" s="44">
        <f>'Automated raw'!$F79</f>
        <v>147</v>
      </c>
      <c r="Q191" s="47">
        <f>IFERROR('Automated raw'!$P79*'Automated raw'!$L79,0)</f>
        <v>27664</v>
      </c>
      <c r="R191" s="44" t="str">
        <f>IF('Automated raw'!$O79&gt;=60%,"High",IF('Automated raw'!$O79&gt;=30%,"Avg",IF('Automated raw'!$O79&lt;30%,"Dead Stock","Incomplete")))</f>
        <v>Dead Stock</v>
      </c>
      <c r="S191" s="48" t="str">
        <f>TEXT('Automated raw'!$B79,"mmm")</f>
        <v>Aug</v>
      </c>
      <c r="T191" s="83">
        <f>'Automated raw'!$G79*'Automated raw'!$M79</f>
        <v>90706</v>
      </c>
      <c r="U191" s="6">
        <f>IFERROR((Table7[[#This Row],[Stock In(Total)]]+Table7[[#This Row],[In Stock or Remaining]])/2,"-")</f>
        <v>143.5</v>
      </c>
      <c r="V191" s="93">
        <f>IFERROR(Table7[[#This Row],[Stock_Out]]/Table7[[#This Row],[Avg Inventory]],"-")</f>
        <v>0.2857142857142857</v>
      </c>
      <c r="W191" s="6"/>
      <c r="X191" s="6"/>
      <c r="Y191" s="6"/>
      <c r="Z191" s="6"/>
      <c r="AA191" s="6"/>
      <c r="AB191" s="6"/>
      <c r="AC191" s="6"/>
      <c r="AD191" s="6"/>
      <c r="AE191" s="6"/>
      <c r="AF191" s="6"/>
      <c r="AG191" s="6"/>
      <c r="AH191" s="6"/>
      <c r="AI191" s="6"/>
      <c r="AJ191" s="6"/>
      <c r="AK191" s="6"/>
      <c r="AL191" s="26" t="s">
        <v>258</v>
      </c>
      <c r="AM191" s="24">
        <v>45515</v>
      </c>
      <c r="AN191" s="24" t="s">
        <v>259</v>
      </c>
      <c r="AO191" s="24" t="s">
        <v>17</v>
      </c>
      <c r="AP191" s="24" t="s">
        <v>14</v>
      </c>
      <c r="AQ191" s="24">
        <v>80</v>
      </c>
      <c r="AR191" s="24">
        <v>3</v>
      </c>
      <c r="AS191" s="24">
        <v>83</v>
      </c>
      <c r="AT191" s="24">
        <v>131</v>
      </c>
      <c r="AU191" s="24">
        <v>46</v>
      </c>
      <c r="AV191" s="24">
        <v>13</v>
      </c>
      <c r="AW191" s="24">
        <v>603</v>
      </c>
      <c r="AX191" s="24">
        <v>914</v>
      </c>
      <c r="AY191" s="24">
        <v>3.614457831325301E-2</v>
      </c>
      <c r="AZ191" s="24">
        <v>3.614457831325301E-2</v>
      </c>
      <c r="BA191" s="24">
        <v>80</v>
      </c>
      <c r="BB191" s="24">
        <v>48240</v>
      </c>
      <c r="BC191" s="24" t="s">
        <v>547</v>
      </c>
      <c r="BD191" s="27" t="s">
        <v>554</v>
      </c>
    </row>
    <row r="192" spans="1:56" x14ac:dyDescent="0.3">
      <c r="A192" s="38" t="s">
        <v>515</v>
      </c>
      <c r="B192" s="39">
        <v>45345</v>
      </c>
      <c r="C192" s="38" t="s">
        <v>30</v>
      </c>
      <c r="D192" s="38" t="s">
        <v>13</v>
      </c>
      <c r="E192" s="38" t="s">
        <v>21</v>
      </c>
      <c r="F192" s="40">
        <v>139</v>
      </c>
      <c r="G192" s="38">
        <v>91</v>
      </c>
      <c r="H192" s="38">
        <f>IFERROR('Automated raw'!$F482+'Automated raw'!$G482,"-")</f>
        <v>149</v>
      </c>
      <c r="I192" s="38">
        <v>250</v>
      </c>
      <c r="J192" s="38">
        <v>74</v>
      </c>
      <c r="K192" s="38">
        <v>5</v>
      </c>
      <c r="L192" s="38">
        <v>1242</v>
      </c>
      <c r="M192" s="38">
        <v>1498</v>
      </c>
      <c r="N192" s="38">
        <f>'Automated raw'!$G482/'Automated raw'!$H482</f>
        <v>0.41148325358851673</v>
      </c>
      <c r="O192" s="41">
        <f>IFERROR('Automated raw'!$G482/'Automated raw'!$H482,"incomplete")</f>
        <v>0.41148325358851673</v>
      </c>
      <c r="P192" s="38">
        <f>'Automated raw'!$F482</f>
        <v>63</v>
      </c>
      <c r="Q192" s="42">
        <f>IFERROR('Automated raw'!$P482*'Automated raw'!$L482,0)</f>
        <v>106878</v>
      </c>
      <c r="R192" s="38" t="str">
        <f>IF('Automated raw'!$O482&gt;=60%,"High",IF('Automated raw'!$O482&gt;=30%,"Avg",IF('Automated raw'!$O482&lt;30%,"Dead Stock","Incomplete")))</f>
        <v>High</v>
      </c>
      <c r="S192" s="43" t="str">
        <f>TEXT('Automated raw'!$B482,"mmm")</f>
        <v>Feb</v>
      </c>
      <c r="T192" s="82">
        <f>'Automated raw'!$G482*'Automated raw'!$M482</f>
        <v>129688</v>
      </c>
      <c r="U192" s="6">
        <f>IFERROR((Table7[[#This Row],[Stock In(Total)]]+Table7[[#This Row],[In Stock or Remaining]])/2,"-")</f>
        <v>144</v>
      </c>
      <c r="V192" s="93">
        <f>IFERROR(Table7[[#This Row],[Stock_Out]]/Table7[[#This Row],[Avg Inventory]],"-")</f>
        <v>0.63194444444444442</v>
      </c>
      <c r="W192" s="6"/>
      <c r="X192" s="6"/>
      <c r="Y192" s="6"/>
      <c r="Z192" s="6"/>
      <c r="AA192" s="6"/>
      <c r="AB192" s="6"/>
      <c r="AC192" s="6"/>
      <c r="AD192" s="6"/>
      <c r="AE192" s="6"/>
      <c r="AF192" s="6"/>
      <c r="AG192" s="6"/>
      <c r="AH192" s="6"/>
      <c r="AI192" s="6"/>
      <c r="AJ192" s="6"/>
      <c r="AK192" s="6"/>
      <c r="AL192" s="26" t="s">
        <v>225</v>
      </c>
      <c r="AM192" s="24">
        <v>45419</v>
      </c>
      <c r="AN192" s="24" t="s">
        <v>16</v>
      </c>
      <c r="AO192" s="24" t="s">
        <v>17</v>
      </c>
      <c r="AP192" s="24" t="s">
        <v>33</v>
      </c>
      <c r="AQ192" s="24">
        <v>36</v>
      </c>
      <c r="AR192" s="24">
        <v>14</v>
      </c>
      <c r="AS192" s="24">
        <v>50</v>
      </c>
      <c r="AT192" s="24">
        <v>48</v>
      </c>
      <c r="AU192" s="24">
        <v>37</v>
      </c>
      <c r="AV192" s="24">
        <v>11</v>
      </c>
      <c r="AW192" s="24">
        <v>1333</v>
      </c>
      <c r="AX192" s="24">
        <v>2353</v>
      </c>
      <c r="AY192" s="24">
        <v>0.28000000000000003</v>
      </c>
      <c r="AZ192" s="24">
        <v>0.28000000000000003</v>
      </c>
      <c r="BA192" s="24">
        <v>36</v>
      </c>
      <c r="BB192" s="24">
        <v>47988</v>
      </c>
      <c r="BC192" s="24" t="s">
        <v>547</v>
      </c>
      <c r="BD192" s="27" t="s">
        <v>561</v>
      </c>
    </row>
    <row r="193" spans="1:56" x14ac:dyDescent="0.3">
      <c r="A193" s="38" t="s">
        <v>399</v>
      </c>
      <c r="B193" s="39">
        <v>45347</v>
      </c>
      <c r="C193" s="38" t="s">
        <v>53</v>
      </c>
      <c r="D193" s="38" t="s">
        <v>20</v>
      </c>
      <c r="E193" s="38" t="s">
        <v>14</v>
      </c>
      <c r="F193" s="40">
        <v>41</v>
      </c>
      <c r="G193" s="38">
        <v>27</v>
      </c>
      <c r="H193" s="38">
        <f>IFERROR('Automated raw'!$F366+'Automated raw'!$G366,"-")</f>
        <v>51</v>
      </c>
      <c r="I193" s="38">
        <v>40</v>
      </c>
      <c r="J193" s="38">
        <v>72</v>
      </c>
      <c r="K193" s="38">
        <v>14</v>
      </c>
      <c r="L193" s="38">
        <v>863</v>
      </c>
      <c r="M193" s="38">
        <v>2103</v>
      </c>
      <c r="N193" s="38">
        <f>'Automated raw'!$G366/'Automated raw'!$H366</f>
        <v>0.11415525114155251</v>
      </c>
      <c r="O193" s="41">
        <f>IFERROR('Automated raw'!$G366/'Automated raw'!$H366,"incomplete")</f>
        <v>0.11415525114155251</v>
      </c>
      <c r="P193" s="38">
        <f>'Automated raw'!$F366</f>
        <v>26</v>
      </c>
      <c r="Q193" s="42">
        <f>IFERROR('Automated raw'!$P366*'Automated raw'!$L366,0)</f>
        <v>143990</v>
      </c>
      <c r="R193" s="38" t="str">
        <f>IF('Automated raw'!$O366&gt;=60%,"High",IF('Automated raw'!$O366&gt;=30%,"Avg",IF('Automated raw'!$O366&lt;30%,"Dead Stock","Incomplete")))</f>
        <v>Avg</v>
      </c>
      <c r="S193" s="43" t="str">
        <f>TEXT('Automated raw'!$B366,"mmm")</f>
        <v>Feb</v>
      </c>
      <c r="T193" s="82">
        <f>'Automated raw'!$G366*'Automated raw'!$M366</f>
        <v>37125</v>
      </c>
      <c r="U193" s="6">
        <f>IFERROR((Table7[[#This Row],[Stock In(Total)]]+Table7[[#This Row],[In Stock or Remaining]])/2,"-")</f>
        <v>46</v>
      </c>
      <c r="V193" s="93">
        <f>IFERROR(Table7[[#This Row],[Stock_Out]]/Table7[[#This Row],[Avg Inventory]],"-")</f>
        <v>0.58695652173913049</v>
      </c>
      <c r="W193" s="6"/>
      <c r="X193" s="6"/>
      <c r="Y193" s="6"/>
      <c r="Z193" s="6"/>
      <c r="AA193" s="6"/>
      <c r="AB193" s="6"/>
      <c r="AC193" s="6"/>
      <c r="AD193" s="6"/>
      <c r="AE193" s="6"/>
      <c r="AF193" s="6"/>
      <c r="AG193" s="6"/>
      <c r="AH193" s="6"/>
      <c r="AI193" s="6"/>
      <c r="AJ193" s="6"/>
      <c r="AK193" s="6"/>
      <c r="AL193" s="26" t="s">
        <v>360</v>
      </c>
      <c r="AM193" s="24">
        <v>45369</v>
      </c>
      <c r="AN193" s="24" t="s">
        <v>53</v>
      </c>
      <c r="AO193" s="24" t="s">
        <v>17</v>
      </c>
      <c r="AP193" s="24" t="s">
        <v>33</v>
      </c>
      <c r="AQ193" s="24">
        <v>119</v>
      </c>
      <c r="AR193" s="24">
        <v>36</v>
      </c>
      <c r="AS193" s="24">
        <v>155</v>
      </c>
      <c r="AT193" s="24">
        <v>221</v>
      </c>
      <c r="AU193" s="24">
        <v>78</v>
      </c>
      <c r="AV193" s="24">
        <v>14</v>
      </c>
      <c r="AW193" s="24">
        <v>402</v>
      </c>
      <c r="AX193" s="24">
        <v>795</v>
      </c>
      <c r="AY193" s="24">
        <v>0.23225806451612904</v>
      </c>
      <c r="AZ193" s="24">
        <v>0.23225806451612904</v>
      </c>
      <c r="BA193" s="24">
        <v>119</v>
      </c>
      <c r="BB193" s="24">
        <v>47838</v>
      </c>
      <c r="BC193" s="24" t="s">
        <v>547</v>
      </c>
      <c r="BD193" s="27" t="s">
        <v>562</v>
      </c>
    </row>
    <row r="194" spans="1:56" x14ac:dyDescent="0.3">
      <c r="A194" s="38" t="s">
        <v>224</v>
      </c>
      <c r="B194" s="39">
        <v>45645</v>
      </c>
      <c r="C194" s="38" t="s">
        <v>16</v>
      </c>
      <c r="D194" s="38" t="s">
        <v>20</v>
      </c>
      <c r="E194" s="38" t="s">
        <v>38</v>
      </c>
      <c r="F194" s="40">
        <v>47</v>
      </c>
      <c r="G194" s="38">
        <v>95</v>
      </c>
      <c r="H194" s="38">
        <f>IFERROR('Automated raw'!$F194+'Automated raw'!$G194,"-")</f>
        <v>142</v>
      </c>
      <c r="I194" s="38">
        <v>61</v>
      </c>
      <c r="J194" s="38">
        <v>59</v>
      </c>
      <c r="K194" s="38">
        <v>7</v>
      </c>
      <c r="L194" s="38">
        <v>994</v>
      </c>
      <c r="M194" s="38">
        <v>2382</v>
      </c>
      <c r="N194" s="38">
        <f>'Automated raw'!$G194/'Automated raw'!$H194</f>
        <v>0.66901408450704225</v>
      </c>
      <c r="O194" s="41">
        <f>IFERROR('Automated raw'!$G194/'Automated raw'!$H194,"incomplete")</f>
        <v>0.66901408450704225</v>
      </c>
      <c r="P194" s="38">
        <f>'Automated raw'!$F194</f>
        <v>47</v>
      </c>
      <c r="Q194" s="42">
        <f>IFERROR('Automated raw'!$P194*'Automated raw'!$L194,0)</f>
        <v>46718</v>
      </c>
      <c r="R194" s="38" t="str">
        <f>IF('Automated raw'!$O194&gt;=60%,"High",IF('Automated raw'!$O194&gt;=30%,"Avg",IF('Automated raw'!$O194&lt;30%,"Dead Stock","Incomplete")))</f>
        <v>High</v>
      </c>
      <c r="S194" s="43" t="str">
        <f>TEXT('Automated raw'!$B194,"mmm")</f>
        <v>Dec</v>
      </c>
      <c r="T194" s="82">
        <f>'Automated raw'!$G194*'Automated raw'!$M194</f>
        <v>226290</v>
      </c>
      <c r="U194" s="6">
        <f>IFERROR((Table7[[#This Row],[Stock In(Total)]]+Table7[[#This Row],[In Stock or Remaining]])/2,"-")</f>
        <v>94.5</v>
      </c>
      <c r="V194" s="93">
        <f>IFERROR(Table7[[#This Row],[Stock_Out]]/Table7[[#This Row],[Avg Inventory]],"-")</f>
        <v>1.0052910052910053</v>
      </c>
      <c r="W194" s="6"/>
      <c r="X194" s="6"/>
      <c r="Y194" s="6"/>
      <c r="Z194" s="6"/>
      <c r="AA194" s="6"/>
      <c r="AB194" s="6"/>
      <c r="AC194" s="6"/>
      <c r="AD194" s="6"/>
      <c r="AE194" s="6"/>
      <c r="AF194" s="6"/>
      <c r="AG194" s="6"/>
      <c r="AH194" s="6"/>
      <c r="AI194" s="6"/>
      <c r="AJ194" s="6"/>
      <c r="AK194" s="6"/>
      <c r="AL194" s="26" t="s">
        <v>54</v>
      </c>
      <c r="AM194" s="24">
        <v>45395</v>
      </c>
      <c r="AN194" s="24" t="s">
        <v>12</v>
      </c>
      <c r="AO194" s="24" t="s">
        <v>13</v>
      </c>
      <c r="AP194" s="24" t="s">
        <v>38</v>
      </c>
      <c r="AQ194" s="24">
        <v>121</v>
      </c>
      <c r="AR194" s="24">
        <v>13</v>
      </c>
      <c r="AS194" s="24">
        <v>134</v>
      </c>
      <c r="AT194" s="24">
        <v>183</v>
      </c>
      <c r="AU194" s="24">
        <v>42</v>
      </c>
      <c r="AV194" s="24">
        <v>7</v>
      </c>
      <c r="AW194" s="24">
        <v>364</v>
      </c>
      <c r="AX194" s="24">
        <v>1744</v>
      </c>
      <c r="AY194" s="24">
        <v>9.7014925373134331E-2</v>
      </c>
      <c r="AZ194" s="24">
        <v>9.7014925373134331E-2</v>
      </c>
      <c r="BA194" s="24">
        <v>121</v>
      </c>
      <c r="BB194" s="24">
        <v>44044</v>
      </c>
      <c r="BC194" s="24" t="s">
        <v>547</v>
      </c>
      <c r="BD194" s="27" t="s">
        <v>558</v>
      </c>
    </row>
    <row r="195" spans="1:56" x14ac:dyDescent="0.3">
      <c r="A195" s="44" t="s">
        <v>225</v>
      </c>
      <c r="B195" s="45">
        <v>45419</v>
      </c>
      <c r="C195" s="44" t="s">
        <v>16</v>
      </c>
      <c r="D195" s="44" t="s">
        <v>17</v>
      </c>
      <c r="E195" s="44" t="s">
        <v>33</v>
      </c>
      <c r="F195" s="40">
        <v>36</v>
      </c>
      <c r="G195" s="44">
        <v>14</v>
      </c>
      <c r="H195" s="44">
        <f>IFERROR('Automated raw'!$F195+'Automated raw'!$G195,"-")</f>
        <v>50</v>
      </c>
      <c r="I195" s="44">
        <v>48</v>
      </c>
      <c r="J195" s="44">
        <v>37</v>
      </c>
      <c r="K195" s="44">
        <v>11</v>
      </c>
      <c r="L195" s="44">
        <v>1333</v>
      </c>
      <c r="M195" s="44">
        <v>2353</v>
      </c>
      <c r="N195" s="44">
        <f>'Automated raw'!$G195/'Automated raw'!$H195</f>
        <v>0.28000000000000003</v>
      </c>
      <c r="O195" s="46">
        <f>IFERROR('Automated raw'!$G195/'Automated raw'!$H195,"incomplete")</f>
        <v>0.28000000000000003</v>
      </c>
      <c r="P195" s="44">
        <f>'Automated raw'!$F195</f>
        <v>36</v>
      </c>
      <c r="Q195" s="47">
        <f>IFERROR('Automated raw'!$P195*'Automated raw'!$L195,0)</f>
        <v>47988</v>
      </c>
      <c r="R195" s="44" t="str">
        <f>IF('Automated raw'!$O195&gt;=60%,"High",IF('Automated raw'!$O195&gt;=30%,"Avg",IF('Automated raw'!$O195&lt;30%,"Dead Stock","Incomplete")))</f>
        <v>Dead Stock</v>
      </c>
      <c r="S195" s="48" t="str">
        <f>TEXT('Automated raw'!$B195,"mmm")</f>
        <v>May</v>
      </c>
      <c r="T195" s="83">
        <f>'Automated raw'!$G195*'Automated raw'!$M195</f>
        <v>32942</v>
      </c>
      <c r="U195" s="6">
        <f>IFERROR((Table7[[#This Row],[Stock In(Total)]]+Table7[[#This Row],[In Stock or Remaining]])/2,"-")</f>
        <v>43</v>
      </c>
      <c r="V195" s="93">
        <f>IFERROR(Table7[[#This Row],[Stock_Out]]/Table7[[#This Row],[Avg Inventory]],"-")</f>
        <v>0.32558139534883723</v>
      </c>
      <c r="W195" s="6"/>
      <c r="X195" s="6"/>
      <c r="Y195" s="6"/>
      <c r="Z195" s="6"/>
      <c r="AA195" s="6"/>
      <c r="AB195" s="6"/>
      <c r="AC195" s="6"/>
      <c r="AD195" s="6"/>
      <c r="AE195" s="6"/>
      <c r="AF195" s="6"/>
      <c r="AG195" s="6"/>
      <c r="AH195" s="6"/>
      <c r="AI195" s="6"/>
      <c r="AJ195" s="6"/>
      <c r="AK195" s="6"/>
      <c r="AL195" s="26" t="s">
        <v>87</v>
      </c>
      <c r="AM195" s="24">
        <v>45313</v>
      </c>
      <c r="AN195" s="24" t="s">
        <v>19</v>
      </c>
      <c r="AO195" s="24" t="s">
        <v>17</v>
      </c>
      <c r="AP195" s="24" t="s">
        <v>33</v>
      </c>
      <c r="AQ195" s="24">
        <v>84</v>
      </c>
      <c r="AR195" s="24">
        <v>1</v>
      </c>
      <c r="AS195" s="24">
        <v>85</v>
      </c>
      <c r="AT195" s="24">
        <v>47</v>
      </c>
      <c r="AU195" s="24">
        <v>49</v>
      </c>
      <c r="AV195" s="24">
        <v>5</v>
      </c>
      <c r="AW195" s="24">
        <v>503</v>
      </c>
      <c r="AX195" s="24">
        <v>766</v>
      </c>
      <c r="AY195" s="24">
        <v>1.1764705882352941E-2</v>
      </c>
      <c r="AZ195" s="24">
        <v>1.1764705882352941E-2</v>
      </c>
      <c r="BA195" s="24">
        <v>84</v>
      </c>
      <c r="BB195" s="24">
        <v>42252</v>
      </c>
      <c r="BC195" s="24" t="s">
        <v>547</v>
      </c>
      <c r="BD195" s="27" t="s">
        <v>557</v>
      </c>
    </row>
    <row r="196" spans="1:56" x14ac:dyDescent="0.3">
      <c r="A196" s="38" t="s">
        <v>226</v>
      </c>
      <c r="B196" s="39">
        <v>45550</v>
      </c>
      <c r="C196" s="38" t="s">
        <v>12</v>
      </c>
      <c r="D196" s="38" t="s">
        <v>20</v>
      </c>
      <c r="E196" s="38" t="s">
        <v>38</v>
      </c>
      <c r="F196" s="40">
        <v>65</v>
      </c>
      <c r="G196" s="38">
        <v>26</v>
      </c>
      <c r="H196" s="38">
        <f>IFERROR('Automated raw'!$F196+'Automated raw'!$G196,"-")</f>
        <v>91</v>
      </c>
      <c r="I196" s="38">
        <v>13</v>
      </c>
      <c r="J196" s="38">
        <v>36</v>
      </c>
      <c r="K196" s="38">
        <v>5</v>
      </c>
      <c r="L196" s="38">
        <v>827</v>
      </c>
      <c r="M196" s="38">
        <v>1594</v>
      </c>
      <c r="N196" s="38">
        <f>'Automated raw'!$G196/'Automated raw'!$H196</f>
        <v>0.2857142857142857</v>
      </c>
      <c r="O196" s="41">
        <f>IFERROR('Automated raw'!$G196/'Automated raw'!$H196,"incomplete")</f>
        <v>0.2857142857142857</v>
      </c>
      <c r="P196" s="38">
        <f>'Automated raw'!$F196</f>
        <v>65</v>
      </c>
      <c r="Q196" s="42">
        <f>IFERROR('Automated raw'!$P196*'Automated raw'!$L196,0)</f>
        <v>53755</v>
      </c>
      <c r="R196" s="38" t="str">
        <f>IF('Automated raw'!$O196&gt;=60%,"High",IF('Automated raw'!$O196&gt;=30%,"Avg",IF('Automated raw'!$O196&lt;30%,"Dead Stock","Incomplete")))</f>
        <v>Dead Stock</v>
      </c>
      <c r="S196" s="43" t="str">
        <f>TEXT('Automated raw'!$B196,"mmm")</f>
        <v>Sep</v>
      </c>
      <c r="T196" s="82">
        <f>'Automated raw'!$G196*'Automated raw'!$M196</f>
        <v>41444</v>
      </c>
      <c r="U196" s="6">
        <f>IFERROR((Table7[[#This Row],[Stock In(Total)]]+Table7[[#This Row],[In Stock or Remaining]])/2,"-")</f>
        <v>78</v>
      </c>
      <c r="V196" s="93">
        <f>IFERROR(Table7[[#This Row],[Stock_Out]]/Table7[[#This Row],[Avg Inventory]],"-")</f>
        <v>0.33333333333333331</v>
      </c>
      <c r="W196" s="6"/>
      <c r="X196" s="6"/>
      <c r="Y196" s="6"/>
      <c r="Z196" s="6"/>
      <c r="AA196" s="6"/>
      <c r="AB196" s="6"/>
      <c r="AC196" s="6"/>
      <c r="AD196" s="6"/>
      <c r="AE196" s="6"/>
      <c r="AF196" s="6"/>
      <c r="AG196" s="6"/>
      <c r="AH196" s="6"/>
      <c r="AI196" s="6"/>
      <c r="AJ196" s="6"/>
      <c r="AK196" s="6"/>
      <c r="AL196" s="26" t="s">
        <v>128</v>
      </c>
      <c r="AM196" s="24">
        <v>45555</v>
      </c>
      <c r="AN196" s="24" t="s">
        <v>37</v>
      </c>
      <c r="AO196" s="24" t="s">
        <v>20</v>
      </c>
      <c r="AP196" s="24" t="s">
        <v>33</v>
      </c>
      <c r="AQ196" s="24">
        <v>28</v>
      </c>
      <c r="AR196" s="24">
        <v>4</v>
      </c>
      <c r="AS196" s="24">
        <v>32</v>
      </c>
      <c r="AT196" s="24">
        <v>278</v>
      </c>
      <c r="AU196" s="24">
        <v>62</v>
      </c>
      <c r="AV196" s="24">
        <v>11</v>
      </c>
      <c r="AW196" s="24">
        <v>1495</v>
      </c>
      <c r="AX196" s="24">
        <v>1908</v>
      </c>
      <c r="AY196" s="24">
        <v>0.125</v>
      </c>
      <c r="AZ196" s="24">
        <v>0.125</v>
      </c>
      <c r="BA196" s="24">
        <v>28</v>
      </c>
      <c r="BB196" s="24">
        <v>41860</v>
      </c>
      <c r="BC196" s="24" t="s">
        <v>547</v>
      </c>
      <c r="BD196" s="27" t="s">
        <v>560</v>
      </c>
    </row>
    <row r="197" spans="1:56" x14ac:dyDescent="0.3">
      <c r="A197" s="44" t="s">
        <v>227</v>
      </c>
      <c r="B197" s="45">
        <v>45531</v>
      </c>
      <c r="C197" s="44" t="s">
        <v>19</v>
      </c>
      <c r="D197" s="44" t="s">
        <v>13</v>
      </c>
      <c r="E197" s="44" t="s">
        <v>38</v>
      </c>
      <c r="F197" s="40">
        <v>86</v>
      </c>
      <c r="G197" s="44">
        <v>15</v>
      </c>
      <c r="H197" s="44">
        <f>IFERROR('Automated raw'!$F197+'Automated raw'!$G197,"-")</f>
        <v>101</v>
      </c>
      <c r="I197" s="44">
        <v>272</v>
      </c>
      <c r="J197" s="44">
        <v>56</v>
      </c>
      <c r="K197" s="44">
        <v>13</v>
      </c>
      <c r="L197" s="44">
        <v>624</v>
      </c>
      <c r="M197" s="44">
        <v>1526</v>
      </c>
      <c r="N197" s="44">
        <f>'Automated raw'!$G197/'Automated raw'!$H197</f>
        <v>0.14851485148514851</v>
      </c>
      <c r="O197" s="46">
        <f>IFERROR('Automated raw'!$G197/'Automated raw'!$H197,"incomplete")</f>
        <v>0.14851485148514851</v>
      </c>
      <c r="P197" s="44">
        <f>'Automated raw'!$F197</f>
        <v>86</v>
      </c>
      <c r="Q197" s="47">
        <f>IFERROR('Automated raw'!$P197*'Automated raw'!$L197,0)</f>
        <v>53664</v>
      </c>
      <c r="R197" s="44" t="str">
        <f>IF('Automated raw'!$O197&gt;=60%,"High",IF('Automated raw'!$O197&gt;=30%,"Avg",IF('Automated raw'!$O197&lt;30%,"Dead Stock","Incomplete")))</f>
        <v>Dead Stock</v>
      </c>
      <c r="S197" s="48" t="str">
        <f>TEXT('Automated raw'!$B197,"mmm")</f>
        <v>Aug</v>
      </c>
      <c r="T197" s="83">
        <f>'Automated raw'!$G197*'Automated raw'!$M197</f>
        <v>22890</v>
      </c>
      <c r="U197" s="6">
        <f>IFERROR((Table7[[#This Row],[Stock In(Total)]]+Table7[[#This Row],[In Stock or Remaining]])/2,"-")</f>
        <v>93.5</v>
      </c>
      <c r="V197" s="93">
        <f>IFERROR(Table7[[#This Row],[Stock_Out]]/Table7[[#This Row],[Avg Inventory]],"-")</f>
        <v>0.16042780748663102</v>
      </c>
      <c r="W197" s="6"/>
      <c r="X197" s="6"/>
      <c r="Y197" s="6"/>
      <c r="Z197" s="6"/>
      <c r="AA197" s="6"/>
      <c r="AB197" s="6"/>
      <c r="AC197" s="6"/>
      <c r="AD197" s="6"/>
      <c r="AE197" s="6"/>
      <c r="AF197" s="6"/>
      <c r="AG197" s="6"/>
      <c r="AH197" s="6"/>
      <c r="AI197" s="6"/>
      <c r="AJ197" s="6"/>
      <c r="AK197" s="6"/>
      <c r="AL197" s="26" t="s">
        <v>109</v>
      </c>
      <c r="AM197" s="24">
        <v>45656</v>
      </c>
      <c r="AN197" s="24" t="s">
        <v>53</v>
      </c>
      <c r="AO197" s="24" t="s">
        <v>17</v>
      </c>
      <c r="AP197" s="24" t="s">
        <v>33</v>
      </c>
      <c r="AQ197" s="24">
        <v>38</v>
      </c>
      <c r="AR197" s="24">
        <v>7</v>
      </c>
      <c r="AS197" s="24">
        <v>45</v>
      </c>
      <c r="AT197" s="24">
        <v>49</v>
      </c>
      <c r="AU197" s="24">
        <v>58</v>
      </c>
      <c r="AV197" s="24">
        <v>11</v>
      </c>
      <c r="AW197" s="24">
        <v>991</v>
      </c>
      <c r="AX197" s="24">
        <v>2483</v>
      </c>
      <c r="AY197" s="24">
        <v>0.15555555555555556</v>
      </c>
      <c r="AZ197" s="24">
        <v>0.15555555555555556</v>
      </c>
      <c r="BA197" s="24">
        <v>38</v>
      </c>
      <c r="BB197" s="24">
        <v>37658</v>
      </c>
      <c r="BC197" s="24" t="s">
        <v>547</v>
      </c>
      <c r="BD197" s="27" t="s">
        <v>563</v>
      </c>
    </row>
    <row r="198" spans="1:56" x14ac:dyDescent="0.3">
      <c r="A198" s="44" t="s">
        <v>440</v>
      </c>
      <c r="B198" s="45">
        <v>45489</v>
      </c>
      <c r="C198" s="44" t="s">
        <v>53</v>
      </c>
      <c r="D198" s="44" t="s">
        <v>17</v>
      </c>
      <c r="E198" s="44" t="s">
        <v>21</v>
      </c>
      <c r="F198" s="40">
        <v>147</v>
      </c>
      <c r="G198" s="44">
        <v>97</v>
      </c>
      <c r="H198" s="44">
        <f>IFERROR('Automated raw'!$F407+'Automated raw'!$G407,"-")</f>
        <v>144</v>
      </c>
      <c r="I198" s="44">
        <v>146</v>
      </c>
      <c r="J198" s="44">
        <v>78</v>
      </c>
      <c r="K198" s="44">
        <v>7</v>
      </c>
      <c r="L198" s="44">
        <v>706</v>
      </c>
      <c r="M198" s="44">
        <v>1549</v>
      </c>
      <c r="N198" s="44">
        <f>'Automated raw'!$G407/'Automated raw'!$H407</f>
        <v>0.60162601626016265</v>
      </c>
      <c r="O198" s="46">
        <f>IFERROR('Automated raw'!$G407/'Automated raw'!$H407,"incomplete")</f>
        <v>0.60162601626016265</v>
      </c>
      <c r="P198" s="44">
        <f>'Automated raw'!$F407</f>
        <v>70</v>
      </c>
      <c r="Q198" s="47">
        <f>IFERROR('Automated raw'!$P407*'Automated raw'!$L407,0)</f>
        <v>108640</v>
      </c>
      <c r="R198" s="44" t="str">
        <f>IF('Automated raw'!$O407&gt;=60%,"High",IF('Automated raw'!$O407&gt;=30%,"Avg",IF('Automated raw'!$O407&lt;30%,"Dead Stock","Incomplete")))</f>
        <v>Dead Stock</v>
      </c>
      <c r="S198" s="48" t="str">
        <f>TEXT('Automated raw'!$B407,"mmm")</f>
        <v>Jul</v>
      </c>
      <c r="T198" s="83">
        <f>'Automated raw'!$G407*'Automated raw'!$M407</f>
        <v>132608</v>
      </c>
      <c r="U198" s="6">
        <f>IFERROR((Table7[[#This Row],[Stock In(Total)]]+Table7[[#This Row],[In Stock or Remaining]])/2,"-")</f>
        <v>145.5</v>
      </c>
      <c r="V198" s="93">
        <f>IFERROR(Table7[[#This Row],[Stock_Out]]/Table7[[#This Row],[Avg Inventory]],"-")</f>
        <v>0.66666666666666663</v>
      </c>
      <c r="W198" s="6"/>
      <c r="X198" s="6"/>
      <c r="Y198" s="6"/>
      <c r="Z198" s="6"/>
      <c r="AA198" s="6"/>
      <c r="AB198" s="6"/>
      <c r="AC198" s="6"/>
      <c r="AD198" s="6"/>
      <c r="AE198" s="6"/>
      <c r="AF198" s="6"/>
      <c r="AG198" s="6"/>
      <c r="AH198" s="6"/>
      <c r="AI198" s="6"/>
      <c r="AJ198" s="6"/>
      <c r="AK198" s="6"/>
      <c r="AL198" s="26" t="s">
        <v>318</v>
      </c>
      <c r="AM198" s="24">
        <v>45536</v>
      </c>
      <c r="AN198" s="24" t="s">
        <v>12</v>
      </c>
      <c r="AO198" s="24" t="s">
        <v>13</v>
      </c>
      <c r="AP198" s="24" t="s">
        <v>33</v>
      </c>
      <c r="AQ198" s="24">
        <v>96</v>
      </c>
      <c r="AR198" s="24">
        <v>39</v>
      </c>
      <c r="AS198" s="24">
        <v>135</v>
      </c>
      <c r="AT198" s="24">
        <v>132</v>
      </c>
      <c r="AU198" s="24">
        <v>65</v>
      </c>
      <c r="AV198" s="24">
        <v>13</v>
      </c>
      <c r="AW198" s="24">
        <v>378</v>
      </c>
      <c r="AX198" s="24">
        <v>1195</v>
      </c>
      <c r="AY198" s="24">
        <v>0.28888888888888886</v>
      </c>
      <c r="AZ198" s="24">
        <v>0.28888888888888886</v>
      </c>
      <c r="BA198" s="24">
        <v>96</v>
      </c>
      <c r="BB198" s="24">
        <v>36288</v>
      </c>
      <c r="BC198" s="24" t="s">
        <v>547</v>
      </c>
      <c r="BD198" s="27" t="s">
        <v>560</v>
      </c>
    </row>
    <row r="199" spans="1:56" x14ac:dyDescent="0.3">
      <c r="A199" s="44" t="s">
        <v>229</v>
      </c>
      <c r="B199" s="45">
        <v>45489</v>
      </c>
      <c r="C199" s="44" t="s">
        <v>30</v>
      </c>
      <c r="D199" s="44" t="s">
        <v>13</v>
      </c>
      <c r="E199" s="44" t="s">
        <v>23</v>
      </c>
      <c r="F199" s="40">
        <v>50</v>
      </c>
      <c r="G199" s="44">
        <v>20</v>
      </c>
      <c r="H199" s="44">
        <f>IFERROR('Automated raw'!$F199+'Automated raw'!$G199,"-")</f>
        <v>70</v>
      </c>
      <c r="I199" s="44">
        <v>266</v>
      </c>
      <c r="J199" s="44">
        <v>73</v>
      </c>
      <c r="K199" s="44">
        <v>7</v>
      </c>
      <c r="L199" s="44">
        <v>1670</v>
      </c>
      <c r="M199" s="44">
        <v>2516</v>
      </c>
      <c r="N199" s="44">
        <f>'Automated raw'!$G199/'Automated raw'!$H199</f>
        <v>0.2857142857142857</v>
      </c>
      <c r="O199" s="46">
        <f>IFERROR('Automated raw'!$G199/'Automated raw'!$H199,"incomplete")</f>
        <v>0.2857142857142857</v>
      </c>
      <c r="P199" s="44">
        <f>'Automated raw'!$F199</f>
        <v>50</v>
      </c>
      <c r="Q199" s="47">
        <f>IFERROR('Automated raw'!$P199*'Automated raw'!$L199,0)</f>
        <v>83500</v>
      </c>
      <c r="R199" s="44" t="str">
        <f>IF('Automated raw'!$O199&gt;=60%,"High",IF('Automated raw'!$O199&gt;=30%,"Avg",IF('Automated raw'!$O199&lt;30%,"Dead Stock","Incomplete")))</f>
        <v>Dead Stock</v>
      </c>
      <c r="S199" s="48" t="str">
        <f>TEXT('Automated raw'!$B199,"mmm")</f>
        <v>Jul</v>
      </c>
      <c r="T199" s="83">
        <f>'Automated raw'!$G199*'Automated raw'!$M199</f>
        <v>50320</v>
      </c>
      <c r="U199" s="6">
        <f>IFERROR((Table7[[#This Row],[Stock In(Total)]]+Table7[[#This Row],[In Stock or Remaining]])/2,"-")</f>
        <v>60</v>
      </c>
      <c r="V199" s="93">
        <f>IFERROR(Table7[[#This Row],[Stock_Out]]/Table7[[#This Row],[Avg Inventory]],"-")</f>
        <v>0.33333333333333331</v>
      </c>
      <c r="W199" s="6"/>
      <c r="X199" s="6"/>
      <c r="Y199" s="6"/>
      <c r="Z199" s="6"/>
      <c r="AA199" s="6"/>
      <c r="AB199" s="6"/>
      <c r="AC199" s="6"/>
      <c r="AD199" s="6"/>
      <c r="AE199" s="6"/>
      <c r="AF199" s="6"/>
      <c r="AG199" s="6"/>
      <c r="AH199" s="6"/>
      <c r="AI199" s="6"/>
      <c r="AJ199" s="6"/>
      <c r="AK199" s="6"/>
      <c r="AL199" s="26" t="s">
        <v>133</v>
      </c>
      <c r="AM199" s="24">
        <v>45533</v>
      </c>
      <c r="AN199" s="24" t="s">
        <v>12</v>
      </c>
      <c r="AO199" s="24" t="s">
        <v>20</v>
      </c>
      <c r="AP199" s="24" t="s">
        <v>23</v>
      </c>
      <c r="AQ199" s="24">
        <v>67</v>
      </c>
      <c r="AR199" s="24">
        <v>8</v>
      </c>
      <c r="AS199" s="24">
        <v>75</v>
      </c>
      <c r="AT199" s="24">
        <v>48</v>
      </c>
      <c r="AU199" s="24">
        <v>64</v>
      </c>
      <c r="AV199" s="24">
        <v>8</v>
      </c>
      <c r="AW199" s="24">
        <v>517</v>
      </c>
      <c r="AX199" s="24">
        <v>1957</v>
      </c>
      <c r="AY199" s="24">
        <v>0.10666666666666667</v>
      </c>
      <c r="AZ199" s="24">
        <v>0.10666666666666667</v>
      </c>
      <c r="BA199" s="24">
        <v>67</v>
      </c>
      <c r="BB199" s="24">
        <v>34639</v>
      </c>
      <c r="BC199" s="24" t="s">
        <v>547</v>
      </c>
      <c r="BD199" s="27" t="s">
        <v>554</v>
      </c>
    </row>
    <row r="200" spans="1:56" x14ac:dyDescent="0.3">
      <c r="A200" s="44" t="s">
        <v>144</v>
      </c>
      <c r="B200" s="45">
        <v>45402</v>
      </c>
      <c r="C200" s="44" t="s">
        <v>30</v>
      </c>
      <c r="D200" s="44" t="s">
        <v>20</v>
      </c>
      <c r="E200" s="44" t="s">
        <v>23</v>
      </c>
      <c r="F200" s="40">
        <v>140</v>
      </c>
      <c r="G200" s="44">
        <v>93</v>
      </c>
      <c r="H200" s="44">
        <f>IFERROR('Automated raw'!$F117+'Automated raw'!$G117,"-")</f>
        <v>223</v>
      </c>
      <c r="I200" s="44">
        <v>270</v>
      </c>
      <c r="J200" s="44">
        <v>30</v>
      </c>
      <c r="K200" s="44">
        <v>11</v>
      </c>
      <c r="L200" s="44">
        <v>1853</v>
      </c>
      <c r="M200" s="44">
        <v>3252</v>
      </c>
      <c r="N200" s="44">
        <f>'Automated raw'!$G117/'Automated raw'!$H117</f>
        <v>0.34763948497854075</v>
      </c>
      <c r="O200" s="46">
        <f>IFERROR('Automated raw'!$G117/'Automated raw'!$H117,"incomplete")</f>
        <v>0.34763948497854075</v>
      </c>
      <c r="P200" s="44">
        <f>'Automated raw'!$F117</f>
        <v>142</v>
      </c>
      <c r="Q200" s="47">
        <f>IFERROR('Automated raw'!$P117*'Automated raw'!$L117,0)</f>
        <v>80262</v>
      </c>
      <c r="R200" s="44" t="str">
        <f>IF('Automated raw'!$O117&gt;=60%,"High",IF('Automated raw'!$O117&gt;=30%,"Avg",IF('Automated raw'!$O117&lt;30%,"Dead Stock","Incomplete")))</f>
        <v>High</v>
      </c>
      <c r="S200" s="48" t="str">
        <f>TEXT('Automated raw'!$B117,"mmm")</f>
        <v>Mar</v>
      </c>
      <c r="T200" s="83">
        <f>'Automated raw'!$G117*'Automated raw'!$M117</f>
        <v>90072</v>
      </c>
      <c r="U200" s="6">
        <f>IFERROR((Table7[[#This Row],[Stock In(Total)]]+Table7[[#This Row],[In Stock or Remaining]])/2,"-")</f>
        <v>181.5</v>
      </c>
      <c r="V200" s="93">
        <f>IFERROR(Table7[[#This Row],[Stock_Out]]/Table7[[#This Row],[Avg Inventory]],"-")</f>
        <v>0.51239669421487599</v>
      </c>
      <c r="W200" s="6"/>
      <c r="X200" s="6"/>
      <c r="Y200" s="6"/>
      <c r="Z200" s="6"/>
      <c r="AA200" s="6"/>
      <c r="AB200" s="6"/>
      <c r="AC200" s="6"/>
      <c r="AD200" s="6"/>
      <c r="AE200" s="6"/>
      <c r="AF200" s="6"/>
      <c r="AG200" s="6"/>
      <c r="AH200" s="6"/>
      <c r="AI200" s="6"/>
      <c r="AJ200" s="6"/>
      <c r="AK200" s="6"/>
      <c r="AL200" s="26" t="s">
        <v>470</v>
      </c>
      <c r="AM200" s="24">
        <v>45344</v>
      </c>
      <c r="AN200" s="24" t="s">
        <v>12</v>
      </c>
      <c r="AO200" s="24" t="s">
        <v>17</v>
      </c>
      <c r="AP200" s="24" t="s">
        <v>38</v>
      </c>
      <c r="AQ200" s="24">
        <v>116</v>
      </c>
      <c r="AR200" s="24">
        <v>41</v>
      </c>
      <c r="AS200" s="24">
        <v>157</v>
      </c>
      <c r="AT200" s="24">
        <v>273</v>
      </c>
      <c r="AU200" s="24">
        <v>80</v>
      </c>
      <c r="AV200" s="24">
        <v>5</v>
      </c>
      <c r="AW200" s="24">
        <v>286</v>
      </c>
      <c r="AX200" s="24">
        <v>755</v>
      </c>
      <c r="AY200" s="24">
        <v>0.26114649681528662</v>
      </c>
      <c r="AZ200" s="24">
        <v>0.26114649681528662</v>
      </c>
      <c r="BA200" s="24">
        <v>116</v>
      </c>
      <c r="BB200" s="24">
        <v>33176</v>
      </c>
      <c r="BC200" s="24" t="s">
        <v>547</v>
      </c>
      <c r="BD200" s="27" t="s">
        <v>555</v>
      </c>
    </row>
    <row r="201" spans="1:56" x14ac:dyDescent="0.3">
      <c r="A201" s="44" t="s">
        <v>253</v>
      </c>
      <c r="B201" s="45">
        <v>45507</v>
      </c>
      <c r="C201" s="44" t="s">
        <v>30</v>
      </c>
      <c r="D201" s="44" t="s">
        <v>17</v>
      </c>
      <c r="E201" s="44" t="s">
        <v>38</v>
      </c>
      <c r="F201" s="40">
        <v>135</v>
      </c>
      <c r="G201" s="44">
        <v>90</v>
      </c>
      <c r="H201" s="44">
        <f>IFERROR('Automated raw'!$F223+'Automated raw'!$G223,"-")</f>
        <v>215</v>
      </c>
      <c r="I201" s="44">
        <v>140</v>
      </c>
      <c r="J201" s="44">
        <v>70</v>
      </c>
      <c r="K201" s="44">
        <v>14</v>
      </c>
      <c r="L201" s="44">
        <v>1400</v>
      </c>
      <c r="M201" s="44">
        <v>2237</v>
      </c>
      <c r="N201" s="44">
        <f>'Automated raw'!$G223/'Automated raw'!$H223</f>
        <v>0.36475409836065575</v>
      </c>
      <c r="O201" s="46">
        <f>IFERROR('Automated raw'!$G223/'Automated raw'!$H223,"incomplete")</f>
        <v>0.36475409836065575</v>
      </c>
      <c r="P201" s="44">
        <f>'Automated raw'!$F223</f>
        <v>126</v>
      </c>
      <c r="Q201" s="47">
        <f>IFERROR('Automated raw'!$P223*'Automated raw'!$L223,0)</f>
        <v>197127</v>
      </c>
      <c r="R201" s="44" t="str">
        <f>IF('Automated raw'!$O223&gt;=60%,"High",IF('Automated raw'!$O223&gt;=30%,"Avg",IF('Automated raw'!$O223&lt;30%,"Dead Stock","Incomplete")))</f>
        <v>High</v>
      </c>
      <c r="S201" s="48" t="str">
        <f>TEXT('Automated raw'!$B223,"mmm")</f>
        <v>Sep</v>
      </c>
      <c r="T201" s="83">
        <f>'Automated raw'!$G223*'Automated raw'!$M223</f>
        <v>245729</v>
      </c>
      <c r="U201" s="6">
        <f>IFERROR((Table7[[#This Row],[Stock In(Total)]]+Table7[[#This Row],[In Stock or Remaining]])/2,"-")</f>
        <v>175</v>
      </c>
      <c r="V201" s="93">
        <f>IFERROR(Table7[[#This Row],[Stock_Out]]/Table7[[#This Row],[Avg Inventory]],"-")</f>
        <v>0.51428571428571423</v>
      </c>
      <c r="W201" s="6"/>
      <c r="X201" s="6"/>
      <c r="Y201" s="6"/>
      <c r="Z201" s="6"/>
      <c r="AA201" s="6"/>
      <c r="AB201" s="6"/>
      <c r="AC201" s="6"/>
      <c r="AD201" s="6"/>
      <c r="AE201" s="6"/>
      <c r="AF201" s="6"/>
      <c r="AG201" s="6"/>
      <c r="AH201" s="6"/>
      <c r="AI201" s="6"/>
      <c r="AJ201" s="6"/>
      <c r="AK201" s="6"/>
      <c r="AL201" s="26" t="s">
        <v>413</v>
      </c>
      <c r="AM201" s="24">
        <v>45443</v>
      </c>
      <c r="AN201" s="24" t="s">
        <v>50</v>
      </c>
      <c r="AO201" s="24" t="s">
        <v>20</v>
      </c>
      <c r="AP201" s="24" t="s">
        <v>21</v>
      </c>
      <c r="AQ201" s="24">
        <v>78</v>
      </c>
      <c r="AR201" s="24">
        <v>30</v>
      </c>
      <c r="AS201" s="24">
        <v>108</v>
      </c>
      <c r="AT201" s="24">
        <v>292</v>
      </c>
      <c r="AU201" s="24">
        <v>52</v>
      </c>
      <c r="AV201" s="24">
        <v>3</v>
      </c>
      <c r="AW201" s="24">
        <v>416</v>
      </c>
      <c r="AX201" s="24">
        <v>1080</v>
      </c>
      <c r="AY201" s="24">
        <v>0.27777777777777779</v>
      </c>
      <c r="AZ201" s="24">
        <v>0.27777777777777779</v>
      </c>
      <c r="BA201" s="24">
        <v>78</v>
      </c>
      <c r="BB201" s="24">
        <v>32448</v>
      </c>
      <c r="BC201" s="24" t="s">
        <v>547</v>
      </c>
      <c r="BD201" s="27" t="s">
        <v>561</v>
      </c>
    </row>
    <row r="202" spans="1:56" x14ac:dyDescent="0.3">
      <c r="A202" s="44" t="s">
        <v>300</v>
      </c>
      <c r="B202" s="45">
        <v>45546</v>
      </c>
      <c r="C202" s="44" t="s">
        <v>45</v>
      </c>
      <c r="D202" s="44" t="s">
        <v>17</v>
      </c>
      <c r="E202" s="44" t="s">
        <v>21</v>
      </c>
      <c r="F202" s="40">
        <v>123</v>
      </c>
      <c r="G202" s="44">
        <v>82</v>
      </c>
      <c r="H202" s="44">
        <f>IFERROR('Automated raw'!$F269+'Automated raw'!$G269,"-")</f>
        <v>104</v>
      </c>
      <c r="I202" s="44">
        <v>226</v>
      </c>
      <c r="J202" s="44">
        <v>71</v>
      </c>
      <c r="K202" s="44">
        <v>2</v>
      </c>
      <c r="L202" s="44">
        <v>1410</v>
      </c>
      <c r="M202" s="44">
        <v>2347</v>
      </c>
      <c r="N202" s="44">
        <f>'Automated raw'!$G269/'Automated raw'!$H269</f>
        <v>0.26136363636363635</v>
      </c>
      <c r="O202" s="46">
        <f>IFERROR('Automated raw'!$G269/'Automated raw'!$H269,"incomplete")</f>
        <v>0.26136363636363635</v>
      </c>
      <c r="P202" s="44">
        <f>'Automated raw'!$F269</f>
        <v>58</v>
      </c>
      <c r="Q202" s="47">
        <f>IFERROR('Automated raw'!$P269*'Automated raw'!$L269,0)</f>
        <v>165627</v>
      </c>
      <c r="R202" s="44" t="str">
        <f>IF('Automated raw'!$O269&gt;=60%,"High",IF('Automated raw'!$O269&gt;=30%,"Avg",IF('Automated raw'!$O269&lt;30%,"Dead Stock","Incomplete")))</f>
        <v>Avg</v>
      </c>
      <c r="S202" s="48" t="str">
        <f>TEXT('Automated raw'!$B269,"mmm")</f>
        <v>Jan</v>
      </c>
      <c r="T202" s="83">
        <f>'Automated raw'!$G269*'Automated raw'!$M269</f>
        <v>97842</v>
      </c>
      <c r="U202" s="6">
        <f>IFERROR((Table7[[#This Row],[Stock In(Total)]]+Table7[[#This Row],[In Stock or Remaining]])/2,"-")</f>
        <v>113.5</v>
      </c>
      <c r="V202" s="93">
        <f>IFERROR(Table7[[#This Row],[Stock_Out]]/Table7[[#This Row],[Avg Inventory]],"-")</f>
        <v>0.72246696035242286</v>
      </c>
      <c r="W202" s="6"/>
      <c r="X202" s="6"/>
      <c r="Y202" s="6"/>
      <c r="Z202" s="6"/>
      <c r="AA202" s="6"/>
      <c r="AB202" s="6"/>
      <c r="AC202" s="6"/>
      <c r="AD202" s="6"/>
      <c r="AE202" s="6"/>
      <c r="AF202" s="6"/>
      <c r="AG202" s="6"/>
      <c r="AH202" s="6"/>
      <c r="AI202" s="6"/>
      <c r="AJ202" s="6"/>
      <c r="AK202" s="6"/>
      <c r="AL202" s="26" t="s">
        <v>257</v>
      </c>
      <c r="AM202" s="24">
        <v>45611</v>
      </c>
      <c r="AN202" s="24" t="s">
        <v>12</v>
      </c>
      <c r="AO202" s="24" t="s">
        <v>20</v>
      </c>
      <c r="AP202" s="24" t="s">
        <v>33</v>
      </c>
      <c r="AQ202" s="24">
        <v>31</v>
      </c>
      <c r="AR202" s="24">
        <v>13</v>
      </c>
      <c r="AS202" s="24">
        <v>44</v>
      </c>
      <c r="AT202" s="24">
        <v>176</v>
      </c>
      <c r="AU202" s="24">
        <v>69</v>
      </c>
      <c r="AV202" s="24">
        <v>13</v>
      </c>
      <c r="AW202" s="24">
        <v>950</v>
      </c>
      <c r="AX202" s="24">
        <v>1761</v>
      </c>
      <c r="AY202" s="24">
        <v>0.29545454545454547</v>
      </c>
      <c r="AZ202" s="24">
        <v>0.29545454545454547</v>
      </c>
      <c r="BA202" s="24">
        <v>31</v>
      </c>
      <c r="BB202" s="24">
        <v>29450</v>
      </c>
      <c r="BC202" s="24" t="s">
        <v>547</v>
      </c>
      <c r="BD202" s="27" t="s">
        <v>564</v>
      </c>
    </row>
    <row r="203" spans="1:56" x14ac:dyDescent="0.3">
      <c r="A203" s="44" t="s">
        <v>430</v>
      </c>
      <c r="B203" s="45">
        <v>45637</v>
      </c>
      <c r="C203" s="44" t="s">
        <v>37</v>
      </c>
      <c r="D203" s="44" t="s">
        <v>13</v>
      </c>
      <c r="E203" s="44" t="s">
        <v>14</v>
      </c>
      <c r="F203" s="40">
        <v>126</v>
      </c>
      <c r="G203" s="44">
        <v>84</v>
      </c>
      <c r="H203" s="44">
        <f>IFERROR('Automated raw'!$F397+'Automated raw'!$G397,"-")</f>
        <v>96</v>
      </c>
      <c r="I203" s="44">
        <v>32</v>
      </c>
      <c r="J203" s="44">
        <v>41</v>
      </c>
      <c r="K203" s="44">
        <v>2</v>
      </c>
      <c r="L203" s="44">
        <v>1016</v>
      </c>
      <c r="M203" s="44">
        <v>2349</v>
      </c>
      <c r="N203" s="44">
        <f>'Automated raw'!$G397/'Automated raw'!$H397</f>
        <v>0.22374429223744291</v>
      </c>
      <c r="O203" s="46">
        <f>IFERROR('Automated raw'!$G397/'Automated raw'!$H397,"incomplete")</f>
        <v>0.22374429223744291</v>
      </c>
      <c r="P203" s="44">
        <f>'Automated raw'!$F397</f>
        <v>47</v>
      </c>
      <c r="Q203" s="47">
        <f>IFERROR('Automated raw'!$P397*'Automated raw'!$L397,0)</f>
        <v>243660</v>
      </c>
      <c r="R203" s="44" t="str">
        <f>IF('Automated raw'!$O397&gt;=60%,"High",IF('Automated raw'!$O397&gt;=30%,"Avg",IF('Automated raw'!$O397&lt;30%,"Dead Stock","Incomplete")))</f>
        <v>High</v>
      </c>
      <c r="S203" s="48" t="str">
        <f>TEXT('Automated raw'!$B397,"mmm")</f>
        <v>Apr</v>
      </c>
      <c r="T203" s="83">
        <f>'Automated raw'!$G397*'Automated raw'!$M397</f>
        <v>136171</v>
      </c>
      <c r="U203" s="6">
        <f>IFERROR((Table7[[#This Row],[Stock In(Total)]]+Table7[[#This Row],[In Stock or Remaining]])/2,"-")</f>
        <v>111</v>
      </c>
      <c r="V203" s="93">
        <f>IFERROR(Table7[[#This Row],[Stock_Out]]/Table7[[#This Row],[Avg Inventory]],"-")</f>
        <v>0.7567567567567568</v>
      </c>
      <c r="W203" s="6"/>
      <c r="X203" s="6"/>
      <c r="Y203" s="6"/>
      <c r="Z203" s="6"/>
      <c r="AA203" s="6"/>
      <c r="AB203" s="6"/>
      <c r="AC203" s="6"/>
      <c r="AD203" s="6"/>
      <c r="AE203" s="6"/>
      <c r="AF203" s="6"/>
      <c r="AG203" s="6"/>
      <c r="AH203" s="6"/>
      <c r="AI203" s="6"/>
      <c r="AJ203" s="6"/>
      <c r="AK203" s="6"/>
      <c r="AL203" s="26" t="s">
        <v>264</v>
      </c>
      <c r="AM203" s="24">
        <v>45451</v>
      </c>
      <c r="AN203" s="24" t="s">
        <v>53</v>
      </c>
      <c r="AO203" s="24" t="s">
        <v>13</v>
      </c>
      <c r="AP203" s="24" t="s">
        <v>21</v>
      </c>
      <c r="AQ203" s="24">
        <v>20</v>
      </c>
      <c r="AR203" s="24">
        <v>2</v>
      </c>
      <c r="AS203" s="24">
        <v>22</v>
      </c>
      <c r="AT203" s="24">
        <v>6</v>
      </c>
      <c r="AU203" s="24">
        <v>36</v>
      </c>
      <c r="AV203" s="24">
        <v>3</v>
      </c>
      <c r="AW203" s="24">
        <v>1415</v>
      </c>
      <c r="AX203" s="24">
        <v>2134</v>
      </c>
      <c r="AY203" s="24">
        <v>9.0909090909090912E-2</v>
      </c>
      <c r="AZ203" s="24">
        <v>9.0909090909090912E-2</v>
      </c>
      <c r="BA203" s="24">
        <v>20</v>
      </c>
      <c r="BB203" s="24">
        <v>28300</v>
      </c>
      <c r="BC203" s="24" t="s">
        <v>547</v>
      </c>
      <c r="BD203" s="27" t="s">
        <v>559</v>
      </c>
    </row>
    <row r="204" spans="1:56" x14ac:dyDescent="0.3">
      <c r="A204" s="38" t="s">
        <v>234</v>
      </c>
      <c r="B204" s="39">
        <v>45461</v>
      </c>
      <c r="C204" s="38" t="s">
        <v>19</v>
      </c>
      <c r="D204" s="38" t="s">
        <v>20</v>
      </c>
      <c r="E204" s="38" t="s">
        <v>33</v>
      </c>
      <c r="F204" s="40">
        <v>74</v>
      </c>
      <c r="G204" s="38">
        <v>16</v>
      </c>
      <c r="H204" s="38">
        <f>IFERROR('Automated raw'!$F204+'Automated raw'!$G204,"-")</f>
        <v>90</v>
      </c>
      <c r="I204" s="38">
        <v>296</v>
      </c>
      <c r="J204" s="38">
        <v>39</v>
      </c>
      <c r="K204" s="38">
        <v>9</v>
      </c>
      <c r="L204" s="38">
        <v>1921</v>
      </c>
      <c r="M204" s="38">
        <v>2541</v>
      </c>
      <c r="N204" s="38">
        <f>'Automated raw'!$G204/'Automated raw'!$H204</f>
        <v>0.17777777777777778</v>
      </c>
      <c r="O204" s="41">
        <f>IFERROR('Automated raw'!$G204/'Automated raw'!$H204,"incomplete")</f>
        <v>0.17777777777777778</v>
      </c>
      <c r="P204" s="38">
        <f>'Automated raw'!$F204</f>
        <v>74</v>
      </c>
      <c r="Q204" s="42">
        <f>IFERROR('Automated raw'!$P204*'Automated raw'!$L204,0)</f>
        <v>142154</v>
      </c>
      <c r="R204" s="38" t="str">
        <f>IF('Automated raw'!$O204&gt;=60%,"High",IF('Automated raw'!$O204&gt;=30%,"Avg",IF('Automated raw'!$O204&lt;30%,"Dead Stock","Incomplete")))</f>
        <v>Dead Stock</v>
      </c>
      <c r="S204" s="43" t="str">
        <f>TEXT('Automated raw'!$B204,"mmm")</f>
        <v>Jun</v>
      </c>
      <c r="T204" s="82">
        <f>'Automated raw'!$G204*'Automated raw'!$M204</f>
        <v>40656</v>
      </c>
      <c r="U204" s="6">
        <f>IFERROR((Table7[[#This Row],[Stock In(Total)]]+Table7[[#This Row],[In Stock or Remaining]])/2,"-")</f>
        <v>82</v>
      </c>
      <c r="V204" s="93">
        <f>IFERROR(Table7[[#This Row],[Stock_Out]]/Table7[[#This Row],[Avg Inventory]],"-")</f>
        <v>0.1951219512195122</v>
      </c>
      <c r="W204" s="6"/>
      <c r="X204" s="6"/>
      <c r="Y204" s="6"/>
      <c r="Z204" s="6"/>
      <c r="AA204" s="6"/>
      <c r="AB204" s="6"/>
      <c r="AC204" s="6"/>
      <c r="AD204" s="6"/>
      <c r="AE204" s="6"/>
      <c r="AF204" s="6"/>
      <c r="AG204" s="6"/>
      <c r="AH204" s="6"/>
      <c r="AI204" s="6"/>
      <c r="AJ204" s="6"/>
      <c r="AK204" s="6"/>
      <c r="AL204" s="26" t="s">
        <v>444</v>
      </c>
      <c r="AM204" s="24">
        <v>45475</v>
      </c>
      <c r="AN204" s="24" t="s">
        <v>151</v>
      </c>
      <c r="AO204" s="24" t="s">
        <v>20</v>
      </c>
      <c r="AP204" s="24" t="s">
        <v>21</v>
      </c>
      <c r="AQ204" s="24">
        <v>100</v>
      </c>
      <c r="AR204" s="24">
        <v>37</v>
      </c>
      <c r="AS204" s="24">
        <v>137</v>
      </c>
      <c r="AT204" s="24">
        <v>271</v>
      </c>
      <c r="AU204" s="24">
        <v>34</v>
      </c>
      <c r="AV204" s="24">
        <v>4</v>
      </c>
      <c r="AW204" s="24">
        <v>232</v>
      </c>
      <c r="AX204" s="24">
        <v>1606</v>
      </c>
      <c r="AY204" s="24">
        <v>0.27007299270072993</v>
      </c>
      <c r="AZ204" s="24">
        <v>0.27007299270072993</v>
      </c>
      <c r="BA204" s="24">
        <v>100</v>
      </c>
      <c r="BB204" s="24">
        <v>23200</v>
      </c>
      <c r="BC204" s="24" t="s">
        <v>547</v>
      </c>
      <c r="BD204" s="27" t="s">
        <v>556</v>
      </c>
    </row>
    <row r="205" spans="1:56" x14ac:dyDescent="0.3">
      <c r="A205" s="44" t="s">
        <v>235</v>
      </c>
      <c r="B205" s="45">
        <v>45448</v>
      </c>
      <c r="C205" s="44" t="s">
        <v>12</v>
      </c>
      <c r="D205" s="44" t="s">
        <v>13</v>
      </c>
      <c r="E205" s="44" t="s">
        <v>14</v>
      </c>
      <c r="F205" s="40">
        <v>55</v>
      </c>
      <c r="G205" s="44">
        <v>13</v>
      </c>
      <c r="H205" s="44">
        <f>IFERROR('Automated raw'!$F205+'Automated raw'!$G205,"-")</f>
        <v>68</v>
      </c>
      <c r="I205" s="44">
        <v>260</v>
      </c>
      <c r="J205" s="44">
        <v>34</v>
      </c>
      <c r="K205" s="44">
        <v>14</v>
      </c>
      <c r="L205" s="44">
        <v>1664</v>
      </c>
      <c r="M205" s="44">
        <v>3093</v>
      </c>
      <c r="N205" s="44">
        <f>'Automated raw'!$G205/'Automated raw'!$H205</f>
        <v>0.19117647058823528</v>
      </c>
      <c r="O205" s="46">
        <f>IFERROR('Automated raw'!$G205/'Automated raw'!$H205,"incomplete")</f>
        <v>0.19117647058823528</v>
      </c>
      <c r="P205" s="44">
        <f>'Automated raw'!$F205</f>
        <v>55</v>
      </c>
      <c r="Q205" s="47">
        <f>IFERROR('Automated raw'!$P205*'Automated raw'!$L205,0)</f>
        <v>91520</v>
      </c>
      <c r="R205" s="44" t="str">
        <f>IF('Automated raw'!$O205&gt;=60%,"High",IF('Automated raw'!$O205&gt;=30%,"Avg",IF('Automated raw'!$O205&lt;30%,"Dead Stock","Incomplete")))</f>
        <v>Dead Stock</v>
      </c>
      <c r="S205" s="48" t="str">
        <f>TEXT('Automated raw'!$B205,"mmm")</f>
        <v>Jun</v>
      </c>
      <c r="T205" s="83">
        <f>'Automated raw'!$G205*'Automated raw'!$M205</f>
        <v>40209</v>
      </c>
      <c r="U205" s="6">
        <f>IFERROR((Table7[[#This Row],[Stock In(Total)]]+Table7[[#This Row],[In Stock or Remaining]])/2,"-")</f>
        <v>61.5</v>
      </c>
      <c r="V205" s="93">
        <f>IFERROR(Table7[[#This Row],[Stock_Out]]/Table7[[#This Row],[Avg Inventory]],"-")</f>
        <v>0.21138211382113822</v>
      </c>
      <c r="W205" s="6"/>
      <c r="X205" s="6"/>
      <c r="Y205" s="6"/>
      <c r="Z205" s="6"/>
      <c r="AA205" s="6"/>
      <c r="AB205" s="6"/>
      <c r="AC205" s="6"/>
      <c r="AD205" s="6"/>
      <c r="AE205" s="6"/>
      <c r="AF205" s="6"/>
      <c r="AG205" s="6"/>
      <c r="AH205" s="6"/>
      <c r="AI205" s="6"/>
      <c r="AJ205" s="6"/>
      <c r="AK205" s="6"/>
      <c r="AL205" s="26" t="s">
        <v>77</v>
      </c>
      <c r="AM205" s="24">
        <v>45377</v>
      </c>
      <c r="AN205" s="24" t="s">
        <v>37</v>
      </c>
      <c r="AO205" s="24" t="s">
        <v>17</v>
      </c>
      <c r="AP205" s="24" t="s">
        <v>38</v>
      </c>
      <c r="AQ205" s="24">
        <v>87</v>
      </c>
      <c r="AR205" s="24">
        <v>17</v>
      </c>
      <c r="AS205" s="24">
        <v>104</v>
      </c>
      <c r="AT205" s="24">
        <v>202</v>
      </c>
      <c r="AU205" s="24">
        <v>64</v>
      </c>
      <c r="AV205" s="24">
        <v>11</v>
      </c>
      <c r="AW205" s="24">
        <v>259</v>
      </c>
      <c r="AX205" s="24">
        <v>1597</v>
      </c>
      <c r="AY205" s="24">
        <v>0.16346153846153846</v>
      </c>
      <c r="AZ205" s="24">
        <v>0.16346153846153846</v>
      </c>
      <c r="BA205" s="24">
        <v>87</v>
      </c>
      <c r="BB205" s="24">
        <v>22533</v>
      </c>
      <c r="BC205" s="24" t="s">
        <v>547</v>
      </c>
      <c r="BD205" s="27" t="s">
        <v>562</v>
      </c>
    </row>
    <row r="206" spans="1:56" x14ac:dyDescent="0.3">
      <c r="A206" s="44" t="s">
        <v>84</v>
      </c>
      <c r="B206" s="45">
        <v>45367</v>
      </c>
      <c r="C206" s="44" t="s">
        <v>26</v>
      </c>
      <c r="D206" s="44" t="s">
        <v>20</v>
      </c>
      <c r="E206" s="44" t="s">
        <v>33</v>
      </c>
      <c r="F206" s="40">
        <v>137</v>
      </c>
      <c r="G206" s="44">
        <v>92</v>
      </c>
      <c r="H206" s="44">
        <f>IFERROR('Automated raw'!$F57+'Automated raw'!$G57,"-")</f>
        <v>179</v>
      </c>
      <c r="I206" s="44">
        <v>79</v>
      </c>
      <c r="J206" s="44">
        <v>60</v>
      </c>
      <c r="K206" s="44">
        <v>11</v>
      </c>
      <c r="L206" s="44">
        <v>537</v>
      </c>
      <c r="M206" s="44">
        <v>1905</v>
      </c>
      <c r="N206" s="44">
        <f>'Automated raw'!$G57/'Automated raw'!$H57</f>
        <v>0.26851851851851855</v>
      </c>
      <c r="O206" s="46">
        <f>IFERROR('Automated raw'!$G57/'Automated raw'!$H57,"incomplete")</f>
        <v>0.26851851851851855</v>
      </c>
      <c r="P206" s="44">
        <f>'Automated raw'!$F57</f>
        <v>121</v>
      </c>
      <c r="Q206" s="47">
        <f>IFERROR('Automated raw'!$P57*'Automated raw'!$L57,0)</f>
        <v>184576</v>
      </c>
      <c r="R206" s="44" t="str">
        <f>IF('Automated raw'!$O57&gt;=60%,"High",IF('Automated raw'!$O57&gt;=30%,"Avg",IF('Automated raw'!$O57&lt;30%,"Dead Stock","Incomplete")))</f>
        <v>High</v>
      </c>
      <c r="S206" s="48" t="str">
        <f>TEXT('Automated raw'!$B57,"mmm")</f>
        <v>Jul</v>
      </c>
      <c r="T206" s="83">
        <f>'Automated raw'!$G57*'Automated raw'!$M57</f>
        <v>180322</v>
      </c>
      <c r="U206" s="6">
        <f>IFERROR((Table7[[#This Row],[Stock In(Total)]]+Table7[[#This Row],[In Stock or Remaining]])/2,"-")</f>
        <v>158</v>
      </c>
      <c r="V206" s="93">
        <f>IFERROR(Table7[[#This Row],[Stock_Out]]/Table7[[#This Row],[Avg Inventory]],"-")</f>
        <v>0.58227848101265822</v>
      </c>
      <c r="W206" s="6"/>
      <c r="X206" s="6"/>
      <c r="Y206" s="6"/>
      <c r="Z206" s="6"/>
      <c r="AA206" s="6"/>
      <c r="AB206" s="6"/>
      <c r="AC206" s="6"/>
      <c r="AD206" s="6"/>
      <c r="AE206" s="6"/>
      <c r="AF206" s="6"/>
      <c r="AG206" s="6"/>
      <c r="AH206" s="6"/>
      <c r="AI206" s="6"/>
      <c r="AJ206" s="6"/>
      <c r="AK206" s="6"/>
      <c r="AL206" s="26" t="s">
        <v>123</v>
      </c>
      <c r="AM206" s="24">
        <v>45309</v>
      </c>
      <c r="AN206" s="24" t="s">
        <v>12</v>
      </c>
      <c r="AO206" s="24" t="s">
        <v>20</v>
      </c>
      <c r="AP206" s="24" t="s">
        <v>38</v>
      </c>
      <c r="AQ206" s="24">
        <v>72</v>
      </c>
      <c r="AR206" s="24">
        <v>4</v>
      </c>
      <c r="AS206" s="24">
        <v>76</v>
      </c>
      <c r="AT206" s="24">
        <v>286</v>
      </c>
      <c r="AU206" s="24">
        <v>73</v>
      </c>
      <c r="AV206" s="24">
        <v>12</v>
      </c>
      <c r="AW206" s="24">
        <v>257</v>
      </c>
      <c r="AX206" s="24">
        <v>1490</v>
      </c>
      <c r="AY206" s="24">
        <v>5.2631578947368418E-2</v>
      </c>
      <c r="AZ206" s="24">
        <v>5.2631578947368418E-2</v>
      </c>
      <c r="BA206" s="24">
        <v>72</v>
      </c>
      <c r="BB206" s="24">
        <v>18504</v>
      </c>
      <c r="BC206" s="24" t="s">
        <v>547</v>
      </c>
      <c r="BD206" s="27" t="s">
        <v>557</v>
      </c>
    </row>
    <row r="207" spans="1:56" x14ac:dyDescent="0.3">
      <c r="A207" s="44" t="s">
        <v>237</v>
      </c>
      <c r="B207" s="45">
        <v>45572</v>
      </c>
      <c r="C207" s="44" t="s">
        <v>53</v>
      </c>
      <c r="D207" s="44" t="s">
        <v>20</v>
      </c>
      <c r="E207" s="44" t="s">
        <v>38</v>
      </c>
      <c r="F207" s="40">
        <v>136</v>
      </c>
      <c r="G207" s="44">
        <v>9</v>
      </c>
      <c r="H207" s="44">
        <f>IFERROR('Automated raw'!$F207+'Automated raw'!$G207,"-")</f>
        <v>145</v>
      </c>
      <c r="I207" s="44">
        <v>242</v>
      </c>
      <c r="J207" s="44">
        <v>69</v>
      </c>
      <c r="K207" s="44">
        <v>10</v>
      </c>
      <c r="L207" s="44">
        <v>1927</v>
      </c>
      <c r="M207" s="44">
        <v>2236</v>
      </c>
      <c r="N207" s="44">
        <f>'Automated raw'!$G207/'Automated raw'!$H207</f>
        <v>6.2068965517241378E-2</v>
      </c>
      <c r="O207" s="46">
        <f>IFERROR('Automated raw'!$G207/'Automated raw'!$H207,"incomplete")</f>
        <v>6.2068965517241378E-2</v>
      </c>
      <c r="P207" s="44">
        <f>'Automated raw'!$F207</f>
        <v>136</v>
      </c>
      <c r="Q207" s="47">
        <f>IFERROR('Automated raw'!$P207*'Automated raw'!$L207,0)</f>
        <v>262072</v>
      </c>
      <c r="R207" s="44" t="str">
        <f>IF('Automated raw'!$O207&gt;=60%,"High",IF('Automated raw'!$O207&gt;=30%,"Avg",IF('Automated raw'!$O207&lt;30%,"Dead Stock","Incomplete")))</f>
        <v>Dead Stock</v>
      </c>
      <c r="S207" s="48" t="str">
        <f>TEXT('Automated raw'!$B207,"mmm")</f>
        <v>Oct</v>
      </c>
      <c r="T207" s="83">
        <f>'Automated raw'!$G207*'Automated raw'!$M207</f>
        <v>20124</v>
      </c>
      <c r="U207" s="6">
        <f>IFERROR((Table7[[#This Row],[Stock In(Total)]]+Table7[[#This Row],[In Stock or Remaining]])/2,"-")</f>
        <v>140.5</v>
      </c>
      <c r="V207" s="93">
        <f>IFERROR(Table7[[#This Row],[Stock_Out]]/Table7[[#This Row],[Avg Inventory]],"-")</f>
        <v>6.4056939501779361E-2</v>
      </c>
      <c r="W207" s="6"/>
      <c r="X207" s="6"/>
      <c r="Y207" s="6"/>
      <c r="Z207" s="6"/>
      <c r="AA207" s="6"/>
      <c r="AB207" s="6"/>
      <c r="AC207" s="6"/>
      <c r="AD207" s="6"/>
      <c r="AE207" s="6"/>
      <c r="AF207" s="6"/>
      <c r="AG207" s="6"/>
      <c r="AH207" s="6"/>
      <c r="AI207" s="6"/>
      <c r="AJ207" s="6"/>
      <c r="AK207" s="6"/>
      <c r="AL207" s="26" t="s">
        <v>432</v>
      </c>
      <c r="AM207" s="24">
        <v>45317</v>
      </c>
      <c r="AN207" s="24" t="s">
        <v>12</v>
      </c>
      <c r="AO207" s="24" t="s">
        <v>13</v>
      </c>
      <c r="AP207" s="24" t="s">
        <v>21</v>
      </c>
      <c r="AQ207" s="24">
        <v>50</v>
      </c>
      <c r="AR207" s="24">
        <v>2</v>
      </c>
      <c r="AS207" s="24">
        <v>52</v>
      </c>
      <c r="AT207" s="24">
        <v>57</v>
      </c>
      <c r="AU207" s="24">
        <v>48</v>
      </c>
      <c r="AV207" s="24">
        <v>12</v>
      </c>
      <c r="AW207" s="24">
        <v>320</v>
      </c>
      <c r="AX207" s="24">
        <v>1128</v>
      </c>
      <c r="AY207" s="24">
        <v>3.8461538461538464E-2</v>
      </c>
      <c r="AZ207" s="24">
        <v>3.8461538461538464E-2</v>
      </c>
      <c r="BA207" s="24">
        <v>50</v>
      </c>
      <c r="BB207" s="24">
        <v>16000</v>
      </c>
      <c r="BC207" s="24" t="s">
        <v>547</v>
      </c>
      <c r="BD207" s="27" t="s">
        <v>557</v>
      </c>
    </row>
    <row r="208" spans="1:56" x14ac:dyDescent="0.3">
      <c r="A208" s="38" t="s">
        <v>287</v>
      </c>
      <c r="B208" s="39">
        <v>45352</v>
      </c>
      <c r="C208" s="38" t="s">
        <v>19</v>
      </c>
      <c r="D208" s="38" t="s">
        <v>13</v>
      </c>
      <c r="E208" s="38" t="s">
        <v>38</v>
      </c>
      <c r="F208" s="40">
        <v>131</v>
      </c>
      <c r="G208" s="38">
        <v>88</v>
      </c>
      <c r="H208" s="38">
        <f>IFERROR('Automated raw'!$F256+'Automated raw'!$G256,"-")</f>
        <v>62</v>
      </c>
      <c r="I208" s="38">
        <v>126</v>
      </c>
      <c r="J208" s="38">
        <v>35</v>
      </c>
      <c r="K208" s="38">
        <v>15</v>
      </c>
      <c r="L208" s="38">
        <v>416</v>
      </c>
      <c r="M208" s="38">
        <v>1492</v>
      </c>
      <c r="N208" s="38">
        <f>'Automated raw'!$G256/'Automated raw'!$H256</f>
        <v>0.36</v>
      </c>
      <c r="O208" s="41">
        <f>IFERROR('Automated raw'!$G256/'Automated raw'!$H256,"incomplete")</f>
        <v>0.36</v>
      </c>
      <c r="P208" s="38">
        <f>'Automated raw'!$F256</f>
        <v>35</v>
      </c>
      <c r="Q208" s="42">
        <f>IFERROR('Automated raw'!$P256*'Automated raw'!$L256,0)</f>
        <v>91008</v>
      </c>
      <c r="R208" s="38" t="str">
        <f>IF('Automated raw'!$O256&gt;=60%,"High",IF('Automated raw'!$O256&gt;=30%,"Avg",IF('Automated raw'!$O256&lt;30%,"Dead Stock","Incomplete")))</f>
        <v>Dead Stock</v>
      </c>
      <c r="S208" s="43" t="str">
        <f>TEXT('Automated raw'!$B256,"mmm")</f>
        <v>Jul</v>
      </c>
      <c r="T208" s="82">
        <f>'Automated raw'!$G256*'Automated raw'!$M256</f>
        <v>60399</v>
      </c>
      <c r="U208" s="6">
        <f>IFERROR((Table7[[#This Row],[Stock In(Total)]]+Table7[[#This Row],[In Stock or Remaining]])/2,"-")</f>
        <v>96.5</v>
      </c>
      <c r="V208" s="93">
        <f>IFERROR(Table7[[#This Row],[Stock_Out]]/Table7[[#This Row],[Avg Inventory]],"-")</f>
        <v>0.91191709844559588</v>
      </c>
      <c r="W208" s="6"/>
      <c r="X208" s="6"/>
      <c r="Y208" s="6"/>
      <c r="Z208" s="6"/>
      <c r="AA208" s="6"/>
      <c r="AB208" s="6"/>
      <c r="AC208" s="6"/>
      <c r="AD208" s="6"/>
      <c r="AE208" s="6"/>
      <c r="AF208" s="6"/>
      <c r="AG208" s="6"/>
      <c r="AH208" s="6"/>
      <c r="AI208" s="6"/>
      <c r="AJ208" s="6"/>
      <c r="AK208" s="6"/>
      <c r="AL208" s="26" t="s">
        <v>110</v>
      </c>
      <c r="AM208" s="24">
        <v>45510</v>
      </c>
      <c r="AN208" s="24" t="s">
        <v>30</v>
      </c>
      <c r="AO208" s="24" t="s">
        <v>20</v>
      </c>
      <c r="AP208" s="24" t="s">
        <v>14</v>
      </c>
      <c r="AQ208" s="24">
        <v>49</v>
      </c>
      <c r="AR208" s="24">
        <v>4</v>
      </c>
      <c r="AS208" s="24">
        <v>53</v>
      </c>
      <c r="AT208" s="24">
        <v>18</v>
      </c>
      <c r="AU208" s="24">
        <v>41</v>
      </c>
      <c r="AV208" s="24">
        <v>9</v>
      </c>
      <c r="AW208" s="24">
        <v>298</v>
      </c>
      <c r="AX208" s="24">
        <v>432</v>
      </c>
      <c r="AY208" s="24">
        <v>7.5471698113207544E-2</v>
      </c>
      <c r="AZ208" s="24">
        <v>7.5471698113207544E-2</v>
      </c>
      <c r="BA208" s="24">
        <v>49</v>
      </c>
      <c r="BB208" s="24">
        <v>14602</v>
      </c>
      <c r="BC208" s="24" t="s">
        <v>547</v>
      </c>
      <c r="BD208" s="27" t="s">
        <v>554</v>
      </c>
    </row>
    <row r="209" spans="1:57" x14ac:dyDescent="0.3">
      <c r="A209" s="38" t="s">
        <v>95</v>
      </c>
      <c r="B209" s="39">
        <v>45389</v>
      </c>
      <c r="C209" s="38" t="s">
        <v>16</v>
      </c>
      <c r="D209" s="38" t="s">
        <v>20</v>
      </c>
      <c r="E209" s="38" t="s">
        <v>38</v>
      </c>
      <c r="F209" s="40">
        <v>147</v>
      </c>
      <c r="G209" s="38">
        <v>100</v>
      </c>
      <c r="H209" s="38">
        <f>IFERROR('Automated raw'!$F68+'Automated raw'!$G68,"-")</f>
        <v>9</v>
      </c>
      <c r="I209" s="38">
        <v>2</v>
      </c>
      <c r="J209" s="38">
        <v>35</v>
      </c>
      <c r="K209" s="38">
        <v>3</v>
      </c>
      <c r="L209" s="38">
        <v>1963</v>
      </c>
      <c r="M209" s="38">
        <v>3359</v>
      </c>
      <c r="N209" s="38">
        <f>'Automated raw'!$G68/'Automated raw'!$H68</f>
        <v>2.0270270270270271E-2</v>
      </c>
      <c r="O209" s="41">
        <f>IFERROR('Automated raw'!$G68/'Automated raw'!$H68,"incomplete")</f>
        <v>2.0270270270270271E-2</v>
      </c>
      <c r="P209" s="38">
        <f>'Automated raw'!$F68</f>
        <v>6</v>
      </c>
      <c r="Q209" s="42">
        <f>IFERROR('Automated raw'!$P68*'Automated raw'!$L68,0)</f>
        <v>37440</v>
      </c>
      <c r="R209" s="38" t="str">
        <f>IF('Automated raw'!$O68&gt;=60%,"High",IF('Automated raw'!$O68&gt;=30%,"Avg",IF('Automated raw'!$O68&lt;30%,"Dead Stock","Incomplete")))</f>
        <v>Avg</v>
      </c>
      <c r="S209" s="43" t="str">
        <f>TEXT('Automated raw'!$B68,"mmm")</f>
        <v>Dec</v>
      </c>
      <c r="T209" s="82">
        <f>'Automated raw'!$G68*'Automated raw'!$M68</f>
        <v>2430</v>
      </c>
      <c r="U209" s="6">
        <f>IFERROR((Table7[[#This Row],[Stock In(Total)]]+Table7[[#This Row],[In Stock or Remaining]])/2,"-")</f>
        <v>78</v>
      </c>
      <c r="V209" s="93">
        <f>IFERROR(Table7[[#This Row],[Stock_Out]]/Table7[[#This Row],[Avg Inventory]],"-")</f>
        <v>1.2820512820512822</v>
      </c>
      <c r="W209" s="6"/>
      <c r="X209" s="6"/>
      <c r="Y209" s="6"/>
      <c r="Z209" s="6"/>
      <c r="AA209" s="6"/>
      <c r="AB209" s="6"/>
      <c r="AC209" s="6"/>
      <c r="AD209" s="6"/>
      <c r="AE209" s="6"/>
      <c r="AF209" s="6"/>
      <c r="AG209" s="6"/>
      <c r="AH209" s="6"/>
      <c r="AI209" s="6"/>
      <c r="AJ209" s="6"/>
      <c r="AK209" s="6"/>
      <c r="AL209" s="26" t="s">
        <v>397</v>
      </c>
      <c r="AM209" s="24">
        <v>45627</v>
      </c>
      <c r="AN209" s="24" t="s">
        <v>19</v>
      </c>
      <c r="AO209" s="24" t="s">
        <v>17</v>
      </c>
      <c r="AP209" s="24" t="s">
        <v>38</v>
      </c>
      <c r="AQ209" s="24">
        <v>40</v>
      </c>
      <c r="AR209" s="24">
        <v>10</v>
      </c>
      <c r="AS209" s="24">
        <v>50</v>
      </c>
      <c r="AT209" s="24">
        <v>224</v>
      </c>
      <c r="AU209" s="24">
        <v>54</v>
      </c>
      <c r="AV209" s="24">
        <v>8</v>
      </c>
      <c r="AW209" s="24">
        <v>350</v>
      </c>
      <c r="AX209" s="24">
        <v>1354</v>
      </c>
      <c r="AY209" s="24">
        <v>0.2</v>
      </c>
      <c r="AZ209" s="24">
        <v>0.2</v>
      </c>
      <c r="BA209" s="24">
        <v>40</v>
      </c>
      <c r="BB209" s="24">
        <v>14000</v>
      </c>
      <c r="BC209" s="24" t="s">
        <v>547</v>
      </c>
      <c r="BD209" s="27" t="s">
        <v>563</v>
      </c>
    </row>
    <row r="210" spans="1:57" x14ac:dyDescent="0.3">
      <c r="A210" s="38" t="s">
        <v>240</v>
      </c>
      <c r="B210" s="39">
        <v>45492</v>
      </c>
      <c r="C210" s="38" t="s">
        <v>16</v>
      </c>
      <c r="D210" s="38" t="s">
        <v>17</v>
      </c>
      <c r="E210" s="38" t="s">
        <v>33</v>
      </c>
      <c r="F210" s="40">
        <v>117</v>
      </c>
      <c r="G210" s="38">
        <v>45</v>
      </c>
      <c r="H210" s="38">
        <f>IFERROR('Automated raw'!$F210+'Automated raw'!$G210,"-")</f>
        <v>162</v>
      </c>
      <c r="I210" s="38">
        <v>202</v>
      </c>
      <c r="J210" s="38">
        <v>52</v>
      </c>
      <c r="K210" s="38">
        <v>9</v>
      </c>
      <c r="L210" s="38">
        <v>1240</v>
      </c>
      <c r="M210" s="38">
        <v>1818</v>
      </c>
      <c r="N210" s="38">
        <f>'Automated raw'!$G210/'Automated raw'!$H210</f>
        <v>0.27777777777777779</v>
      </c>
      <c r="O210" s="41">
        <f>IFERROR('Automated raw'!$G210/'Automated raw'!$H210,"incomplete")</f>
        <v>0.27777777777777779</v>
      </c>
      <c r="P210" s="38">
        <f>'Automated raw'!$F210</f>
        <v>117</v>
      </c>
      <c r="Q210" s="42">
        <f>IFERROR('Automated raw'!$P210*'Automated raw'!$L210,0)</f>
        <v>145080</v>
      </c>
      <c r="R210" s="38" t="str">
        <f>IF('Automated raw'!$O210&gt;=60%,"High",IF('Automated raw'!$O210&gt;=30%,"Avg",IF('Automated raw'!$O210&lt;30%,"Dead Stock","Incomplete")))</f>
        <v>Dead Stock</v>
      </c>
      <c r="S210" s="43" t="str">
        <f>TEXT('Automated raw'!$B210,"mmm")</f>
        <v>Jul</v>
      </c>
      <c r="T210" s="82">
        <f>'Automated raw'!$G210*'Automated raw'!$M210</f>
        <v>81810</v>
      </c>
      <c r="U210" s="6">
        <f>IFERROR((Table7[[#This Row],[Stock In(Total)]]+Table7[[#This Row],[In Stock or Remaining]])/2,"-")</f>
        <v>139.5</v>
      </c>
      <c r="V210" s="93">
        <f>IFERROR(Table7[[#This Row],[Stock_Out]]/Table7[[#This Row],[Avg Inventory]],"-")</f>
        <v>0.32258064516129031</v>
      </c>
      <c r="W210" s="6"/>
      <c r="X210" s="6"/>
      <c r="Y210" s="6"/>
      <c r="Z210" s="6"/>
      <c r="AA210" s="6"/>
      <c r="AB210" s="6"/>
      <c r="AC210" s="6"/>
      <c r="AD210" s="6"/>
      <c r="AE210" s="6"/>
      <c r="AF210" s="6"/>
      <c r="AG210" s="6"/>
      <c r="AH210" s="6"/>
      <c r="AI210" s="6"/>
      <c r="AJ210" s="6"/>
      <c r="AK210" s="6"/>
      <c r="AL210" s="26" t="s">
        <v>421</v>
      </c>
      <c r="AM210" s="24">
        <v>45469</v>
      </c>
      <c r="AN210" s="24" t="s">
        <v>37</v>
      </c>
      <c r="AO210" s="24" t="s">
        <v>17</v>
      </c>
      <c r="AP210" s="24" t="s">
        <v>33</v>
      </c>
      <c r="AQ210" s="24">
        <v>22</v>
      </c>
      <c r="AR210" s="24">
        <v>1</v>
      </c>
      <c r="AS210" s="24">
        <v>23</v>
      </c>
      <c r="AT210" s="24">
        <v>155</v>
      </c>
      <c r="AU210" s="24">
        <v>62</v>
      </c>
      <c r="AV210" s="24">
        <v>2</v>
      </c>
      <c r="AW210" s="24">
        <v>609</v>
      </c>
      <c r="AX210" s="24">
        <v>1240</v>
      </c>
      <c r="AY210" s="24">
        <v>4.3478260869565216E-2</v>
      </c>
      <c r="AZ210" s="24">
        <v>4.3478260869565216E-2</v>
      </c>
      <c r="BA210" s="24">
        <v>22</v>
      </c>
      <c r="BB210" s="24">
        <v>13398</v>
      </c>
      <c r="BC210" s="24" t="s">
        <v>547</v>
      </c>
      <c r="BD210" s="27" t="s">
        <v>559</v>
      </c>
    </row>
    <row r="211" spans="1:57" x14ac:dyDescent="0.3">
      <c r="A211" s="44" t="s">
        <v>241</v>
      </c>
      <c r="B211" s="45">
        <v>45421</v>
      </c>
      <c r="C211" s="44" t="s">
        <v>37</v>
      </c>
      <c r="D211" s="44" t="s">
        <v>20</v>
      </c>
      <c r="E211" s="44" t="s">
        <v>38</v>
      </c>
      <c r="F211" s="40">
        <v>30</v>
      </c>
      <c r="G211" s="44">
        <v>94</v>
      </c>
      <c r="H211" s="44">
        <f>IFERROR('Automated raw'!$F211+'Automated raw'!$G211,"-")</f>
        <v>124</v>
      </c>
      <c r="I211" s="44">
        <v>110</v>
      </c>
      <c r="J211" s="44">
        <v>37</v>
      </c>
      <c r="K211" s="44">
        <v>8</v>
      </c>
      <c r="L211" s="44">
        <v>1610</v>
      </c>
      <c r="M211" s="44">
        <v>1796</v>
      </c>
      <c r="N211" s="44">
        <f>'Automated raw'!$G211/'Automated raw'!$H211</f>
        <v>0.75806451612903225</v>
      </c>
      <c r="O211" s="46">
        <f>IFERROR('Automated raw'!$G211/'Automated raw'!$H211,"incomplete")</f>
        <v>0.75806451612903225</v>
      </c>
      <c r="P211" s="44">
        <f>'Automated raw'!$F211</f>
        <v>30</v>
      </c>
      <c r="Q211" s="47">
        <f>IFERROR('Automated raw'!$P211*'Automated raw'!$L211,0)</f>
        <v>48300</v>
      </c>
      <c r="R211" s="44" t="str">
        <f>IF('Automated raw'!$O211&gt;=60%,"High",IF('Automated raw'!$O211&gt;=30%,"Avg",IF('Automated raw'!$O211&lt;30%,"Dead Stock","Incomplete")))</f>
        <v>High</v>
      </c>
      <c r="S211" s="48" t="str">
        <f>TEXT('Automated raw'!$B211,"mmm")</f>
        <v>May</v>
      </c>
      <c r="T211" s="83">
        <f>'Automated raw'!$G211*'Automated raw'!$M211</f>
        <v>168824</v>
      </c>
      <c r="U211" s="6">
        <f>IFERROR((Table7[[#This Row],[Stock In(Total)]]+Table7[[#This Row],[In Stock or Remaining]])/2,"-")</f>
        <v>77</v>
      </c>
      <c r="V211" s="93">
        <f>IFERROR(Table7[[#This Row],[Stock_Out]]/Table7[[#This Row],[Avg Inventory]],"-")</f>
        <v>1.2207792207792207</v>
      </c>
      <c r="W211" s="6"/>
      <c r="X211" s="6"/>
      <c r="Y211" s="6"/>
      <c r="Z211" s="6"/>
      <c r="AA211" s="6"/>
      <c r="AB211" s="6"/>
      <c r="AC211" s="6"/>
      <c r="AD211" s="6"/>
      <c r="AE211" s="6"/>
      <c r="AF211" s="6"/>
      <c r="AG211" s="6"/>
      <c r="AH211" s="6"/>
      <c r="AI211" s="6"/>
      <c r="AJ211" s="6"/>
      <c r="AK211" s="6"/>
      <c r="AL211" s="26" t="s">
        <v>424</v>
      </c>
      <c r="AM211" s="24">
        <v>45528</v>
      </c>
      <c r="AN211" s="24" t="s">
        <v>37</v>
      </c>
      <c r="AO211" s="24" t="s">
        <v>20</v>
      </c>
      <c r="AP211" s="24" t="s">
        <v>38</v>
      </c>
      <c r="AQ211" s="24">
        <v>35</v>
      </c>
      <c r="AR211" s="24">
        <v>9</v>
      </c>
      <c r="AS211" s="24">
        <v>44</v>
      </c>
      <c r="AT211" s="24">
        <v>31</v>
      </c>
      <c r="AU211" s="24">
        <v>53</v>
      </c>
      <c r="AV211" s="24">
        <v>3</v>
      </c>
      <c r="AW211" s="24">
        <v>375</v>
      </c>
      <c r="AX211" s="24">
        <v>1572</v>
      </c>
      <c r="AY211" s="24">
        <v>0.20454545454545456</v>
      </c>
      <c r="AZ211" s="24">
        <v>0.20454545454545456</v>
      </c>
      <c r="BA211" s="24">
        <v>35</v>
      </c>
      <c r="BB211" s="24">
        <v>13125</v>
      </c>
      <c r="BC211" s="24" t="s">
        <v>547</v>
      </c>
      <c r="BD211" s="27" t="s">
        <v>554</v>
      </c>
    </row>
    <row r="212" spans="1:57" x14ac:dyDescent="0.3">
      <c r="A212" s="44" t="s">
        <v>231</v>
      </c>
      <c r="B212" s="45">
        <v>45390</v>
      </c>
      <c r="C212" s="44" t="s">
        <v>30</v>
      </c>
      <c r="D212" s="44" t="s">
        <v>17</v>
      </c>
      <c r="E212" s="44" t="s">
        <v>21</v>
      </c>
      <c r="F212" s="40">
        <v>139</v>
      </c>
      <c r="G212" s="44">
        <v>95</v>
      </c>
      <c r="H212" s="44">
        <f>IFERROR('Automated raw'!$F201+'Automated raw'!$G201,"-")</f>
        <v>225</v>
      </c>
      <c r="I212" s="44">
        <v>214</v>
      </c>
      <c r="J212" s="44">
        <v>33</v>
      </c>
      <c r="K212" s="44">
        <v>11</v>
      </c>
      <c r="L212" s="44">
        <v>787</v>
      </c>
      <c r="M212" s="44">
        <v>1632</v>
      </c>
      <c r="N212" s="44">
        <f>'Automated raw'!$G201/'Automated raw'!$H201</f>
        <v>0.41860465116279072</v>
      </c>
      <c r="O212" s="46">
        <f>IFERROR('Automated raw'!$G201/'Automated raw'!$H201,"incomplete")</f>
        <v>0.41860465116279072</v>
      </c>
      <c r="P212" s="44">
        <f>'Automated raw'!$F201</f>
        <v>135</v>
      </c>
      <c r="Q212" s="47">
        <f>IFERROR('Automated raw'!$P201*'Automated raw'!$L201,0)</f>
        <v>176400</v>
      </c>
      <c r="R212" s="44" t="str">
        <f>IF('Automated raw'!$O201&gt;=60%,"High",IF('Automated raw'!$O201&gt;=30%,"Avg",IF('Automated raw'!$O201&lt;30%,"Dead Stock","Incomplete")))</f>
        <v>Avg</v>
      </c>
      <c r="S212" s="48" t="str">
        <f>TEXT('Automated raw'!$B201,"mmm")</f>
        <v>Aug</v>
      </c>
      <c r="T212" s="83">
        <f>'Automated raw'!$G201*'Automated raw'!$M201</f>
        <v>201330</v>
      </c>
      <c r="U212" s="6">
        <f>IFERROR((Table7[[#This Row],[Stock In(Total)]]+Table7[[#This Row],[In Stock or Remaining]])/2,"-")</f>
        <v>182</v>
      </c>
      <c r="V212" s="93">
        <f>IFERROR(Table7[[#This Row],[Stock_Out]]/Table7[[#This Row],[Avg Inventory]],"-")</f>
        <v>0.52197802197802201</v>
      </c>
      <c r="W212" s="6"/>
      <c r="X212" s="6"/>
      <c r="Y212" s="6"/>
      <c r="Z212" s="6"/>
      <c r="AA212" s="6"/>
      <c r="AB212" s="6"/>
      <c r="AC212" s="6"/>
      <c r="AD212" s="6"/>
      <c r="AE212" s="6"/>
      <c r="AF212" s="6"/>
      <c r="AG212" s="6"/>
      <c r="AH212" s="6"/>
      <c r="AI212" s="6"/>
      <c r="AJ212" s="6"/>
      <c r="AK212" s="6"/>
      <c r="AL212" s="28" t="s">
        <v>441</v>
      </c>
      <c r="AM212" s="29">
        <v>45640</v>
      </c>
      <c r="AN212" s="29" t="s">
        <v>37</v>
      </c>
      <c r="AO212" s="29" t="s">
        <v>13</v>
      </c>
      <c r="AP212" s="29" t="s">
        <v>14</v>
      </c>
      <c r="AQ212" s="29">
        <v>8</v>
      </c>
      <c r="AR212" s="29">
        <v>1</v>
      </c>
      <c r="AS212" s="29">
        <v>9</v>
      </c>
      <c r="AT212" s="29">
        <v>98</v>
      </c>
      <c r="AU212" s="29">
        <v>71</v>
      </c>
      <c r="AV212" s="29">
        <v>10</v>
      </c>
      <c r="AW212" s="29">
        <v>389</v>
      </c>
      <c r="AX212" s="29">
        <v>521</v>
      </c>
      <c r="AY212" s="29">
        <v>0.1111111111111111</v>
      </c>
      <c r="AZ212" s="29">
        <v>0.1111111111111111</v>
      </c>
      <c r="BA212" s="29">
        <v>8</v>
      </c>
      <c r="BB212" s="29">
        <v>3112</v>
      </c>
      <c r="BC212" s="29" t="s">
        <v>547</v>
      </c>
      <c r="BD212" s="30" t="s">
        <v>563</v>
      </c>
    </row>
    <row r="213" spans="1:57" x14ac:dyDescent="0.3">
      <c r="A213" s="38" t="s">
        <v>395</v>
      </c>
      <c r="B213" s="39">
        <v>45390</v>
      </c>
      <c r="C213" s="38" t="s">
        <v>53</v>
      </c>
      <c r="D213" s="38" t="s">
        <v>17</v>
      </c>
      <c r="E213" s="38" t="s">
        <v>38</v>
      </c>
      <c r="F213" s="40">
        <v>128</v>
      </c>
      <c r="G213" s="38">
        <v>88</v>
      </c>
      <c r="H213" s="38">
        <f>IFERROR('Automated raw'!$F362+'Automated raw'!$G362,"-")</f>
        <v>151</v>
      </c>
      <c r="I213" s="38">
        <v>37</v>
      </c>
      <c r="J213" s="38">
        <v>79</v>
      </c>
      <c r="K213" s="38">
        <v>14</v>
      </c>
      <c r="L213" s="38">
        <v>1931</v>
      </c>
      <c r="M213" s="38">
        <v>2887</v>
      </c>
      <c r="N213" s="38">
        <f>'Automated raw'!$G362/'Automated raw'!$H362</f>
        <v>0.28627450980392155</v>
      </c>
      <c r="O213" s="41">
        <f>IFERROR('Automated raw'!$G362/'Automated raw'!$H362,"incomplete")</f>
        <v>0.28627450980392155</v>
      </c>
      <c r="P213" s="38">
        <f>'Automated raw'!$F362</f>
        <v>78</v>
      </c>
      <c r="Q213" s="42">
        <f>IFERROR('Automated raw'!$P362*'Automated raw'!$L362,0)</f>
        <v>92800</v>
      </c>
      <c r="R213" s="38" t="str">
        <f>IF('Automated raw'!$O362&gt;=60%,"High",IF('Automated raw'!$O362&gt;=30%,"Avg",IF('Automated raw'!$O362&lt;30%,"Dead Stock","Incomplete")))</f>
        <v>High</v>
      </c>
      <c r="S213" s="43" t="str">
        <f>TEXT('Automated raw'!$B362,"mmm")</f>
        <v>Dec</v>
      </c>
      <c r="T213" s="82">
        <f>'Automated raw'!$G362*'Automated raw'!$M362</f>
        <v>104390</v>
      </c>
      <c r="U213" s="6">
        <f>IFERROR((Table7[[#This Row],[Stock In(Total)]]+Table7[[#This Row],[In Stock or Remaining]])/2,"-")</f>
        <v>139.5</v>
      </c>
      <c r="V213" s="93">
        <f>IFERROR(Table7[[#This Row],[Stock_Out]]/Table7[[#This Row],[Avg Inventory]],"-")</f>
        <v>0.63082437275985659</v>
      </c>
      <c r="W213" s="6"/>
      <c r="X213" s="6"/>
      <c r="Y213" s="6"/>
      <c r="Z213" s="6"/>
      <c r="AA213" s="6"/>
      <c r="AB213" s="6"/>
      <c r="AC213" s="6"/>
      <c r="AD213" s="6"/>
      <c r="AE213" s="6"/>
      <c r="AF213" s="6"/>
      <c r="AG213" s="6"/>
      <c r="AH213" s="6"/>
      <c r="AI213" s="6"/>
      <c r="AJ213" s="6"/>
      <c r="AK213" s="6"/>
    </row>
    <row r="214" spans="1:57" x14ac:dyDescent="0.3">
      <c r="A214" s="44" t="s">
        <v>203</v>
      </c>
      <c r="B214" s="45">
        <v>45570</v>
      </c>
      <c r="C214" s="44" t="s">
        <v>30</v>
      </c>
      <c r="D214" s="44" t="s">
        <v>13</v>
      </c>
      <c r="E214" s="44" t="s">
        <v>23</v>
      </c>
      <c r="F214" s="40">
        <v>109</v>
      </c>
      <c r="G214" s="44">
        <v>75</v>
      </c>
      <c r="H214" s="44">
        <f>IFERROR('Automated raw'!$F173+'Automated raw'!$G173,"-")</f>
        <v>221</v>
      </c>
      <c r="I214" s="44">
        <v>95</v>
      </c>
      <c r="J214" s="44">
        <v>42</v>
      </c>
      <c r="K214" s="44">
        <v>9</v>
      </c>
      <c r="L214" s="44">
        <v>223</v>
      </c>
      <c r="M214" s="44">
        <v>1142</v>
      </c>
      <c r="N214" s="44">
        <f>'Automated raw'!$G173/'Automated raw'!$H173</f>
        <v>0.78181818181818186</v>
      </c>
      <c r="O214" s="46">
        <f>IFERROR('Automated raw'!$G173/'Automated raw'!$H173,"incomplete")</f>
        <v>0.78181818181818186</v>
      </c>
      <c r="P214" s="44">
        <f>'Automated raw'!$F173</f>
        <v>135</v>
      </c>
      <c r="Q214" s="47">
        <f>IFERROR('Automated raw'!$P173*'Automated raw'!$L173,0)</f>
        <v>120967</v>
      </c>
      <c r="R214" s="44" t="str">
        <f>IF('Automated raw'!$O173&gt;=60%,"High",IF('Automated raw'!$O173&gt;=30%,"Avg",IF('Automated raw'!$O173&lt;30%,"Dead Stock","Incomplete")))</f>
        <v>Dead Stock</v>
      </c>
      <c r="S214" s="48" t="str">
        <f>TEXT('Automated raw'!$B173,"mmm")</f>
        <v>Jul</v>
      </c>
      <c r="T214" s="83">
        <f>'Automated raw'!$G173*'Automated raw'!$M173</f>
        <v>231340</v>
      </c>
      <c r="U214" s="6">
        <f>IFERROR((Table7[[#This Row],[Stock In(Total)]]+Table7[[#This Row],[In Stock or Remaining]])/2,"-")</f>
        <v>165</v>
      </c>
      <c r="V214" s="93">
        <f>IFERROR(Table7[[#This Row],[Stock_Out]]/Table7[[#This Row],[Avg Inventory]],"-")</f>
        <v>0.45454545454545453</v>
      </c>
      <c r="W214" s="6"/>
      <c r="X214" s="6"/>
      <c r="Y214" s="6"/>
      <c r="Z214" s="6"/>
      <c r="AA214" s="6"/>
      <c r="AB214" s="6"/>
      <c r="AC214" s="6"/>
      <c r="AD214" s="6"/>
      <c r="AE214" s="6"/>
      <c r="AF214" s="6"/>
      <c r="AG214" s="6"/>
      <c r="AH214" s="6"/>
      <c r="AI214" s="6"/>
      <c r="AJ214" s="6"/>
      <c r="AK214" s="6"/>
    </row>
    <row r="215" spans="1:57" x14ac:dyDescent="0.3">
      <c r="A215" s="44" t="s">
        <v>245</v>
      </c>
      <c r="B215" s="45">
        <v>45399</v>
      </c>
      <c r="C215" s="44" t="s">
        <v>30</v>
      </c>
      <c r="D215" s="44" t="s">
        <v>13</v>
      </c>
      <c r="E215" s="44" t="s">
        <v>14</v>
      </c>
      <c r="F215" s="40">
        <v>107</v>
      </c>
      <c r="G215" s="44">
        <v>40</v>
      </c>
      <c r="H215" s="44">
        <f>IFERROR('Automated raw'!$F215+'Automated raw'!$G215,"-")</f>
        <v>147</v>
      </c>
      <c r="I215" s="44">
        <v>253</v>
      </c>
      <c r="J215" s="44">
        <v>53</v>
      </c>
      <c r="K215" s="44">
        <v>14</v>
      </c>
      <c r="L215" s="44">
        <v>1960</v>
      </c>
      <c r="M215" s="44">
        <v>2305</v>
      </c>
      <c r="N215" s="44">
        <f>'Automated raw'!$G215/'Automated raw'!$H215</f>
        <v>0.27210884353741499</v>
      </c>
      <c r="O215" s="46">
        <f>IFERROR('Automated raw'!$G215/'Automated raw'!$H215,"incomplete")</f>
        <v>0.27210884353741499</v>
      </c>
      <c r="P215" s="44">
        <f>'Automated raw'!$F215</f>
        <v>107</v>
      </c>
      <c r="Q215" s="47">
        <f>IFERROR('Automated raw'!$P215*'Automated raw'!$L215,0)</f>
        <v>209720</v>
      </c>
      <c r="R215" s="44" t="str">
        <f>IF('Automated raw'!$O215&gt;=60%,"High",IF('Automated raw'!$O215&gt;=30%,"Avg",IF('Automated raw'!$O215&lt;30%,"Dead Stock","Incomplete")))</f>
        <v>Dead Stock</v>
      </c>
      <c r="S215" s="48" t="str">
        <f>TEXT('Automated raw'!$B215,"mmm")</f>
        <v>Apr</v>
      </c>
      <c r="T215" s="83">
        <f>'Automated raw'!$G215*'Automated raw'!$M215</f>
        <v>92200</v>
      </c>
      <c r="U215" s="6">
        <f>IFERROR((Table7[[#This Row],[Stock In(Total)]]+Table7[[#This Row],[In Stock or Remaining]])/2,"-")</f>
        <v>127</v>
      </c>
      <c r="V215" s="93">
        <f>IFERROR(Table7[[#This Row],[Stock_Out]]/Table7[[#This Row],[Avg Inventory]],"-")</f>
        <v>0.31496062992125984</v>
      </c>
      <c r="W215" s="6"/>
      <c r="X215" s="6"/>
      <c r="Y215" s="6"/>
      <c r="Z215" s="6"/>
      <c r="AA215" s="6"/>
      <c r="AB215" s="6"/>
      <c r="AC215" s="6"/>
      <c r="AD215" s="6"/>
      <c r="AE215" s="6"/>
      <c r="AF215" s="6"/>
      <c r="AG215" s="6"/>
      <c r="AH215" s="6"/>
      <c r="AI215" s="6"/>
      <c r="AJ215" s="6"/>
      <c r="AK215" s="6"/>
      <c r="AL215" s="8" t="s">
        <v>0</v>
      </c>
      <c r="AM215" s="52" t="s">
        <v>1</v>
      </c>
      <c r="AN215" s="8" t="s">
        <v>2</v>
      </c>
      <c r="AO215" s="8" t="s">
        <v>3</v>
      </c>
      <c r="AP215" s="8" t="s">
        <v>4</v>
      </c>
      <c r="AQ215" s="8" t="s">
        <v>540</v>
      </c>
      <c r="AR215" s="8" t="s">
        <v>5</v>
      </c>
      <c r="AS215" s="8" t="s">
        <v>542</v>
      </c>
      <c r="AT215" s="8" t="s">
        <v>6</v>
      </c>
      <c r="AU215" s="8" t="s">
        <v>7</v>
      </c>
      <c r="AV215" s="8" t="s">
        <v>8</v>
      </c>
      <c r="AW215" s="8" t="s">
        <v>9</v>
      </c>
      <c r="AX215" s="8" t="s">
        <v>10</v>
      </c>
      <c r="AY215" s="8" t="s">
        <v>541</v>
      </c>
      <c r="AZ215" s="53" t="s">
        <v>537</v>
      </c>
      <c r="BA215" s="8" t="s">
        <v>535</v>
      </c>
      <c r="BB215" s="54" t="s">
        <v>536</v>
      </c>
      <c r="BC215" s="8" t="s">
        <v>538</v>
      </c>
      <c r="BD215" s="55" t="s">
        <v>550</v>
      </c>
      <c r="BE215" s="54" t="s">
        <v>566</v>
      </c>
    </row>
    <row r="216" spans="1:57" x14ac:dyDescent="0.3">
      <c r="A216" s="38" t="s">
        <v>246</v>
      </c>
      <c r="B216" s="39">
        <v>45312</v>
      </c>
      <c r="C216" s="38" t="s">
        <v>12</v>
      </c>
      <c r="D216" s="38" t="s">
        <v>17</v>
      </c>
      <c r="E216" s="38" t="s">
        <v>33</v>
      </c>
      <c r="F216" s="40" t="s">
        <v>23</v>
      </c>
      <c r="G216" s="38">
        <v>33</v>
      </c>
      <c r="H216" s="38" t="str">
        <f>IFERROR('Automated raw'!$F216+'Automated raw'!$G216,"-")</f>
        <v>-</v>
      </c>
      <c r="I216" s="38">
        <v>50</v>
      </c>
      <c r="J216" s="38">
        <v>34</v>
      </c>
      <c r="K216" s="38">
        <v>5</v>
      </c>
      <c r="L216" s="38">
        <v>351</v>
      </c>
      <c r="M216" s="38">
        <v>981</v>
      </c>
      <c r="N216" s="38" t="e">
        <f>'Automated raw'!$G216/'Automated raw'!$H216</f>
        <v>#VALUE!</v>
      </c>
      <c r="O216" s="49" t="str">
        <f>IFERROR('Automated raw'!$G216/'Automated raw'!$H216,"incomplete")</f>
        <v>incomplete</v>
      </c>
      <c r="P216" s="38" t="str">
        <f>'Automated raw'!$F216</f>
        <v>Not Available</v>
      </c>
      <c r="Q216" s="42">
        <f>IFERROR('Automated raw'!$P216*'Automated raw'!$L216,0)</f>
        <v>0</v>
      </c>
      <c r="R216" s="38" t="str">
        <f>IF('Automated raw'!$O216&gt;=60%,"High",IF('Automated raw'!$O216&gt;=30%,"Avg",IF('Automated raw'!$O216&lt;30%,"Dead Stock","Incomplete")))</f>
        <v>High</v>
      </c>
      <c r="S216" s="43" t="str">
        <f>TEXT('Automated raw'!$B216,"mmm")</f>
        <v>Jan</v>
      </c>
      <c r="T216" s="82">
        <f>'Automated raw'!$G216*'Automated raw'!$M216</f>
        <v>32373</v>
      </c>
      <c r="U216" s="6" t="str">
        <f>IFERROR((Table7[[#This Row],[Stock In(Total)]]+Table7[[#This Row],[In Stock or Remaining]])/2,"-")</f>
        <v>-</v>
      </c>
      <c r="V216" s="93" t="str">
        <f>IFERROR(Table7[[#This Row],[Stock_Out]]/Table7[[#This Row],[Avg Inventory]],"-")</f>
        <v>-</v>
      </c>
      <c r="W216" s="6"/>
      <c r="X216" s="6"/>
      <c r="Y216" s="6"/>
      <c r="Z216" s="6"/>
      <c r="AA216" s="6"/>
      <c r="AB216" s="6"/>
      <c r="AC216" s="6"/>
      <c r="AD216" s="6"/>
      <c r="AE216" s="6"/>
      <c r="AF216" s="6"/>
      <c r="AG216" s="6"/>
      <c r="AH216" s="6"/>
      <c r="AI216" s="6"/>
      <c r="AJ216" s="6"/>
      <c r="AK216" s="6"/>
      <c r="AL216" s="58" t="s">
        <v>11</v>
      </c>
      <c r="AM216" s="58" t="s">
        <v>570</v>
      </c>
      <c r="AN216" s="58" t="s">
        <v>12</v>
      </c>
      <c r="AO216" s="58" t="s">
        <v>13</v>
      </c>
      <c r="AP216" s="58" t="s">
        <v>14</v>
      </c>
      <c r="AQ216" s="58" t="s">
        <v>571</v>
      </c>
      <c r="AR216" s="58" t="s">
        <v>572</v>
      </c>
      <c r="AS216" s="58" t="s">
        <v>573</v>
      </c>
      <c r="AT216" s="58" t="s">
        <v>574</v>
      </c>
      <c r="AU216" s="58" t="s">
        <v>575</v>
      </c>
      <c r="AV216" s="58" t="s">
        <v>576</v>
      </c>
      <c r="AW216" s="58" t="s">
        <v>577</v>
      </c>
      <c r="AX216" s="58" t="s">
        <v>578</v>
      </c>
      <c r="AY216" s="58" t="s">
        <v>579</v>
      </c>
      <c r="AZ216" s="58" t="s">
        <v>580</v>
      </c>
      <c r="BA216" s="58" t="s">
        <v>581</v>
      </c>
      <c r="BB216" s="58" t="s">
        <v>582</v>
      </c>
      <c r="BC216" s="58" t="s">
        <v>552</v>
      </c>
      <c r="BD216" s="58" t="s">
        <v>563</v>
      </c>
      <c r="BE216" s="58" t="s">
        <v>583</v>
      </c>
    </row>
    <row r="217" spans="1:57" x14ac:dyDescent="0.3">
      <c r="A217" s="38" t="s">
        <v>265</v>
      </c>
      <c r="B217" s="39">
        <v>45490</v>
      </c>
      <c r="C217" s="38" t="s">
        <v>37</v>
      </c>
      <c r="D217" s="38" t="s">
        <v>20</v>
      </c>
      <c r="E217" s="38" t="s">
        <v>33</v>
      </c>
      <c r="F217" s="40">
        <v>106</v>
      </c>
      <c r="G217" s="38">
        <v>73</v>
      </c>
      <c r="H217" s="38">
        <f>IFERROR('Automated raw'!$F234+'Automated raw'!$G234,"-")</f>
        <v>85</v>
      </c>
      <c r="I217" s="38">
        <v>151</v>
      </c>
      <c r="J217" s="38">
        <v>67</v>
      </c>
      <c r="K217" s="38">
        <v>10</v>
      </c>
      <c r="L217" s="38">
        <v>1959</v>
      </c>
      <c r="M217" s="38">
        <v>2689</v>
      </c>
      <c r="N217" s="38">
        <f>'Automated raw'!$G234/'Automated raw'!$H234</f>
        <v>0.21556886227544911</v>
      </c>
      <c r="O217" s="41">
        <f>IFERROR('Automated raw'!$G234/'Automated raw'!$H234,"incomplete")</f>
        <v>0.21556886227544911</v>
      </c>
      <c r="P217" s="38">
        <f>'Automated raw'!$F234</f>
        <v>49</v>
      </c>
      <c r="Q217" s="42">
        <f>IFERROR('Automated raw'!$P234*'Automated raw'!$L234,0)</f>
        <v>131144</v>
      </c>
      <c r="R217" s="38" t="str">
        <f>IF('Automated raw'!$O234&gt;=60%,"High",IF('Automated raw'!$O234&gt;=30%,"Avg",IF('Automated raw'!$O234&lt;30%,"Dead Stock","Incomplete")))</f>
        <v>Avg</v>
      </c>
      <c r="S217" s="43" t="str">
        <f>TEXT('Automated raw'!$B234,"mmm")</f>
        <v>Nov</v>
      </c>
      <c r="T217" s="82">
        <f>'Automated raw'!$G234*'Automated raw'!$M234</f>
        <v>56088</v>
      </c>
      <c r="U217" s="6">
        <f>IFERROR((Table7[[#This Row],[Stock In(Total)]]+Table7[[#This Row],[In Stock or Remaining]])/2,"-")</f>
        <v>95.5</v>
      </c>
      <c r="V217" s="93">
        <f>IFERROR(Table7[[#This Row],[Stock_Out]]/Table7[[#This Row],[Avg Inventory]],"-")</f>
        <v>0.76439790575916233</v>
      </c>
      <c r="W217" s="6"/>
      <c r="X217" s="6"/>
      <c r="Y217" s="6"/>
      <c r="Z217" s="6"/>
      <c r="AA217" s="6"/>
      <c r="AB217" s="6"/>
      <c r="AC217" s="6"/>
      <c r="AD217" s="6"/>
      <c r="AE217" s="6"/>
      <c r="AF217" s="6"/>
      <c r="AG217" s="6"/>
      <c r="AH217" s="6"/>
      <c r="AI217" s="6"/>
      <c r="AJ217" s="6"/>
      <c r="AK217" s="6"/>
      <c r="AL217" s="57" t="s">
        <v>498</v>
      </c>
      <c r="AM217" s="57">
        <v>45584</v>
      </c>
      <c r="AN217" s="57" t="s">
        <v>305</v>
      </c>
      <c r="AO217" s="57" t="s">
        <v>13</v>
      </c>
      <c r="AP217" s="57" t="s">
        <v>33</v>
      </c>
      <c r="AQ217" s="57">
        <v>31</v>
      </c>
      <c r="AR217" s="57">
        <v>101</v>
      </c>
      <c r="AS217" s="57">
        <v>132</v>
      </c>
      <c r="AT217" s="57">
        <v>115</v>
      </c>
      <c r="AU217" s="57">
        <v>43</v>
      </c>
      <c r="AV217" s="57">
        <v>15</v>
      </c>
      <c r="AW217" s="57">
        <v>1835</v>
      </c>
      <c r="AX217" s="57">
        <v>3327</v>
      </c>
      <c r="AY217" s="57">
        <v>0.76515151515151514</v>
      </c>
      <c r="AZ217" s="57">
        <v>0.76515151515151514</v>
      </c>
      <c r="BA217" s="57">
        <v>31</v>
      </c>
      <c r="BB217" s="57">
        <v>56885</v>
      </c>
      <c r="BC217" s="57" t="s">
        <v>552</v>
      </c>
      <c r="BD217" s="57" t="s">
        <v>565</v>
      </c>
      <c r="BE217" s="66">
        <v>336027</v>
      </c>
    </row>
    <row r="218" spans="1:57" x14ac:dyDescent="0.3">
      <c r="A218" s="44" t="s">
        <v>233</v>
      </c>
      <c r="B218" s="45">
        <v>45381</v>
      </c>
      <c r="C218" s="44" t="s">
        <v>12</v>
      </c>
      <c r="D218" s="44" t="s">
        <v>20</v>
      </c>
      <c r="E218" s="44" t="s">
        <v>38</v>
      </c>
      <c r="F218" s="40">
        <v>97</v>
      </c>
      <c r="G218" s="44">
        <v>67</v>
      </c>
      <c r="H218" s="44">
        <f>IFERROR('Automated raw'!$F203+'Automated raw'!$G203,"-")</f>
        <v>210</v>
      </c>
      <c r="I218" s="44">
        <v>279</v>
      </c>
      <c r="J218" s="44">
        <v>40</v>
      </c>
      <c r="K218" s="44">
        <v>3</v>
      </c>
      <c r="L218" s="44">
        <v>975</v>
      </c>
      <c r="M218" s="44">
        <v>1320</v>
      </c>
      <c r="N218" s="44">
        <f>'Automated raw'!$G203/'Automated raw'!$H203</f>
        <v>0.875</v>
      </c>
      <c r="O218" s="46">
        <f>IFERROR('Automated raw'!$G203/'Automated raw'!$H203,"incomplete")</f>
        <v>0.875</v>
      </c>
      <c r="P218" s="44">
        <f>'Automated raw'!$F203</f>
        <v>126</v>
      </c>
      <c r="Q218" s="47">
        <f>IFERROR('Automated raw'!$P203*'Automated raw'!$L203,0)</f>
        <v>47752</v>
      </c>
      <c r="R218" s="44" t="str">
        <f>IF('Automated raw'!$O203&gt;=60%,"High",IF('Automated raw'!$O203&gt;=30%,"Avg",IF('Automated raw'!$O203&lt;30%,"Dead Stock","Incomplete")))</f>
        <v>Dead Stock</v>
      </c>
      <c r="S218" s="48" t="str">
        <f>TEXT('Automated raw'!$B203,"mmm")</f>
        <v>Dec</v>
      </c>
      <c r="T218" s="83">
        <f>'Automated raw'!$G203*'Automated raw'!$M203</f>
        <v>197316</v>
      </c>
      <c r="U218" s="6">
        <f>IFERROR((Table7[[#This Row],[Stock In(Total)]]+Table7[[#This Row],[In Stock or Remaining]])/2,"-")</f>
        <v>153.5</v>
      </c>
      <c r="V218" s="93">
        <f>IFERROR(Table7[[#This Row],[Stock_Out]]/Table7[[#This Row],[Avg Inventory]],"-")</f>
        <v>0.43648208469055377</v>
      </c>
      <c r="W218" s="6"/>
      <c r="X218" s="6"/>
      <c r="Y218" s="6"/>
      <c r="Z218" s="6"/>
      <c r="AA218" s="6"/>
      <c r="AB218" s="6"/>
      <c r="AC218" s="6"/>
      <c r="AD218" s="6"/>
      <c r="AE218" s="6"/>
      <c r="AF218" s="6"/>
      <c r="AG218" s="6"/>
      <c r="AH218" s="6"/>
      <c r="AI218" s="6"/>
      <c r="AJ218" s="6"/>
      <c r="AK218" s="6"/>
      <c r="AL218" s="57" t="s">
        <v>384</v>
      </c>
      <c r="AM218" s="57">
        <v>45630</v>
      </c>
      <c r="AN218" s="57" t="s">
        <v>19</v>
      </c>
      <c r="AO218" s="57" t="s">
        <v>13</v>
      </c>
      <c r="AP218" s="57" t="s">
        <v>21</v>
      </c>
      <c r="AQ218" s="57">
        <v>68</v>
      </c>
      <c r="AR218" s="57">
        <v>116</v>
      </c>
      <c r="AS218" s="57">
        <v>184</v>
      </c>
      <c r="AT218" s="57">
        <v>53</v>
      </c>
      <c r="AU218" s="57">
        <v>58</v>
      </c>
      <c r="AV218" s="57">
        <v>2</v>
      </c>
      <c r="AW218" s="57">
        <v>1682</v>
      </c>
      <c r="AX218" s="57">
        <v>2843</v>
      </c>
      <c r="AY218" s="57">
        <v>0.63043478260869568</v>
      </c>
      <c r="AZ218" s="57">
        <v>0.63043478260869568</v>
      </c>
      <c r="BA218" s="57">
        <v>68</v>
      </c>
      <c r="BB218" s="57">
        <v>114376</v>
      </c>
      <c r="BC218" s="57" t="s">
        <v>552</v>
      </c>
      <c r="BD218" s="57" t="s">
        <v>563</v>
      </c>
      <c r="BE218" s="66">
        <v>329788</v>
      </c>
    </row>
    <row r="219" spans="1:57" x14ac:dyDescent="0.3">
      <c r="A219" s="44" t="s">
        <v>249</v>
      </c>
      <c r="B219" s="45">
        <v>45646</v>
      </c>
      <c r="C219" s="44" t="s">
        <v>26</v>
      </c>
      <c r="D219" s="44" t="s">
        <v>20</v>
      </c>
      <c r="E219" s="44" t="s">
        <v>14</v>
      </c>
      <c r="F219" s="40">
        <v>12</v>
      </c>
      <c r="G219" s="44">
        <v>88</v>
      </c>
      <c r="H219" s="44">
        <f>IFERROR('Automated raw'!$F219+'Automated raw'!$G219,"-")</f>
        <v>100</v>
      </c>
      <c r="I219" s="44">
        <v>276</v>
      </c>
      <c r="J219" s="44">
        <v>63</v>
      </c>
      <c r="K219" s="44">
        <v>15</v>
      </c>
      <c r="L219" s="44">
        <v>1371</v>
      </c>
      <c r="M219" s="44">
        <v>2321</v>
      </c>
      <c r="N219" s="44">
        <f>'Automated raw'!$G219/'Automated raw'!$H219</f>
        <v>0.88</v>
      </c>
      <c r="O219" s="46">
        <f>IFERROR('Automated raw'!$G219/'Automated raw'!$H219,"incomplete")</f>
        <v>0.88</v>
      </c>
      <c r="P219" s="44">
        <f>'Automated raw'!$F219</f>
        <v>12</v>
      </c>
      <c r="Q219" s="47">
        <f>IFERROR('Automated raw'!$P219*'Automated raw'!$L219,0)</f>
        <v>16452</v>
      </c>
      <c r="R219" s="44" t="str">
        <f>IF('Automated raw'!$O219&gt;=60%,"High",IF('Automated raw'!$O219&gt;=30%,"Avg",IF('Automated raw'!$O219&lt;30%,"Dead Stock","Incomplete")))</f>
        <v>High</v>
      </c>
      <c r="S219" s="48" t="str">
        <f>TEXT('Automated raw'!$B219,"mmm")</f>
        <v>Dec</v>
      </c>
      <c r="T219" s="83">
        <f>'Automated raw'!$G219*'Automated raw'!$M219</f>
        <v>204248</v>
      </c>
      <c r="U219" s="6">
        <f>IFERROR((Table7[[#This Row],[Stock In(Total)]]+Table7[[#This Row],[In Stock or Remaining]])/2,"-")</f>
        <v>56</v>
      </c>
      <c r="V219" s="93">
        <f>IFERROR(Table7[[#This Row],[Stock_Out]]/Table7[[#This Row],[Avg Inventory]],"-")</f>
        <v>1.5714285714285714</v>
      </c>
      <c r="W219" s="6"/>
      <c r="X219" s="6"/>
      <c r="Y219" s="6"/>
      <c r="Z219" s="6"/>
      <c r="AA219" s="6"/>
      <c r="AB219" s="6"/>
      <c r="AC219" s="6"/>
      <c r="AD219" s="6"/>
      <c r="AE219" s="6"/>
      <c r="AF219" s="6"/>
      <c r="AG219" s="6"/>
      <c r="AH219" s="6"/>
      <c r="AI219" s="6"/>
      <c r="AJ219" s="6"/>
      <c r="AK219" s="6"/>
      <c r="AL219" s="57" t="s">
        <v>323</v>
      </c>
      <c r="AM219" s="57">
        <v>45508</v>
      </c>
      <c r="AN219" s="57" t="s">
        <v>37</v>
      </c>
      <c r="AO219" s="57" t="s">
        <v>17</v>
      </c>
      <c r="AP219" s="57" t="s">
        <v>33</v>
      </c>
      <c r="AQ219" s="57">
        <v>32</v>
      </c>
      <c r="AR219" s="57">
        <v>116</v>
      </c>
      <c r="AS219" s="57">
        <v>148</v>
      </c>
      <c r="AT219" s="57">
        <v>62</v>
      </c>
      <c r="AU219" s="57">
        <v>40</v>
      </c>
      <c r="AV219" s="57">
        <v>11</v>
      </c>
      <c r="AW219" s="57">
        <v>1576</v>
      </c>
      <c r="AX219" s="57">
        <v>2774</v>
      </c>
      <c r="AY219" s="57">
        <v>0.78378378378378377</v>
      </c>
      <c r="AZ219" s="57">
        <v>0.78378378378378377</v>
      </c>
      <c r="BA219" s="57">
        <v>32</v>
      </c>
      <c r="BB219" s="57">
        <v>50432</v>
      </c>
      <c r="BC219" s="57" t="s">
        <v>552</v>
      </c>
      <c r="BD219" s="57" t="s">
        <v>554</v>
      </c>
      <c r="BE219" s="66">
        <v>321784</v>
      </c>
    </row>
    <row r="220" spans="1:57" x14ac:dyDescent="0.3">
      <c r="A220" s="38" t="s">
        <v>320</v>
      </c>
      <c r="B220" s="39">
        <v>45523</v>
      </c>
      <c r="C220" s="38" t="s">
        <v>26</v>
      </c>
      <c r="D220" s="38" t="s">
        <v>20</v>
      </c>
      <c r="E220" s="38" t="s">
        <v>38</v>
      </c>
      <c r="F220" s="40">
        <v>116</v>
      </c>
      <c r="G220" s="38">
        <v>81</v>
      </c>
      <c r="H220" s="38">
        <f>IFERROR('Automated raw'!$F288+'Automated raw'!$G288,"-")</f>
        <v>266</v>
      </c>
      <c r="I220" s="38">
        <v>207</v>
      </c>
      <c r="J220" s="38">
        <v>36</v>
      </c>
      <c r="K220" s="38">
        <v>2</v>
      </c>
      <c r="L220" s="38">
        <v>827</v>
      </c>
      <c r="M220" s="38">
        <v>1920</v>
      </c>
      <c r="N220" s="38">
        <f>'Automated raw'!$G288/'Automated raw'!$H288</f>
        <v>0.51965065502183405</v>
      </c>
      <c r="O220" s="41">
        <f>IFERROR('Automated raw'!$G288/'Automated raw'!$H288,"incomplete")</f>
        <v>0.51965065502183405</v>
      </c>
      <c r="P220" s="38">
        <f>'Automated raw'!$F288</f>
        <v>147</v>
      </c>
      <c r="Q220" s="42">
        <f>IFERROR('Automated raw'!$P288*'Automated raw'!$L288,0)</f>
        <v>220296</v>
      </c>
      <c r="R220" s="38" t="str">
        <f>IF('Automated raw'!$O288&gt;=60%,"High",IF('Automated raw'!$O288&gt;=30%,"Avg",IF('Automated raw'!$O288&lt;30%,"Dead Stock","Incomplete")))</f>
        <v>Avg</v>
      </c>
      <c r="S220" s="43" t="str">
        <f>TEXT('Automated raw'!$B288,"mmm")</f>
        <v>Oct</v>
      </c>
      <c r="T220" s="82">
        <f>'Automated raw'!$G288*'Automated raw'!$M288</f>
        <v>361998</v>
      </c>
      <c r="U220" s="6">
        <f>IFERROR((Table7[[#This Row],[Stock In(Total)]]+Table7[[#This Row],[In Stock or Remaining]])/2,"-")</f>
        <v>191</v>
      </c>
      <c r="V220" s="93">
        <f>IFERROR(Table7[[#This Row],[Stock_Out]]/Table7[[#This Row],[Avg Inventory]],"-")</f>
        <v>0.42408376963350786</v>
      </c>
      <c r="W220" s="6"/>
      <c r="X220" s="6"/>
      <c r="Y220" s="6"/>
      <c r="Z220" s="6"/>
      <c r="AA220" s="6"/>
      <c r="AB220" s="6"/>
      <c r="AC220" s="6"/>
      <c r="AD220" s="6"/>
      <c r="AE220" s="6"/>
      <c r="AF220" s="6"/>
      <c r="AG220" s="6"/>
      <c r="AH220" s="6"/>
      <c r="AI220" s="6"/>
      <c r="AJ220" s="6"/>
      <c r="AK220" s="6"/>
      <c r="AL220" s="56" t="s">
        <v>136</v>
      </c>
      <c r="AM220" s="56">
        <v>45643</v>
      </c>
      <c r="AN220" s="56" t="s">
        <v>16</v>
      </c>
      <c r="AO220" s="56" t="s">
        <v>17</v>
      </c>
      <c r="AP220" s="56" t="s">
        <v>21</v>
      </c>
      <c r="AQ220" s="56">
        <v>25</v>
      </c>
      <c r="AR220" s="56">
        <v>97</v>
      </c>
      <c r="AS220" s="56">
        <v>122</v>
      </c>
      <c r="AT220" s="56">
        <v>134</v>
      </c>
      <c r="AU220" s="56">
        <v>55</v>
      </c>
      <c r="AV220" s="56">
        <v>4</v>
      </c>
      <c r="AW220" s="56">
        <v>1891</v>
      </c>
      <c r="AX220" s="56">
        <v>3233</v>
      </c>
      <c r="AY220" s="56">
        <v>0.79508196721311475</v>
      </c>
      <c r="AZ220" s="56">
        <v>0.79508196721311475</v>
      </c>
      <c r="BA220" s="56">
        <v>25</v>
      </c>
      <c r="BB220" s="56">
        <v>47275</v>
      </c>
      <c r="BC220" s="56" t="s">
        <v>552</v>
      </c>
      <c r="BD220" s="56" t="s">
        <v>563</v>
      </c>
      <c r="BE220" s="67">
        <v>313601</v>
      </c>
    </row>
    <row r="221" spans="1:57" x14ac:dyDescent="0.3">
      <c r="A221" s="44" t="s">
        <v>118</v>
      </c>
      <c r="B221" s="45">
        <v>45307</v>
      </c>
      <c r="C221" s="44" t="s">
        <v>16</v>
      </c>
      <c r="D221" s="44" t="s">
        <v>20</v>
      </c>
      <c r="E221" s="44" t="s">
        <v>14</v>
      </c>
      <c r="F221" s="40">
        <v>125</v>
      </c>
      <c r="G221" s="44">
        <v>88</v>
      </c>
      <c r="H221" s="44">
        <f>IFERROR('Automated raw'!$F91+'Automated raw'!$G91,"-")</f>
        <v>169</v>
      </c>
      <c r="I221" s="44">
        <v>26</v>
      </c>
      <c r="J221" s="44">
        <v>64</v>
      </c>
      <c r="K221" s="44">
        <v>6</v>
      </c>
      <c r="L221" s="44">
        <v>1621</v>
      </c>
      <c r="M221" s="44">
        <v>2932</v>
      </c>
      <c r="N221" s="44">
        <f>'Automated raw'!$G91/'Automated raw'!$H91</f>
        <v>0.25213675213675213</v>
      </c>
      <c r="O221" s="46">
        <f>IFERROR('Automated raw'!$G91/'Automated raw'!$H91,"incomplete")</f>
        <v>0.25213675213675213</v>
      </c>
      <c r="P221" s="44">
        <f>'Automated raw'!$F91</f>
        <v>110</v>
      </c>
      <c r="Q221" s="47">
        <f>IFERROR('Automated raw'!$P91*'Automated raw'!$L91,0)</f>
        <v>141085</v>
      </c>
      <c r="R221" s="44" t="str">
        <f>IF('Automated raw'!$O91&gt;=60%,"High",IF('Automated raw'!$O91&gt;=30%,"Avg",IF('Automated raw'!$O91&lt;30%,"Dead Stock","Incomplete")))</f>
        <v>Avg</v>
      </c>
      <c r="S221" s="48" t="str">
        <f>TEXT('Automated raw'!$B91,"mmm")</f>
        <v>May</v>
      </c>
      <c r="T221" s="83">
        <f>'Automated raw'!$G91*'Automated raw'!$M91</f>
        <v>148149</v>
      </c>
      <c r="U221" s="6">
        <f>IFERROR((Table7[[#This Row],[Stock In(Total)]]+Table7[[#This Row],[In Stock or Remaining]])/2,"-")</f>
        <v>147</v>
      </c>
      <c r="V221" s="93">
        <f>IFERROR(Table7[[#This Row],[Stock_Out]]/Table7[[#This Row],[Avg Inventory]],"-")</f>
        <v>0.59863945578231292</v>
      </c>
      <c r="W221" s="6"/>
      <c r="X221" s="6"/>
      <c r="Y221" s="6"/>
      <c r="Z221" s="6"/>
      <c r="AA221" s="6"/>
      <c r="AB221" s="6"/>
      <c r="AC221" s="6"/>
      <c r="AD221" s="6"/>
      <c r="AE221" s="6"/>
      <c r="AF221" s="6"/>
      <c r="AG221" s="6"/>
      <c r="AH221" s="6"/>
      <c r="AI221" s="6"/>
      <c r="AJ221" s="6"/>
      <c r="AK221" s="6"/>
      <c r="AL221" s="56" t="s">
        <v>113</v>
      </c>
      <c r="AM221" s="56">
        <v>45604</v>
      </c>
      <c r="AN221" s="56" t="s">
        <v>19</v>
      </c>
      <c r="AO221" s="56" t="s">
        <v>20</v>
      </c>
      <c r="AP221" s="56" t="s">
        <v>21</v>
      </c>
      <c r="AQ221" s="56">
        <v>74</v>
      </c>
      <c r="AR221" s="56">
        <v>120</v>
      </c>
      <c r="AS221" s="56">
        <v>194</v>
      </c>
      <c r="AT221" s="56">
        <v>24</v>
      </c>
      <c r="AU221" s="56">
        <v>54</v>
      </c>
      <c r="AV221" s="56">
        <v>5</v>
      </c>
      <c r="AW221" s="56">
        <v>1200</v>
      </c>
      <c r="AX221" s="56">
        <v>2502</v>
      </c>
      <c r="AY221" s="56">
        <v>0.61855670103092786</v>
      </c>
      <c r="AZ221" s="56">
        <v>0.61855670103092786</v>
      </c>
      <c r="BA221" s="56">
        <v>74</v>
      </c>
      <c r="BB221" s="56">
        <v>88800</v>
      </c>
      <c r="BC221" s="56" t="s">
        <v>552</v>
      </c>
      <c r="BD221" s="56" t="s">
        <v>564</v>
      </c>
      <c r="BE221" s="67">
        <v>300240</v>
      </c>
    </row>
    <row r="222" spans="1:57" x14ac:dyDescent="0.3">
      <c r="A222" s="38" t="s">
        <v>499</v>
      </c>
      <c r="B222" s="39">
        <v>45420</v>
      </c>
      <c r="C222" s="38" t="s">
        <v>19</v>
      </c>
      <c r="D222" s="38" t="s">
        <v>20</v>
      </c>
      <c r="E222" s="38" t="s">
        <v>33</v>
      </c>
      <c r="F222" s="40">
        <v>44</v>
      </c>
      <c r="G222" s="38">
        <v>31</v>
      </c>
      <c r="H222" s="38">
        <f>IFERROR('Automated raw'!$F466+'Automated raw'!$G466,"-")</f>
        <v>78</v>
      </c>
      <c r="I222" s="38">
        <v>205</v>
      </c>
      <c r="J222" s="38">
        <v>45</v>
      </c>
      <c r="K222" s="38">
        <v>2</v>
      </c>
      <c r="L222" s="38">
        <v>334</v>
      </c>
      <c r="M222" s="38">
        <v>776</v>
      </c>
      <c r="N222" s="38">
        <f>'Automated raw'!$G466/'Automated raw'!$H466</f>
        <v>0.38938053097345132</v>
      </c>
      <c r="O222" s="41">
        <f>IFERROR('Automated raw'!$G466/'Automated raw'!$H466,"incomplete")</f>
        <v>0.38938053097345132</v>
      </c>
      <c r="P222" s="38">
        <f>'Automated raw'!$F466</f>
        <v>34</v>
      </c>
      <c r="Q222" s="42">
        <f>IFERROR('Automated raw'!$P466*'Automated raw'!$L466,0)</f>
        <v>91980</v>
      </c>
      <c r="R222" s="38" t="str">
        <f>IF('Automated raw'!$O466&gt;=60%,"High",IF('Automated raw'!$O466&gt;=30%,"Avg",IF('Automated raw'!$O466&lt;30%,"Dead Stock","Incomplete")))</f>
        <v>Dead Stock</v>
      </c>
      <c r="S222" s="43" t="str">
        <f>TEXT('Automated raw'!$B466,"mmm")</f>
        <v>Apr</v>
      </c>
      <c r="T222" s="82">
        <f>'Automated raw'!$G466*'Automated raw'!$M466</f>
        <v>71236</v>
      </c>
      <c r="U222" s="6">
        <f>IFERROR((Table7[[#This Row],[Stock In(Total)]]+Table7[[#This Row],[In Stock or Remaining]])/2,"-")</f>
        <v>61</v>
      </c>
      <c r="V222" s="93">
        <f>IFERROR(Table7[[#This Row],[Stock_Out]]/Table7[[#This Row],[Avg Inventory]],"-")</f>
        <v>0.50819672131147542</v>
      </c>
      <c r="W222" s="6"/>
      <c r="X222" s="6"/>
      <c r="Y222" s="6"/>
      <c r="Z222" s="6"/>
      <c r="AA222" s="6"/>
      <c r="AB222" s="6"/>
      <c r="AC222" s="6"/>
      <c r="AD222" s="6"/>
      <c r="AE222" s="6"/>
      <c r="AF222" s="6"/>
      <c r="AG222" s="6"/>
      <c r="AH222" s="6"/>
      <c r="AI222" s="6"/>
      <c r="AJ222" s="6"/>
      <c r="AK222" s="6"/>
      <c r="AL222" s="56" t="s">
        <v>296</v>
      </c>
      <c r="AM222" s="56">
        <v>45502</v>
      </c>
      <c r="AN222" s="56" t="s">
        <v>37</v>
      </c>
      <c r="AO222" s="56" t="s">
        <v>13</v>
      </c>
      <c r="AP222" s="56" t="s">
        <v>14</v>
      </c>
      <c r="AQ222" s="56">
        <v>56</v>
      </c>
      <c r="AR222" s="56">
        <v>107</v>
      </c>
      <c r="AS222" s="56">
        <v>163</v>
      </c>
      <c r="AT222" s="56">
        <v>58</v>
      </c>
      <c r="AU222" s="56">
        <v>36</v>
      </c>
      <c r="AV222" s="56">
        <v>13</v>
      </c>
      <c r="AW222" s="56">
        <v>1233</v>
      </c>
      <c r="AX222" s="56">
        <v>2679</v>
      </c>
      <c r="AY222" s="56">
        <v>0.65644171779141103</v>
      </c>
      <c r="AZ222" s="56">
        <v>0.65644171779141103</v>
      </c>
      <c r="BA222" s="56">
        <v>56</v>
      </c>
      <c r="BB222" s="56">
        <v>69048</v>
      </c>
      <c r="BC222" s="56" t="s">
        <v>552</v>
      </c>
      <c r="BD222" s="56" t="s">
        <v>556</v>
      </c>
      <c r="BE222" s="67">
        <v>286653</v>
      </c>
    </row>
    <row r="223" spans="1:57" x14ac:dyDescent="0.3">
      <c r="A223" s="38" t="s">
        <v>228</v>
      </c>
      <c r="B223" s="39">
        <v>45536</v>
      </c>
      <c r="C223" s="38" t="s">
        <v>12</v>
      </c>
      <c r="D223" s="38" t="s">
        <v>13</v>
      </c>
      <c r="E223" s="38" t="s">
        <v>14</v>
      </c>
      <c r="F223" s="40">
        <v>126</v>
      </c>
      <c r="G223" s="38">
        <v>89</v>
      </c>
      <c r="H223" s="38">
        <f>IFERROR('Automated raw'!$F198+'Automated raw'!$G198,"-")</f>
        <v>244</v>
      </c>
      <c r="I223" s="38">
        <v>50</v>
      </c>
      <c r="J223" s="38">
        <v>60</v>
      </c>
      <c r="K223" s="38">
        <v>14</v>
      </c>
      <c r="L223" s="38">
        <v>1341</v>
      </c>
      <c r="M223" s="38">
        <v>2761</v>
      </c>
      <c r="N223" s="38">
        <f>'Automated raw'!$G198/'Automated raw'!$H198</f>
        <v>0.67361111111111116</v>
      </c>
      <c r="O223" s="41">
        <f>IFERROR('Automated raw'!$G198/'Automated raw'!$H198,"incomplete")</f>
        <v>0.67361111111111116</v>
      </c>
      <c r="P223" s="38">
        <f>'Automated raw'!$F198</f>
        <v>147</v>
      </c>
      <c r="Q223" s="42">
        <f>IFERROR('Automated raw'!$P198*'Automated raw'!$L198,0)</f>
        <v>49420</v>
      </c>
      <c r="R223" s="38" t="str">
        <f>IF('Automated raw'!$O198&gt;=60%,"High",IF('Automated raw'!$O198&gt;=30%,"Avg",IF('Automated raw'!$O198&lt;30%,"Dead Stock","Incomplete")))</f>
        <v>High</v>
      </c>
      <c r="S223" s="43" t="str">
        <f>TEXT('Automated raw'!$B198,"mmm")</f>
        <v>Jul</v>
      </c>
      <c r="T223" s="82">
        <f>'Automated raw'!$G198*'Automated raw'!$M198</f>
        <v>150253</v>
      </c>
      <c r="U223" s="6">
        <f>IFERROR((Table7[[#This Row],[Stock In(Total)]]+Table7[[#This Row],[In Stock or Remaining]])/2,"-")</f>
        <v>185</v>
      </c>
      <c r="V223" s="93">
        <f>IFERROR(Table7[[#This Row],[Stock_Out]]/Table7[[#This Row],[Avg Inventory]],"-")</f>
        <v>0.48108108108108111</v>
      </c>
      <c r="W223" s="6"/>
      <c r="X223" s="6"/>
      <c r="Y223" s="6"/>
      <c r="Z223" s="6"/>
      <c r="AA223" s="6"/>
      <c r="AB223" s="6"/>
      <c r="AC223" s="6"/>
      <c r="AD223" s="6"/>
      <c r="AE223" s="6"/>
      <c r="AF223" s="6"/>
      <c r="AG223" s="6"/>
      <c r="AH223" s="6"/>
      <c r="AI223" s="6"/>
      <c r="AJ223" s="6"/>
      <c r="AK223" s="6"/>
      <c r="AL223" s="57" t="s">
        <v>36</v>
      </c>
      <c r="AM223" s="57">
        <v>45458</v>
      </c>
      <c r="AN223" s="57" t="s">
        <v>37</v>
      </c>
      <c r="AO223" s="57" t="s">
        <v>13</v>
      </c>
      <c r="AP223" s="57" t="s">
        <v>38</v>
      </c>
      <c r="AQ223" s="57">
        <v>60</v>
      </c>
      <c r="AR223" s="57">
        <v>120</v>
      </c>
      <c r="AS223" s="57">
        <v>180</v>
      </c>
      <c r="AT223" s="57">
        <v>136</v>
      </c>
      <c r="AU223" s="57">
        <v>32</v>
      </c>
      <c r="AV223" s="57">
        <v>7</v>
      </c>
      <c r="AW223" s="57">
        <v>1750</v>
      </c>
      <c r="AX223" s="57">
        <v>2380</v>
      </c>
      <c r="AY223" s="57">
        <v>0.66666666666666663</v>
      </c>
      <c r="AZ223" s="57">
        <v>0.66666666666666663</v>
      </c>
      <c r="BA223" s="57">
        <v>60</v>
      </c>
      <c r="BB223" s="57">
        <v>105000</v>
      </c>
      <c r="BC223" s="57" t="s">
        <v>552</v>
      </c>
      <c r="BD223" s="57" t="s">
        <v>559</v>
      </c>
      <c r="BE223" s="66">
        <v>285600</v>
      </c>
    </row>
    <row r="224" spans="1:57" x14ac:dyDescent="0.3">
      <c r="A224" s="38" t="s">
        <v>453</v>
      </c>
      <c r="B224" s="39">
        <v>45551</v>
      </c>
      <c r="C224" s="38" t="s">
        <v>53</v>
      </c>
      <c r="D224" s="38" t="s">
        <v>13</v>
      </c>
      <c r="E224" s="38" t="s">
        <v>38</v>
      </c>
      <c r="F224" s="40">
        <v>147</v>
      </c>
      <c r="G224" s="38">
        <v>105</v>
      </c>
      <c r="H224" s="38">
        <f>IFERROR('Automated raw'!$F420+'Automated raw'!$G420,"-")</f>
        <v>118</v>
      </c>
      <c r="I224" s="38">
        <v>206</v>
      </c>
      <c r="J224" s="38">
        <v>66</v>
      </c>
      <c r="K224" s="38">
        <v>3</v>
      </c>
      <c r="L224" s="38">
        <v>832</v>
      </c>
      <c r="M224" s="38">
        <v>1324</v>
      </c>
      <c r="N224" s="38">
        <f>'Automated raw'!$G420/'Automated raw'!$H420</f>
        <v>0.31313131313131315</v>
      </c>
      <c r="O224" s="41">
        <f>IFERROR('Automated raw'!$G420/'Automated raw'!$H420,"incomplete")</f>
        <v>0.31313131313131315</v>
      </c>
      <c r="P224" s="38">
        <f>'Automated raw'!$F420</f>
        <v>56</v>
      </c>
      <c r="Q224" s="42">
        <f>IFERROR('Automated raw'!$P420*'Automated raw'!$L420,0)</f>
        <v>196460</v>
      </c>
      <c r="R224" s="38" t="str">
        <f>IF('Automated raw'!$O420&gt;=60%,"High",IF('Automated raw'!$O420&gt;=30%,"Avg",IF('Automated raw'!$O420&lt;30%,"Dead Stock","Incomplete")))</f>
        <v>Avg</v>
      </c>
      <c r="S224" s="43" t="str">
        <f>TEXT('Automated raw'!$B420,"mmm")</f>
        <v>Aug</v>
      </c>
      <c r="T224" s="82">
        <f>'Automated raw'!$G420*'Automated raw'!$M420</f>
        <v>187736</v>
      </c>
      <c r="U224" s="6">
        <f>IFERROR((Table7[[#This Row],[Stock In(Total)]]+Table7[[#This Row],[In Stock or Remaining]])/2,"-")</f>
        <v>132.5</v>
      </c>
      <c r="V224" s="93">
        <f>IFERROR(Table7[[#This Row],[Stock_Out]]/Table7[[#This Row],[Avg Inventory]],"-")</f>
        <v>0.79245283018867929</v>
      </c>
      <c r="W224" s="6"/>
      <c r="X224" s="6"/>
      <c r="Y224" s="6"/>
      <c r="Z224" s="6"/>
      <c r="AA224" s="6"/>
      <c r="AB224" s="6"/>
      <c r="AC224" s="6"/>
      <c r="AD224" s="6"/>
      <c r="AE224" s="6"/>
      <c r="AF224" s="6"/>
      <c r="AG224" s="6"/>
      <c r="AH224" s="6"/>
      <c r="AI224" s="6"/>
      <c r="AJ224" s="6"/>
      <c r="AK224" s="6"/>
      <c r="AL224" s="57" t="s">
        <v>489</v>
      </c>
      <c r="AM224" s="57">
        <v>45462</v>
      </c>
      <c r="AN224" s="57" t="s">
        <v>26</v>
      </c>
      <c r="AO224" s="57" t="s">
        <v>13</v>
      </c>
      <c r="AP224" s="57" t="s">
        <v>21</v>
      </c>
      <c r="AQ224" s="57">
        <v>8</v>
      </c>
      <c r="AR224" s="57">
        <v>117</v>
      </c>
      <c r="AS224" s="57">
        <v>125</v>
      </c>
      <c r="AT224" s="57">
        <v>252</v>
      </c>
      <c r="AU224" s="57">
        <v>39</v>
      </c>
      <c r="AV224" s="57">
        <v>8</v>
      </c>
      <c r="AW224" s="57">
        <v>1955</v>
      </c>
      <c r="AX224" s="57">
        <v>2406</v>
      </c>
      <c r="AY224" s="57">
        <v>0.93600000000000005</v>
      </c>
      <c r="AZ224" s="57">
        <v>0.93600000000000005</v>
      </c>
      <c r="BA224" s="57">
        <v>8</v>
      </c>
      <c r="BB224" s="57">
        <v>15640</v>
      </c>
      <c r="BC224" s="57" t="s">
        <v>552</v>
      </c>
      <c r="BD224" s="57" t="s">
        <v>559</v>
      </c>
      <c r="BE224" s="66">
        <v>281502</v>
      </c>
    </row>
    <row r="225" spans="1:57" x14ac:dyDescent="0.3">
      <c r="A225" s="38" t="s">
        <v>252</v>
      </c>
      <c r="B225" s="39">
        <v>45366</v>
      </c>
      <c r="C225" s="38" t="s">
        <v>53</v>
      </c>
      <c r="D225" s="38" t="s">
        <v>17</v>
      </c>
      <c r="E225" s="38" t="s">
        <v>21</v>
      </c>
      <c r="F225" s="40">
        <v>149</v>
      </c>
      <c r="G225" s="38">
        <v>107</v>
      </c>
      <c r="H225" s="38">
        <f>IFERROR('Automated raw'!$F222+'Automated raw'!$G222,"-")</f>
        <v>75</v>
      </c>
      <c r="I225" s="38">
        <v>65</v>
      </c>
      <c r="J225" s="38">
        <v>68</v>
      </c>
      <c r="K225" s="38">
        <v>10</v>
      </c>
      <c r="L225" s="38">
        <v>331</v>
      </c>
      <c r="M225" s="38">
        <v>733</v>
      </c>
      <c r="N225" s="38">
        <f>'Automated raw'!$G222/'Automated raw'!$H222</f>
        <v>0.39743589743589741</v>
      </c>
      <c r="O225" s="41">
        <f>IFERROR('Automated raw'!$G222/'Automated raw'!$H222,"incomplete")</f>
        <v>0.39743589743589741</v>
      </c>
      <c r="P225" s="38">
        <f>'Automated raw'!$F222</f>
        <v>44</v>
      </c>
      <c r="Q225" s="42">
        <f>IFERROR('Automated raw'!$P222*'Automated raw'!$L222,0)</f>
        <v>11356</v>
      </c>
      <c r="R225" s="38" t="str">
        <f>IF('Automated raw'!$O222&gt;=60%,"High",IF('Automated raw'!$O222&gt;=30%,"Avg",IF('Automated raw'!$O222&lt;30%,"Dead Stock","Incomplete")))</f>
        <v>Avg</v>
      </c>
      <c r="S225" s="43" t="str">
        <f>TEXT('Automated raw'!$B222,"mmm")</f>
        <v>May</v>
      </c>
      <c r="T225" s="82">
        <f>'Automated raw'!$G222*'Automated raw'!$M222</f>
        <v>24056</v>
      </c>
      <c r="U225" s="6">
        <f>IFERROR((Table7[[#This Row],[Stock In(Total)]]+Table7[[#This Row],[In Stock or Remaining]])/2,"-")</f>
        <v>112</v>
      </c>
      <c r="V225" s="93">
        <f>IFERROR(Table7[[#This Row],[Stock_Out]]/Table7[[#This Row],[Avg Inventory]],"-")</f>
        <v>0.9553571428571429</v>
      </c>
      <c r="W225" s="6"/>
      <c r="X225" s="6"/>
      <c r="Y225" s="6"/>
      <c r="Z225" s="6"/>
      <c r="AA225" s="6"/>
      <c r="AB225" s="6"/>
      <c r="AC225" s="6"/>
      <c r="AD225" s="6"/>
      <c r="AE225" s="6"/>
      <c r="AF225" s="6"/>
      <c r="AG225" s="6"/>
      <c r="AH225" s="6"/>
      <c r="AI225" s="6"/>
      <c r="AJ225" s="6"/>
      <c r="AK225" s="6"/>
      <c r="AL225" s="57" t="s">
        <v>88</v>
      </c>
      <c r="AM225" s="57">
        <v>45421</v>
      </c>
      <c r="AN225" s="57" t="s">
        <v>45</v>
      </c>
      <c r="AO225" s="57" t="s">
        <v>13</v>
      </c>
      <c r="AP225" s="57" t="s">
        <v>33</v>
      </c>
      <c r="AQ225" s="57">
        <v>6</v>
      </c>
      <c r="AR225" s="57">
        <v>108</v>
      </c>
      <c r="AS225" s="57">
        <v>114</v>
      </c>
      <c r="AT225" s="57">
        <v>257</v>
      </c>
      <c r="AU225" s="57">
        <v>53</v>
      </c>
      <c r="AV225" s="57">
        <v>4</v>
      </c>
      <c r="AW225" s="57">
        <v>1135</v>
      </c>
      <c r="AX225" s="57">
        <v>2555</v>
      </c>
      <c r="AY225" s="57">
        <v>0.94736842105263153</v>
      </c>
      <c r="AZ225" s="57">
        <v>0.94736842105263153</v>
      </c>
      <c r="BA225" s="57">
        <v>6</v>
      </c>
      <c r="BB225" s="57">
        <v>6810</v>
      </c>
      <c r="BC225" s="57" t="s">
        <v>552</v>
      </c>
      <c r="BD225" s="57" t="s">
        <v>561</v>
      </c>
      <c r="BE225" s="66">
        <v>275940</v>
      </c>
    </row>
    <row r="226" spans="1:57" x14ac:dyDescent="0.3">
      <c r="A226" s="38" t="s">
        <v>271</v>
      </c>
      <c r="B226" s="39">
        <v>45320</v>
      </c>
      <c r="C226" s="38" t="s">
        <v>37</v>
      </c>
      <c r="D226" s="38" t="s">
        <v>17</v>
      </c>
      <c r="E226" s="38" t="s">
        <v>21</v>
      </c>
      <c r="F226" s="40">
        <v>11</v>
      </c>
      <c r="G226" s="38">
        <v>8</v>
      </c>
      <c r="H226" s="38">
        <f>IFERROR('Automated raw'!$F240+'Automated raw'!$G240,"-")</f>
        <v>229</v>
      </c>
      <c r="I226" s="38">
        <v>191</v>
      </c>
      <c r="J226" s="38">
        <v>33</v>
      </c>
      <c r="K226" s="38">
        <v>5</v>
      </c>
      <c r="L226" s="38">
        <v>727</v>
      </c>
      <c r="M226" s="38">
        <v>1577</v>
      </c>
      <c r="N226" s="38">
        <f>'Automated raw'!$G240/'Automated raw'!$H240</f>
        <v>0.46445497630331756</v>
      </c>
      <c r="O226" s="41">
        <f>IFERROR('Automated raw'!$G240/'Automated raw'!$H240,"incomplete")</f>
        <v>0.46445497630331756</v>
      </c>
      <c r="P226" s="38">
        <f>'Automated raw'!$F240</f>
        <v>131</v>
      </c>
      <c r="Q226" s="42">
        <f>IFERROR('Automated raw'!$P240*'Automated raw'!$L240,0)</f>
        <v>243000</v>
      </c>
      <c r="R226" s="38" t="str">
        <f>IF('Automated raw'!$O240&gt;=60%,"High",IF('Automated raw'!$O240&gt;=30%,"Avg",IF('Automated raw'!$O240&lt;30%,"Dead Stock","Incomplete")))</f>
        <v>Avg</v>
      </c>
      <c r="S226" s="43" t="str">
        <f>TEXT('Automated raw'!$B240,"mmm")</f>
        <v>Oct</v>
      </c>
      <c r="T226" s="82">
        <f>'Automated raw'!$G240*'Automated raw'!$M240</f>
        <v>223244</v>
      </c>
      <c r="U226" s="6">
        <f>IFERROR((Table7[[#This Row],[Stock In(Total)]]+Table7[[#This Row],[In Stock or Remaining]])/2,"-")</f>
        <v>120</v>
      </c>
      <c r="V226" s="93">
        <f>IFERROR(Table7[[#This Row],[Stock_Out]]/Table7[[#This Row],[Avg Inventory]],"-")</f>
        <v>6.6666666666666666E-2</v>
      </c>
      <c r="W226" s="6"/>
      <c r="X226" s="6"/>
      <c r="Y226" s="6"/>
      <c r="Z226" s="6"/>
      <c r="AA226" s="6"/>
      <c r="AB226" s="6"/>
      <c r="AC226" s="6"/>
      <c r="AD226" s="6"/>
      <c r="AE226" s="6"/>
      <c r="AF226" s="6"/>
      <c r="AG226" s="6"/>
      <c r="AH226" s="6"/>
      <c r="AI226" s="6"/>
      <c r="AJ226" s="6"/>
      <c r="AK226" s="6"/>
      <c r="AL226" s="56" t="s">
        <v>472</v>
      </c>
      <c r="AM226" s="56">
        <v>45652</v>
      </c>
      <c r="AN226" s="56" t="s">
        <v>12</v>
      </c>
      <c r="AO226" s="56" t="s">
        <v>17</v>
      </c>
      <c r="AP226" s="56" t="s">
        <v>14</v>
      </c>
      <c r="AQ226" s="56">
        <v>30</v>
      </c>
      <c r="AR226" s="56">
        <v>115</v>
      </c>
      <c r="AS226" s="56">
        <v>145</v>
      </c>
      <c r="AT226" s="56">
        <v>91</v>
      </c>
      <c r="AU226" s="56">
        <v>43</v>
      </c>
      <c r="AV226" s="56">
        <v>7</v>
      </c>
      <c r="AW226" s="56">
        <v>1891</v>
      </c>
      <c r="AX226" s="56">
        <v>2257</v>
      </c>
      <c r="AY226" s="56">
        <v>0.7931034482758621</v>
      </c>
      <c r="AZ226" s="56">
        <v>0.7931034482758621</v>
      </c>
      <c r="BA226" s="56">
        <v>30</v>
      </c>
      <c r="BB226" s="56">
        <v>56730</v>
      </c>
      <c r="BC226" s="56" t="s">
        <v>552</v>
      </c>
      <c r="BD226" s="56" t="s">
        <v>563</v>
      </c>
      <c r="BE226" s="67">
        <v>259555</v>
      </c>
    </row>
    <row r="227" spans="1:57" x14ac:dyDescent="0.3">
      <c r="A227" s="44" t="s">
        <v>257</v>
      </c>
      <c r="B227" s="45">
        <v>45611</v>
      </c>
      <c r="C227" s="44" t="s">
        <v>12</v>
      </c>
      <c r="D227" s="44" t="s">
        <v>20</v>
      </c>
      <c r="E227" s="44" t="s">
        <v>33</v>
      </c>
      <c r="F227" s="40">
        <v>31</v>
      </c>
      <c r="G227" s="44">
        <v>13</v>
      </c>
      <c r="H227" s="44">
        <f>IFERROR('Automated raw'!$F227+'Automated raw'!$G227,"-")</f>
        <v>44</v>
      </c>
      <c r="I227" s="44">
        <v>176</v>
      </c>
      <c r="J227" s="44">
        <v>69</v>
      </c>
      <c r="K227" s="44">
        <v>13</v>
      </c>
      <c r="L227" s="44">
        <v>950</v>
      </c>
      <c r="M227" s="44">
        <v>1761</v>
      </c>
      <c r="N227" s="44">
        <f>'Automated raw'!$G227/'Automated raw'!$H227</f>
        <v>0.29545454545454547</v>
      </c>
      <c r="O227" s="46">
        <f>IFERROR('Automated raw'!$G227/'Automated raw'!$H227,"incomplete")</f>
        <v>0.29545454545454547</v>
      </c>
      <c r="P227" s="44">
        <f>'Automated raw'!$F227</f>
        <v>31</v>
      </c>
      <c r="Q227" s="47">
        <f>IFERROR('Automated raw'!$P227*'Automated raw'!$L227,0)</f>
        <v>29450</v>
      </c>
      <c r="R227" s="44" t="str">
        <f>IF('Automated raw'!$O227&gt;=60%,"High",IF('Automated raw'!$O227&gt;=30%,"Avg",IF('Automated raw'!$O227&lt;30%,"Dead Stock","Incomplete")))</f>
        <v>Dead Stock</v>
      </c>
      <c r="S227" s="48" t="str">
        <f>TEXT('Automated raw'!$B227,"mmm")</f>
        <v>Nov</v>
      </c>
      <c r="T227" s="83">
        <f>'Automated raw'!$G227*'Automated raw'!$M227</f>
        <v>22893</v>
      </c>
      <c r="U227" s="6">
        <f>IFERROR((Table7[[#This Row],[Stock In(Total)]]+Table7[[#This Row],[In Stock or Remaining]])/2,"-")</f>
        <v>37.5</v>
      </c>
      <c r="V227" s="93">
        <f>IFERROR(Table7[[#This Row],[Stock_Out]]/Table7[[#This Row],[Avg Inventory]],"-")</f>
        <v>0.34666666666666668</v>
      </c>
      <c r="W227" s="6"/>
      <c r="X227" s="6"/>
      <c r="Y227" s="6"/>
      <c r="Z227" s="6"/>
      <c r="AA227" s="6"/>
      <c r="AB227" s="6"/>
      <c r="AC227" s="6"/>
      <c r="AD227" s="6"/>
      <c r="AE227" s="6"/>
      <c r="AF227" s="6"/>
      <c r="AG227" s="6"/>
      <c r="AH227" s="6"/>
      <c r="AI227" s="6"/>
      <c r="AJ227" s="6"/>
      <c r="AK227" s="6"/>
      <c r="AL227" s="56" t="s">
        <v>63</v>
      </c>
      <c r="AM227" s="56">
        <v>45381</v>
      </c>
      <c r="AN227" s="56" t="s">
        <v>30</v>
      </c>
      <c r="AO227" s="56" t="s">
        <v>17</v>
      </c>
      <c r="AP227" s="56" t="s">
        <v>14</v>
      </c>
      <c r="AQ227" s="56" t="s">
        <v>23</v>
      </c>
      <c r="AR227" s="56">
        <v>109</v>
      </c>
      <c r="AS227" s="56" t="s">
        <v>568</v>
      </c>
      <c r="AT227" s="56">
        <v>151</v>
      </c>
      <c r="AU227" s="56">
        <v>52</v>
      </c>
      <c r="AV227" s="56">
        <v>15</v>
      </c>
      <c r="AW227" s="56">
        <v>1424</v>
      </c>
      <c r="AX227" s="56">
        <v>2364</v>
      </c>
      <c r="AY227" s="56" t="e">
        <v>#VALUE!</v>
      </c>
      <c r="AZ227" s="56" t="s">
        <v>569</v>
      </c>
      <c r="BA227" s="56" t="s">
        <v>23</v>
      </c>
      <c r="BB227" s="56">
        <v>0</v>
      </c>
      <c r="BC227" s="56" t="s">
        <v>552</v>
      </c>
      <c r="BD227" s="56" t="s">
        <v>562</v>
      </c>
      <c r="BE227" s="67">
        <v>257676</v>
      </c>
    </row>
    <row r="228" spans="1:57" x14ac:dyDescent="0.3">
      <c r="A228" s="38" t="s">
        <v>258</v>
      </c>
      <c r="B228" s="39">
        <v>45515</v>
      </c>
      <c r="C228" s="38" t="s">
        <v>259</v>
      </c>
      <c r="D228" s="38" t="s">
        <v>17</v>
      </c>
      <c r="E228" s="38" t="s">
        <v>14</v>
      </c>
      <c r="F228" s="40">
        <v>80</v>
      </c>
      <c r="G228" s="38">
        <v>3</v>
      </c>
      <c r="H228" s="38">
        <f>IFERROR('Automated raw'!$F228+'Automated raw'!$G228,"-")</f>
        <v>83</v>
      </c>
      <c r="I228" s="38">
        <v>131</v>
      </c>
      <c r="J228" s="38">
        <v>46</v>
      </c>
      <c r="K228" s="38">
        <v>13</v>
      </c>
      <c r="L228" s="38">
        <v>603</v>
      </c>
      <c r="M228" s="38">
        <v>914</v>
      </c>
      <c r="N228" s="38">
        <f>'Automated raw'!$G228/'Automated raw'!$H228</f>
        <v>3.614457831325301E-2</v>
      </c>
      <c r="O228" s="41">
        <f>IFERROR('Automated raw'!$G228/'Automated raw'!$H228,"incomplete")</f>
        <v>3.614457831325301E-2</v>
      </c>
      <c r="P228" s="38">
        <f>'Automated raw'!$F228</f>
        <v>80</v>
      </c>
      <c r="Q228" s="42">
        <f>IFERROR('Automated raw'!$P228*'Automated raw'!$L228,0)</f>
        <v>48240</v>
      </c>
      <c r="R228" s="38" t="str">
        <f>IF('Automated raw'!$O228&gt;=60%,"High",IF('Automated raw'!$O228&gt;=30%,"Avg",IF('Automated raw'!$O228&lt;30%,"Dead Stock","Incomplete")))</f>
        <v>Dead Stock</v>
      </c>
      <c r="S228" s="43" t="str">
        <f>TEXT('Automated raw'!$B228,"mmm")</f>
        <v>Aug</v>
      </c>
      <c r="T228" s="82">
        <f>'Automated raw'!$G228*'Automated raw'!$M228</f>
        <v>2742</v>
      </c>
      <c r="U228" s="6">
        <f>IFERROR((Table7[[#This Row],[Stock In(Total)]]+Table7[[#This Row],[In Stock or Remaining]])/2,"-")</f>
        <v>81.5</v>
      </c>
      <c r="V228" s="93">
        <f>IFERROR(Table7[[#This Row],[Stock_Out]]/Table7[[#This Row],[Avg Inventory]],"-")</f>
        <v>3.6809815950920248E-2</v>
      </c>
      <c r="W228" s="6"/>
      <c r="X228" s="6"/>
      <c r="Y228" s="6"/>
      <c r="Z228" s="6"/>
      <c r="AA228" s="6"/>
      <c r="AB228" s="6"/>
      <c r="AC228" s="6"/>
      <c r="AD228" s="6"/>
      <c r="AE228" s="6"/>
      <c r="AF228" s="6"/>
      <c r="AG228" s="6"/>
      <c r="AH228" s="6"/>
      <c r="AI228" s="6"/>
      <c r="AJ228" s="6"/>
      <c r="AK228" s="6"/>
      <c r="AL228" s="56" t="s">
        <v>436</v>
      </c>
      <c r="AM228" s="56">
        <v>45553</v>
      </c>
      <c r="AN228" s="56" t="s">
        <v>53</v>
      </c>
      <c r="AO228" s="56" t="s">
        <v>17</v>
      </c>
      <c r="AP228" s="56" t="s">
        <v>14</v>
      </c>
      <c r="AQ228" s="56">
        <v>27</v>
      </c>
      <c r="AR228" s="56">
        <v>99</v>
      </c>
      <c r="AS228" s="56">
        <v>126</v>
      </c>
      <c r="AT228" s="56">
        <v>182</v>
      </c>
      <c r="AU228" s="56">
        <v>69</v>
      </c>
      <c r="AV228" s="56">
        <v>3</v>
      </c>
      <c r="AW228" s="56">
        <v>1754</v>
      </c>
      <c r="AX228" s="56">
        <v>2581</v>
      </c>
      <c r="AY228" s="56">
        <v>0.7857142857142857</v>
      </c>
      <c r="AZ228" s="56">
        <v>0.7857142857142857</v>
      </c>
      <c r="BA228" s="56">
        <v>27</v>
      </c>
      <c r="BB228" s="56">
        <v>47358</v>
      </c>
      <c r="BC228" s="56" t="s">
        <v>552</v>
      </c>
      <c r="BD228" s="56" t="s">
        <v>560</v>
      </c>
      <c r="BE228" s="67">
        <v>255519</v>
      </c>
    </row>
    <row r="229" spans="1:57" x14ac:dyDescent="0.3">
      <c r="A229" s="38" t="s">
        <v>457</v>
      </c>
      <c r="B229" s="39">
        <v>45354</v>
      </c>
      <c r="C229" s="38" t="s">
        <v>19</v>
      </c>
      <c r="D229" s="38" t="s">
        <v>13</v>
      </c>
      <c r="E229" s="38" t="s">
        <v>21</v>
      </c>
      <c r="F229" s="40">
        <v>141</v>
      </c>
      <c r="G229" s="38">
        <v>103</v>
      </c>
      <c r="H229" s="38">
        <f>IFERROR('Automated raw'!$F424+'Automated raw'!$G424,"-")</f>
        <v>19</v>
      </c>
      <c r="I229" s="38">
        <v>92</v>
      </c>
      <c r="J229" s="38">
        <v>75</v>
      </c>
      <c r="K229" s="38">
        <v>14</v>
      </c>
      <c r="L229" s="38">
        <v>1097</v>
      </c>
      <c r="M229" s="38">
        <v>1343</v>
      </c>
      <c r="N229" s="38">
        <f>'Automated raw'!$G424/'Automated raw'!$H424</f>
        <v>0.11363636363636363</v>
      </c>
      <c r="O229" s="41">
        <f>IFERROR('Automated raw'!$G424/'Automated raw'!$H424,"incomplete")</f>
        <v>0.11363636363636363</v>
      </c>
      <c r="P229" s="38">
        <f>'Automated raw'!$F424</f>
        <v>9</v>
      </c>
      <c r="Q229" s="42">
        <f>IFERROR('Automated raw'!$P424*'Automated raw'!$L424,0)</f>
        <v>65780</v>
      </c>
      <c r="R229" s="38" t="str">
        <f>IF('Automated raw'!$O424&gt;=60%,"High",IF('Automated raw'!$O424&gt;=30%,"Avg",IF('Automated raw'!$O424&lt;30%,"Dead Stock","Incomplete")))</f>
        <v>High</v>
      </c>
      <c r="S229" s="43" t="str">
        <f>TEXT('Automated raw'!$B424,"mmm")</f>
        <v>Sep</v>
      </c>
      <c r="T229" s="82">
        <f>'Automated raw'!$G424*'Automated raw'!$M424</f>
        <v>17970</v>
      </c>
      <c r="U229" s="6">
        <f>IFERROR((Table7[[#This Row],[Stock In(Total)]]+Table7[[#This Row],[In Stock or Remaining]])/2,"-")</f>
        <v>80</v>
      </c>
      <c r="V229" s="93">
        <f>IFERROR(Table7[[#This Row],[Stock_Out]]/Table7[[#This Row],[Avg Inventory]],"-")</f>
        <v>1.2875000000000001</v>
      </c>
      <c r="W229" s="6"/>
      <c r="X229" s="6"/>
      <c r="Y229" s="6"/>
      <c r="Z229" s="6"/>
      <c r="AA229" s="6"/>
      <c r="AB229" s="6"/>
      <c r="AC229" s="6"/>
      <c r="AD229" s="6"/>
      <c r="AE229" s="6"/>
      <c r="AF229" s="6"/>
      <c r="AG229" s="6"/>
      <c r="AH229" s="6"/>
      <c r="AI229" s="6"/>
      <c r="AJ229" s="6"/>
      <c r="AK229" s="6"/>
      <c r="AL229" s="57" t="s">
        <v>284</v>
      </c>
      <c r="AM229" s="57">
        <v>45292</v>
      </c>
      <c r="AN229" s="57" t="s">
        <v>45</v>
      </c>
      <c r="AO229" s="57" t="s">
        <v>13</v>
      </c>
      <c r="AP229" s="57" t="s">
        <v>38</v>
      </c>
      <c r="AQ229" s="57">
        <v>20</v>
      </c>
      <c r="AR229" s="57">
        <v>100</v>
      </c>
      <c r="AS229" s="57">
        <v>120</v>
      </c>
      <c r="AT229" s="57">
        <v>58</v>
      </c>
      <c r="AU229" s="57">
        <v>73</v>
      </c>
      <c r="AV229" s="57">
        <v>4</v>
      </c>
      <c r="AW229" s="57">
        <v>1282</v>
      </c>
      <c r="AX229" s="57">
        <v>2536</v>
      </c>
      <c r="AY229" s="57">
        <v>0.83333333333333337</v>
      </c>
      <c r="AZ229" s="57">
        <v>0.83333333333333337</v>
      </c>
      <c r="BA229" s="57">
        <v>20</v>
      </c>
      <c r="BB229" s="57">
        <v>25640</v>
      </c>
      <c r="BC229" s="57" t="s">
        <v>552</v>
      </c>
      <c r="BD229" s="57" t="s">
        <v>557</v>
      </c>
      <c r="BE229" s="66">
        <v>253600</v>
      </c>
    </row>
    <row r="230" spans="1:57" x14ac:dyDescent="0.3">
      <c r="A230" s="38" t="s">
        <v>261</v>
      </c>
      <c r="B230" s="39">
        <v>45550</v>
      </c>
      <c r="C230" s="38" t="s">
        <v>37</v>
      </c>
      <c r="D230" s="38" t="s">
        <v>17</v>
      </c>
      <c r="E230" s="38" t="s">
        <v>14</v>
      </c>
      <c r="F230" s="40">
        <v>5</v>
      </c>
      <c r="G230" s="38">
        <v>31</v>
      </c>
      <c r="H230" s="38">
        <f>IFERROR('Automated raw'!$F230+'Automated raw'!$G230,"-")</f>
        <v>36</v>
      </c>
      <c r="I230" s="38">
        <v>64</v>
      </c>
      <c r="J230" s="38">
        <v>79</v>
      </c>
      <c r="K230" s="38">
        <v>15</v>
      </c>
      <c r="L230" s="38">
        <v>804</v>
      </c>
      <c r="M230" s="38">
        <v>1043</v>
      </c>
      <c r="N230" s="38">
        <f>'Automated raw'!$G230/'Automated raw'!$H230</f>
        <v>0.86111111111111116</v>
      </c>
      <c r="O230" s="41">
        <f>IFERROR('Automated raw'!$G230/'Automated raw'!$H230,"incomplete")</f>
        <v>0.86111111111111116</v>
      </c>
      <c r="P230" s="38">
        <f>'Automated raw'!$F230</f>
        <v>5</v>
      </c>
      <c r="Q230" s="42">
        <f>IFERROR('Automated raw'!$P230*'Automated raw'!$L230,0)</f>
        <v>4020</v>
      </c>
      <c r="R230" s="38" t="str">
        <f>IF('Automated raw'!$O230&gt;=60%,"High",IF('Automated raw'!$O230&gt;=30%,"Avg",IF('Automated raw'!$O230&lt;30%,"Dead Stock","Incomplete")))</f>
        <v>High</v>
      </c>
      <c r="S230" s="43" t="str">
        <f>TEXT('Automated raw'!$B230,"mmm")</f>
        <v>Sep</v>
      </c>
      <c r="T230" s="82">
        <f>'Automated raw'!$G230*'Automated raw'!$M230</f>
        <v>32333</v>
      </c>
      <c r="U230" s="6">
        <f>IFERROR((Table7[[#This Row],[Stock In(Total)]]+Table7[[#This Row],[In Stock or Remaining]])/2,"-")</f>
        <v>20.5</v>
      </c>
      <c r="V230" s="93">
        <f>IFERROR(Table7[[#This Row],[Stock_Out]]/Table7[[#This Row],[Avg Inventory]],"-")</f>
        <v>1.5121951219512195</v>
      </c>
      <c r="W230" s="6"/>
      <c r="X230" s="6"/>
      <c r="Y230" s="6"/>
      <c r="Z230" s="6"/>
      <c r="AA230" s="6"/>
      <c r="AB230" s="6"/>
      <c r="AC230" s="6"/>
      <c r="AD230" s="6"/>
      <c r="AE230" s="6"/>
      <c r="AF230" s="6"/>
      <c r="AG230" s="6"/>
      <c r="AH230" s="6"/>
      <c r="AI230" s="6"/>
      <c r="AJ230" s="6"/>
      <c r="AK230" s="6"/>
      <c r="AL230" s="56" t="s">
        <v>268</v>
      </c>
      <c r="AM230" s="56">
        <v>45455</v>
      </c>
      <c r="AN230" s="56" t="s">
        <v>26</v>
      </c>
      <c r="AO230" s="56" t="s">
        <v>17</v>
      </c>
      <c r="AP230" s="56" t="s">
        <v>21</v>
      </c>
      <c r="AQ230" s="56">
        <v>23</v>
      </c>
      <c r="AR230" s="56">
        <v>98</v>
      </c>
      <c r="AS230" s="56">
        <v>121</v>
      </c>
      <c r="AT230" s="56">
        <v>246</v>
      </c>
      <c r="AU230" s="56">
        <v>70</v>
      </c>
      <c r="AV230" s="56">
        <v>5</v>
      </c>
      <c r="AW230" s="56">
        <v>1383</v>
      </c>
      <c r="AX230" s="56">
        <v>2584</v>
      </c>
      <c r="AY230" s="56">
        <v>0.80991735537190079</v>
      </c>
      <c r="AZ230" s="56">
        <v>0.80991735537190079</v>
      </c>
      <c r="BA230" s="56">
        <v>23</v>
      </c>
      <c r="BB230" s="56">
        <v>31809</v>
      </c>
      <c r="BC230" s="56" t="s">
        <v>552</v>
      </c>
      <c r="BD230" s="56" t="s">
        <v>559</v>
      </c>
      <c r="BE230" s="67">
        <v>253232</v>
      </c>
    </row>
    <row r="231" spans="1:57" x14ac:dyDescent="0.3">
      <c r="A231" s="44" t="s">
        <v>262</v>
      </c>
      <c r="B231" s="45">
        <v>45304</v>
      </c>
      <c r="C231" s="44" t="s">
        <v>37</v>
      </c>
      <c r="D231" s="44" t="s">
        <v>20</v>
      </c>
      <c r="E231" s="44" t="s">
        <v>14</v>
      </c>
      <c r="F231" s="40">
        <v>5</v>
      </c>
      <c r="G231" s="44">
        <v>116</v>
      </c>
      <c r="H231" s="44">
        <f>IFERROR('Automated raw'!$F231+'Automated raw'!$G231,"-")</f>
        <v>121</v>
      </c>
      <c r="I231" s="44">
        <v>197</v>
      </c>
      <c r="J231" s="44">
        <v>67</v>
      </c>
      <c r="K231" s="44">
        <v>11</v>
      </c>
      <c r="L231" s="44">
        <v>592</v>
      </c>
      <c r="M231" s="44">
        <v>1853</v>
      </c>
      <c r="N231" s="44">
        <f>'Automated raw'!$G231/'Automated raw'!$H231</f>
        <v>0.95867768595041325</v>
      </c>
      <c r="O231" s="46">
        <f>IFERROR('Automated raw'!$G231/'Automated raw'!$H231,"incomplete")</f>
        <v>0.95867768595041325</v>
      </c>
      <c r="P231" s="44">
        <f>'Automated raw'!$F231</f>
        <v>5</v>
      </c>
      <c r="Q231" s="47">
        <f>IFERROR('Automated raw'!$P231*'Automated raw'!$L231,0)</f>
        <v>2960</v>
      </c>
      <c r="R231" s="44" t="str">
        <f>IF('Automated raw'!$O231&gt;=60%,"High",IF('Automated raw'!$O231&gt;=30%,"Avg",IF('Automated raw'!$O231&lt;30%,"Dead Stock","Incomplete")))</f>
        <v>High</v>
      </c>
      <c r="S231" s="48" t="str">
        <f>TEXT('Automated raw'!$B231,"mmm")</f>
        <v>Jan</v>
      </c>
      <c r="T231" s="83">
        <f>'Automated raw'!$G231*'Automated raw'!$M231</f>
        <v>214948</v>
      </c>
      <c r="U231" s="6">
        <f>IFERROR((Table7[[#This Row],[Stock In(Total)]]+Table7[[#This Row],[In Stock or Remaining]])/2,"-")</f>
        <v>63</v>
      </c>
      <c r="V231" s="93">
        <f>IFERROR(Table7[[#This Row],[Stock_Out]]/Table7[[#This Row],[Avg Inventory]],"-")</f>
        <v>1.8412698412698412</v>
      </c>
      <c r="W231" s="6"/>
      <c r="X231" s="6"/>
      <c r="Y231" s="6"/>
      <c r="Z231" s="6"/>
      <c r="AA231" s="6"/>
      <c r="AB231" s="6"/>
      <c r="AC231" s="6"/>
      <c r="AD231" s="6"/>
      <c r="AE231" s="6"/>
      <c r="AF231" s="6"/>
      <c r="AG231" s="6"/>
      <c r="AH231" s="6"/>
      <c r="AI231" s="6"/>
      <c r="AJ231" s="6"/>
      <c r="AK231" s="6"/>
      <c r="AL231" s="56" t="s">
        <v>502</v>
      </c>
      <c r="AM231" s="56">
        <v>45633</v>
      </c>
      <c r="AN231" s="56" t="s">
        <v>26</v>
      </c>
      <c r="AO231" s="56" t="s">
        <v>20</v>
      </c>
      <c r="AP231" s="56" t="s">
        <v>38</v>
      </c>
      <c r="AQ231" s="56">
        <v>56</v>
      </c>
      <c r="AR231" s="56">
        <v>106</v>
      </c>
      <c r="AS231" s="56">
        <v>162</v>
      </c>
      <c r="AT231" s="56">
        <v>91</v>
      </c>
      <c r="AU231" s="56">
        <v>41</v>
      </c>
      <c r="AV231" s="56">
        <v>7</v>
      </c>
      <c r="AW231" s="56">
        <v>1452</v>
      </c>
      <c r="AX231" s="56">
        <v>2386</v>
      </c>
      <c r="AY231" s="56">
        <v>0.65432098765432101</v>
      </c>
      <c r="AZ231" s="56">
        <v>0.65432098765432101</v>
      </c>
      <c r="BA231" s="56">
        <v>56</v>
      </c>
      <c r="BB231" s="56">
        <v>81312</v>
      </c>
      <c r="BC231" s="56" t="s">
        <v>552</v>
      </c>
      <c r="BD231" s="56" t="s">
        <v>563</v>
      </c>
      <c r="BE231" s="67">
        <v>252916</v>
      </c>
    </row>
    <row r="232" spans="1:57" x14ac:dyDescent="0.3">
      <c r="A232" s="38" t="s">
        <v>263</v>
      </c>
      <c r="B232" s="39">
        <v>45477</v>
      </c>
      <c r="C232" s="38" t="s">
        <v>19</v>
      </c>
      <c r="D232" s="38" t="s">
        <v>20</v>
      </c>
      <c r="E232" s="38" t="s">
        <v>38</v>
      </c>
      <c r="F232" s="40">
        <v>148</v>
      </c>
      <c r="G232" s="38">
        <v>35</v>
      </c>
      <c r="H232" s="38">
        <f>IFERROR('Automated raw'!$F232+'Automated raw'!$G232,"-")</f>
        <v>183</v>
      </c>
      <c r="I232" s="38">
        <v>30</v>
      </c>
      <c r="J232" s="38">
        <v>72</v>
      </c>
      <c r="K232" s="38">
        <v>9</v>
      </c>
      <c r="L232" s="38">
        <v>1999</v>
      </c>
      <c r="M232" s="38">
        <v>3447</v>
      </c>
      <c r="N232" s="38">
        <f>'Automated raw'!$G232/'Automated raw'!$H232</f>
        <v>0.19125683060109289</v>
      </c>
      <c r="O232" s="41">
        <f>IFERROR('Automated raw'!$G232/'Automated raw'!$H232,"incomplete")</f>
        <v>0.19125683060109289</v>
      </c>
      <c r="P232" s="38">
        <f>'Automated raw'!$F232</f>
        <v>148</v>
      </c>
      <c r="Q232" s="42">
        <f>IFERROR('Automated raw'!$P232*'Automated raw'!$L232,0)</f>
        <v>295852</v>
      </c>
      <c r="R232" s="38" t="str">
        <f>IF('Automated raw'!$O232&gt;=60%,"High",IF('Automated raw'!$O232&gt;=30%,"Avg",IF('Automated raw'!$O232&lt;30%,"Dead Stock","Incomplete")))</f>
        <v>Dead Stock</v>
      </c>
      <c r="S232" s="43" t="str">
        <f>TEXT('Automated raw'!$B232,"mmm")</f>
        <v>Jul</v>
      </c>
      <c r="T232" s="82">
        <f>'Automated raw'!$G232*'Automated raw'!$M232</f>
        <v>120645</v>
      </c>
      <c r="U232" s="6">
        <f>IFERROR((Table7[[#This Row],[Stock In(Total)]]+Table7[[#This Row],[In Stock or Remaining]])/2,"-")</f>
        <v>165.5</v>
      </c>
      <c r="V232" s="93">
        <f>IFERROR(Table7[[#This Row],[Stock_Out]]/Table7[[#This Row],[Avg Inventory]],"-")</f>
        <v>0.21148036253776434</v>
      </c>
      <c r="W232" s="6"/>
      <c r="X232" s="6"/>
      <c r="Y232" s="6"/>
      <c r="Z232" s="6"/>
      <c r="AA232" s="6"/>
      <c r="AB232" s="6"/>
      <c r="AC232" s="6"/>
      <c r="AD232" s="6"/>
      <c r="AE232" s="6"/>
      <c r="AF232" s="6"/>
      <c r="AG232" s="6"/>
      <c r="AH232" s="6"/>
      <c r="AI232" s="6"/>
      <c r="AJ232" s="6"/>
      <c r="AK232" s="6"/>
      <c r="AL232" s="56" t="s">
        <v>171</v>
      </c>
      <c r="AM232" s="56">
        <v>45599</v>
      </c>
      <c r="AN232" s="56" t="s">
        <v>26</v>
      </c>
      <c r="AO232" s="56" t="s">
        <v>20</v>
      </c>
      <c r="AP232" s="56" t="s">
        <v>14</v>
      </c>
      <c r="AQ232" s="56">
        <v>47</v>
      </c>
      <c r="AR232" s="56">
        <v>84</v>
      </c>
      <c r="AS232" s="56">
        <v>131</v>
      </c>
      <c r="AT232" s="56">
        <v>262</v>
      </c>
      <c r="AU232" s="56">
        <v>30</v>
      </c>
      <c r="AV232" s="56">
        <v>13</v>
      </c>
      <c r="AW232" s="56">
        <v>1777</v>
      </c>
      <c r="AX232" s="56">
        <v>3007</v>
      </c>
      <c r="AY232" s="56">
        <v>0.64122137404580148</v>
      </c>
      <c r="AZ232" s="56">
        <v>0.64122137404580148</v>
      </c>
      <c r="BA232" s="56">
        <v>47</v>
      </c>
      <c r="BB232" s="56">
        <v>83519</v>
      </c>
      <c r="BC232" s="56" t="s">
        <v>552</v>
      </c>
      <c r="BD232" s="56" t="s">
        <v>564</v>
      </c>
      <c r="BE232" s="67">
        <v>252588</v>
      </c>
    </row>
    <row r="233" spans="1:57" x14ac:dyDescent="0.3">
      <c r="A233" s="44" t="s">
        <v>264</v>
      </c>
      <c r="B233" s="45">
        <v>45451</v>
      </c>
      <c r="C233" s="44" t="s">
        <v>53</v>
      </c>
      <c r="D233" s="44" t="s">
        <v>13</v>
      </c>
      <c r="E233" s="44" t="s">
        <v>21</v>
      </c>
      <c r="F233" s="40">
        <v>20</v>
      </c>
      <c r="G233" s="44">
        <v>2</v>
      </c>
      <c r="H233" s="44">
        <f>IFERROR('Automated raw'!$F233+'Automated raw'!$G233,"-")</f>
        <v>22</v>
      </c>
      <c r="I233" s="44">
        <v>6</v>
      </c>
      <c r="J233" s="44">
        <v>36</v>
      </c>
      <c r="K233" s="44">
        <v>3</v>
      </c>
      <c r="L233" s="44">
        <v>1415</v>
      </c>
      <c r="M233" s="44">
        <v>2134</v>
      </c>
      <c r="N233" s="44">
        <f>'Automated raw'!$G233/'Automated raw'!$H233</f>
        <v>9.0909090909090912E-2</v>
      </c>
      <c r="O233" s="46">
        <f>IFERROR('Automated raw'!$G233/'Automated raw'!$H233,"incomplete")</f>
        <v>9.0909090909090912E-2</v>
      </c>
      <c r="P233" s="44">
        <f>'Automated raw'!$F233</f>
        <v>20</v>
      </c>
      <c r="Q233" s="47">
        <f>IFERROR('Automated raw'!$P233*'Automated raw'!$L233,0)</f>
        <v>28300</v>
      </c>
      <c r="R233" s="44" t="str">
        <f>IF('Automated raw'!$O233&gt;=60%,"High",IF('Automated raw'!$O233&gt;=30%,"Avg",IF('Automated raw'!$O233&lt;30%,"Dead Stock","Incomplete")))</f>
        <v>Dead Stock</v>
      </c>
      <c r="S233" s="48" t="str">
        <f>TEXT('Automated raw'!$B233,"mmm")</f>
        <v>Jun</v>
      </c>
      <c r="T233" s="83">
        <f>'Automated raw'!$G233*'Automated raw'!$M233</f>
        <v>4268</v>
      </c>
      <c r="U233" s="6">
        <f>IFERROR((Table7[[#This Row],[Stock In(Total)]]+Table7[[#This Row],[In Stock or Remaining]])/2,"-")</f>
        <v>21</v>
      </c>
      <c r="V233" s="93">
        <f>IFERROR(Table7[[#This Row],[Stock_Out]]/Table7[[#This Row],[Avg Inventory]],"-")</f>
        <v>9.5238095238095233E-2</v>
      </c>
      <c r="W233" s="6"/>
      <c r="X233" s="6"/>
      <c r="Y233" s="6"/>
      <c r="Z233" s="6"/>
      <c r="AA233" s="6"/>
      <c r="AB233" s="6"/>
      <c r="AC233" s="6"/>
      <c r="AD233" s="6"/>
      <c r="AE233" s="6"/>
      <c r="AF233" s="6"/>
      <c r="AG233" s="6"/>
      <c r="AH233" s="6"/>
      <c r="AI233" s="6"/>
      <c r="AJ233" s="6"/>
      <c r="AK233" s="6"/>
      <c r="AL233" s="56" t="s">
        <v>220</v>
      </c>
      <c r="AM233" s="56">
        <v>45340</v>
      </c>
      <c r="AN233" s="56" t="s">
        <v>37</v>
      </c>
      <c r="AO233" s="56" t="s">
        <v>20</v>
      </c>
      <c r="AP233" s="56" t="s">
        <v>33</v>
      </c>
      <c r="AQ233" s="56">
        <v>21</v>
      </c>
      <c r="AR233" s="56">
        <v>105</v>
      </c>
      <c r="AS233" s="56">
        <v>126</v>
      </c>
      <c r="AT233" s="56">
        <v>92</v>
      </c>
      <c r="AU233" s="56">
        <v>61</v>
      </c>
      <c r="AV233" s="56">
        <v>2</v>
      </c>
      <c r="AW233" s="56">
        <v>1035</v>
      </c>
      <c r="AX233" s="56">
        <v>2362</v>
      </c>
      <c r="AY233" s="56">
        <v>0.83333333333333337</v>
      </c>
      <c r="AZ233" s="56">
        <v>0.83333333333333337</v>
      </c>
      <c r="BA233" s="56">
        <v>21</v>
      </c>
      <c r="BB233" s="56">
        <v>21735</v>
      </c>
      <c r="BC233" s="56" t="s">
        <v>552</v>
      </c>
      <c r="BD233" s="56" t="s">
        <v>555</v>
      </c>
      <c r="BE233" s="67">
        <v>248010</v>
      </c>
    </row>
    <row r="234" spans="1:57" x14ac:dyDescent="0.3">
      <c r="A234" s="44" t="s">
        <v>181</v>
      </c>
      <c r="B234" s="45">
        <v>45611</v>
      </c>
      <c r="C234" s="44" t="s">
        <v>30</v>
      </c>
      <c r="D234" s="44" t="s">
        <v>13</v>
      </c>
      <c r="E234" s="44" t="s">
        <v>21</v>
      </c>
      <c r="F234" s="40">
        <v>49</v>
      </c>
      <c r="G234" s="44">
        <v>36</v>
      </c>
      <c r="H234" s="44">
        <f>IFERROR('Automated raw'!$F151+'Automated raw'!$G151,"-")</f>
        <v>167</v>
      </c>
      <c r="I234" s="44">
        <v>223</v>
      </c>
      <c r="J234" s="44">
        <v>65</v>
      </c>
      <c r="K234" s="44">
        <v>2</v>
      </c>
      <c r="L234" s="44">
        <v>1261</v>
      </c>
      <c r="M234" s="44">
        <v>1558</v>
      </c>
      <c r="N234" s="44">
        <f>'Automated raw'!$G151/'Automated raw'!$H151</f>
        <v>0.49606299212598426</v>
      </c>
      <c r="O234" s="46">
        <f>IFERROR('Automated raw'!$G151/'Automated raw'!$H151,"incomplete")</f>
        <v>0.49606299212598426</v>
      </c>
      <c r="P234" s="44">
        <f>'Automated raw'!$F151</f>
        <v>104</v>
      </c>
      <c r="Q234" s="47">
        <f>IFERROR('Automated raw'!$P151*'Automated raw'!$L151,0)</f>
        <v>121836</v>
      </c>
      <c r="R234" s="44" t="str">
        <f>IF('Automated raw'!$O151&gt;=60%,"High",IF('Automated raw'!$O151&gt;=30%,"Avg",IF('Automated raw'!$O151&lt;30%,"Dead Stock","Incomplete")))</f>
        <v>Dead Stock</v>
      </c>
      <c r="S234" s="48" t="str">
        <f>TEXT('Automated raw'!$B151,"mmm")</f>
        <v>Nov</v>
      </c>
      <c r="T234" s="83">
        <f>'Automated raw'!$G151*'Automated raw'!$M151</f>
        <v>144144</v>
      </c>
      <c r="U234" s="6">
        <f>IFERROR((Table7[[#This Row],[Stock In(Total)]]+Table7[[#This Row],[In Stock or Remaining]])/2,"-")</f>
        <v>108</v>
      </c>
      <c r="V234" s="93">
        <f>IFERROR(Table7[[#This Row],[Stock_Out]]/Table7[[#This Row],[Avg Inventory]],"-")</f>
        <v>0.33333333333333331</v>
      </c>
      <c r="W234" s="6"/>
      <c r="X234" s="6"/>
      <c r="Y234" s="6"/>
      <c r="Z234" s="6"/>
      <c r="AA234" s="6"/>
      <c r="AB234" s="6"/>
      <c r="AC234" s="6"/>
      <c r="AD234" s="6"/>
      <c r="AE234" s="6"/>
      <c r="AF234" s="6"/>
      <c r="AG234" s="6"/>
      <c r="AH234" s="6"/>
      <c r="AI234" s="6"/>
      <c r="AJ234" s="6"/>
      <c r="AK234" s="6"/>
      <c r="AL234" s="56" t="s">
        <v>308</v>
      </c>
      <c r="AM234" s="56">
        <v>45502</v>
      </c>
      <c r="AN234" s="56" t="s">
        <v>16</v>
      </c>
      <c r="AO234" s="56" t="s">
        <v>20</v>
      </c>
      <c r="AP234" s="56" t="s">
        <v>21</v>
      </c>
      <c r="AQ234" s="56">
        <v>23</v>
      </c>
      <c r="AR234" s="56">
        <v>94</v>
      </c>
      <c r="AS234" s="56">
        <v>117</v>
      </c>
      <c r="AT234" s="56">
        <v>5</v>
      </c>
      <c r="AU234" s="56">
        <v>57</v>
      </c>
      <c r="AV234" s="56">
        <v>6</v>
      </c>
      <c r="AW234" s="56">
        <v>1819</v>
      </c>
      <c r="AX234" s="56">
        <v>2549</v>
      </c>
      <c r="AY234" s="56">
        <v>0.80341880341880345</v>
      </c>
      <c r="AZ234" s="56">
        <v>0.80341880341880345</v>
      </c>
      <c r="BA234" s="56">
        <v>23</v>
      </c>
      <c r="BB234" s="56">
        <v>41837</v>
      </c>
      <c r="BC234" s="56" t="s">
        <v>552</v>
      </c>
      <c r="BD234" s="56" t="s">
        <v>556</v>
      </c>
      <c r="BE234" s="67">
        <v>239606</v>
      </c>
    </row>
    <row r="235" spans="1:57" x14ac:dyDescent="0.3">
      <c r="A235" s="44" t="s">
        <v>266</v>
      </c>
      <c r="B235" s="45">
        <v>45323</v>
      </c>
      <c r="C235" s="44" t="s">
        <v>30</v>
      </c>
      <c r="D235" s="44" t="s">
        <v>17</v>
      </c>
      <c r="E235" s="44" t="s">
        <v>21</v>
      </c>
      <c r="F235" s="40">
        <v>19</v>
      </c>
      <c r="G235" s="44">
        <v>85</v>
      </c>
      <c r="H235" s="44">
        <f>IFERROR('Automated raw'!$F235+'Automated raw'!$G235,"-")</f>
        <v>104</v>
      </c>
      <c r="I235" s="44">
        <v>63</v>
      </c>
      <c r="J235" s="44">
        <v>50</v>
      </c>
      <c r="K235" s="44">
        <v>4</v>
      </c>
      <c r="L235" s="44">
        <v>467</v>
      </c>
      <c r="M235" s="44">
        <v>697</v>
      </c>
      <c r="N235" s="44">
        <f>'Automated raw'!$G235/'Automated raw'!$H235</f>
        <v>0.81730769230769229</v>
      </c>
      <c r="O235" s="46">
        <f>IFERROR('Automated raw'!$G235/'Automated raw'!$H235,"incomplete")</f>
        <v>0.81730769230769229</v>
      </c>
      <c r="P235" s="44">
        <f>'Automated raw'!$F235</f>
        <v>19</v>
      </c>
      <c r="Q235" s="47">
        <f>IFERROR('Automated raw'!$P235*'Automated raw'!$L235,0)</f>
        <v>8873</v>
      </c>
      <c r="R235" s="44" t="str">
        <f>IF('Automated raw'!$O235&gt;=60%,"High",IF('Automated raw'!$O235&gt;=30%,"Avg",IF('Automated raw'!$O235&lt;30%,"Dead Stock","Incomplete")))</f>
        <v>High</v>
      </c>
      <c r="S235" s="48" t="str">
        <f>TEXT('Automated raw'!$B235,"mmm")</f>
        <v>Feb</v>
      </c>
      <c r="T235" s="83">
        <f>'Automated raw'!$G235*'Automated raw'!$M235</f>
        <v>59245</v>
      </c>
      <c r="U235" s="6">
        <f>IFERROR((Table7[[#This Row],[Stock In(Total)]]+Table7[[#This Row],[In Stock or Remaining]])/2,"-")</f>
        <v>61.5</v>
      </c>
      <c r="V235" s="93">
        <f>IFERROR(Table7[[#This Row],[Stock_Out]]/Table7[[#This Row],[Avg Inventory]],"-")</f>
        <v>1.3821138211382114</v>
      </c>
      <c r="W235" s="6"/>
      <c r="X235" s="6"/>
      <c r="Y235" s="6"/>
      <c r="Z235" s="6"/>
      <c r="AA235" s="6"/>
      <c r="AB235" s="6"/>
      <c r="AC235" s="6"/>
      <c r="AD235" s="6"/>
      <c r="AE235" s="6"/>
      <c r="AF235" s="6"/>
      <c r="AG235" s="6"/>
      <c r="AH235" s="6"/>
      <c r="AI235" s="6"/>
      <c r="AJ235" s="6"/>
      <c r="AK235" s="6"/>
      <c r="AL235" s="57" t="s">
        <v>208</v>
      </c>
      <c r="AM235" s="57">
        <v>45567</v>
      </c>
      <c r="AN235" s="57" t="s">
        <v>12</v>
      </c>
      <c r="AO235" s="57" t="s">
        <v>17</v>
      </c>
      <c r="AP235" s="57" t="s">
        <v>21</v>
      </c>
      <c r="AQ235" s="57">
        <v>12</v>
      </c>
      <c r="AR235" s="57">
        <v>115</v>
      </c>
      <c r="AS235" s="57">
        <v>127</v>
      </c>
      <c r="AT235" s="57">
        <v>109</v>
      </c>
      <c r="AU235" s="57">
        <v>31</v>
      </c>
      <c r="AV235" s="57">
        <v>11</v>
      </c>
      <c r="AW235" s="57">
        <v>1814</v>
      </c>
      <c r="AX235" s="57">
        <v>2053</v>
      </c>
      <c r="AY235" s="57">
        <v>0.90551181102362199</v>
      </c>
      <c r="AZ235" s="57">
        <v>0.90551181102362199</v>
      </c>
      <c r="BA235" s="57">
        <v>12</v>
      </c>
      <c r="BB235" s="57">
        <v>21768</v>
      </c>
      <c r="BC235" s="57" t="s">
        <v>552</v>
      </c>
      <c r="BD235" s="57" t="s">
        <v>565</v>
      </c>
      <c r="BE235" s="66">
        <v>236095</v>
      </c>
    </row>
    <row r="236" spans="1:57" x14ac:dyDescent="0.3">
      <c r="A236" s="44" t="s">
        <v>270</v>
      </c>
      <c r="B236" s="45">
        <v>45463</v>
      </c>
      <c r="C236" s="44" t="s">
        <v>30</v>
      </c>
      <c r="D236" s="44" t="s">
        <v>20</v>
      </c>
      <c r="E236" s="44" t="s">
        <v>21</v>
      </c>
      <c r="F236" s="40">
        <v>38</v>
      </c>
      <c r="G236" s="44">
        <v>28</v>
      </c>
      <c r="H236" s="44">
        <f>IFERROR('Automated raw'!$F239+'Automated raw'!$G239,"-")</f>
        <v>75</v>
      </c>
      <c r="I236" s="44">
        <v>24</v>
      </c>
      <c r="J236" s="44">
        <v>77</v>
      </c>
      <c r="K236" s="44">
        <v>8</v>
      </c>
      <c r="L236" s="44">
        <v>1162</v>
      </c>
      <c r="M236" s="44">
        <v>1521</v>
      </c>
      <c r="N236" s="44">
        <f>'Automated raw'!$G239/'Automated raw'!$H239</f>
        <v>0.15841584158415842</v>
      </c>
      <c r="O236" s="46">
        <f>IFERROR('Automated raw'!$G239/'Automated raw'!$H239,"incomplete")</f>
        <v>0.15841584158415842</v>
      </c>
      <c r="P236" s="44">
        <f>'Automated raw'!$F239</f>
        <v>43</v>
      </c>
      <c r="Q236" s="47">
        <f>IFERROR('Automated raw'!$P239*'Automated raw'!$L239,0)</f>
        <v>71672</v>
      </c>
      <c r="R236" s="44" t="str">
        <f>IF('Automated raw'!$O239&gt;=60%,"High",IF('Automated raw'!$O239&gt;=30%,"Avg",IF('Automated raw'!$O239&lt;30%,"Dead Stock","Incomplete")))</f>
        <v>Avg</v>
      </c>
      <c r="S236" s="48" t="str">
        <f>TEXT('Automated raw'!$B239,"mmm")</f>
        <v>Jan</v>
      </c>
      <c r="T236" s="83">
        <f>'Automated raw'!$G239*'Automated raw'!$M239</f>
        <v>43776</v>
      </c>
      <c r="U236" s="6">
        <f>IFERROR((Table7[[#This Row],[Stock In(Total)]]+Table7[[#This Row],[In Stock or Remaining]])/2,"-")</f>
        <v>56.5</v>
      </c>
      <c r="V236" s="93">
        <f>IFERROR(Table7[[#This Row],[Stock_Out]]/Table7[[#This Row],[Avg Inventory]],"-")</f>
        <v>0.49557522123893805</v>
      </c>
      <c r="W236" s="6"/>
      <c r="X236" s="6"/>
      <c r="Y236" s="6"/>
      <c r="Z236" s="6"/>
      <c r="AA236" s="6"/>
      <c r="AB236" s="6"/>
      <c r="AC236" s="6"/>
      <c r="AD236" s="6"/>
      <c r="AE236" s="6"/>
      <c r="AF236" s="6"/>
      <c r="AG236" s="6"/>
      <c r="AH236" s="6"/>
      <c r="AI236" s="6"/>
      <c r="AJ236" s="6"/>
      <c r="AK236" s="6"/>
      <c r="AL236" s="57" t="s">
        <v>93</v>
      </c>
      <c r="AM236" s="57">
        <v>45326</v>
      </c>
      <c r="AN236" s="57" t="s">
        <v>19</v>
      </c>
      <c r="AO236" s="57" t="s">
        <v>13</v>
      </c>
      <c r="AP236" s="57" t="s">
        <v>21</v>
      </c>
      <c r="AQ236" s="57">
        <v>31</v>
      </c>
      <c r="AR236" s="57">
        <v>93</v>
      </c>
      <c r="AS236" s="57">
        <v>124</v>
      </c>
      <c r="AT236" s="57">
        <v>8</v>
      </c>
      <c r="AU236" s="57">
        <v>59</v>
      </c>
      <c r="AV236" s="57">
        <v>12</v>
      </c>
      <c r="AW236" s="57">
        <v>1784</v>
      </c>
      <c r="AX236" s="57">
        <v>2480</v>
      </c>
      <c r="AY236" s="57">
        <v>0.75</v>
      </c>
      <c r="AZ236" s="57">
        <v>0.75</v>
      </c>
      <c r="BA236" s="57">
        <v>31</v>
      </c>
      <c r="BB236" s="57">
        <v>55304</v>
      </c>
      <c r="BC236" s="57" t="s">
        <v>552</v>
      </c>
      <c r="BD236" s="57" t="s">
        <v>555</v>
      </c>
      <c r="BE236" s="66">
        <v>230640</v>
      </c>
    </row>
    <row r="237" spans="1:57" x14ac:dyDescent="0.3">
      <c r="A237" s="44" t="s">
        <v>268</v>
      </c>
      <c r="B237" s="45">
        <v>45455</v>
      </c>
      <c r="C237" s="44" t="s">
        <v>26</v>
      </c>
      <c r="D237" s="44" t="s">
        <v>17</v>
      </c>
      <c r="E237" s="44" t="s">
        <v>21</v>
      </c>
      <c r="F237" s="40">
        <v>23</v>
      </c>
      <c r="G237" s="44">
        <v>98</v>
      </c>
      <c r="H237" s="44">
        <f>IFERROR('Automated raw'!$F237+'Automated raw'!$G237,"-")</f>
        <v>121</v>
      </c>
      <c r="I237" s="44">
        <v>246</v>
      </c>
      <c r="J237" s="44">
        <v>70</v>
      </c>
      <c r="K237" s="44">
        <v>5</v>
      </c>
      <c r="L237" s="44">
        <v>1383</v>
      </c>
      <c r="M237" s="44">
        <v>2584</v>
      </c>
      <c r="N237" s="44">
        <f>'Automated raw'!$G237/'Automated raw'!$H237</f>
        <v>0.80991735537190079</v>
      </c>
      <c r="O237" s="46">
        <f>IFERROR('Automated raw'!$G237/'Automated raw'!$H237,"incomplete")</f>
        <v>0.80991735537190079</v>
      </c>
      <c r="P237" s="44">
        <f>'Automated raw'!$F237</f>
        <v>23</v>
      </c>
      <c r="Q237" s="47">
        <f>IFERROR('Automated raw'!$P237*'Automated raw'!$L237,0)</f>
        <v>31809</v>
      </c>
      <c r="R237" s="44" t="str">
        <f>IF('Automated raw'!$O237&gt;=60%,"High",IF('Automated raw'!$O237&gt;=30%,"Avg",IF('Automated raw'!$O237&lt;30%,"Dead Stock","Incomplete")))</f>
        <v>High</v>
      </c>
      <c r="S237" s="48" t="str">
        <f>TEXT('Automated raw'!$B237,"mmm")</f>
        <v>Jun</v>
      </c>
      <c r="T237" s="83">
        <f>'Automated raw'!$G237*'Automated raw'!$M237</f>
        <v>253232</v>
      </c>
      <c r="U237" s="6">
        <f>IFERROR((Table7[[#This Row],[Stock In(Total)]]+Table7[[#This Row],[In Stock or Remaining]])/2,"-")</f>
        <v>72</v>
      </c>
      <c r="V237" s="93">
        <f>IFERROR(Table7[[#This Row],[Stock_Out]]/Table7[[#This Row],[Avg Inventory]],"-")</f>
        <v>1.3611111111111112</v>
      </c>
      <c r="W237" s="6"/>
      <c r="X237" s="6"/>
      <c r="Y237" s="6"/>
      <c r="Z237" s="6"/>
      <c r="AA237" s="6"/>
      <c r="AB237" s="6"/>
      <c r="AC237" s="6"/>
      <c r="AD237" s="6"/>
      <c r="AE237" s="6"/>
      <c r="AF237" s="6"/>
      <c r="AG237" s="6"/>
      <c r="AH237" s="6"/>
      <c r="AI237" s="6"/>
      <c r="AJ237" s="6"/>
      <c r="AK237" s="6"/>
      <c r="AL237" s="56" t="s">
        <v>392</v>
      </c>
      <c r="AM237" s="56">
        <v>45356</v>
      </c>
      <c r="AN237" s="56" t="s">
        <v>30</v>
      </c>
      <c r="AO237" s="56" t="s">
        <v>17</v>
      </c>
      <c r="AP237" s="56" t="s">
        <v>38</v>
      </c>
      <c r="AQ237" s="56">
        <v>36</v>
      </c>
      <c r="AR237" s="56">
        <v>90</v>
      </c>
      <c r="AS237" s="56">
        <v>126</v>
      </c>
      <c r="AT237" s="56">
        <v>94</v>
      </c>
      <c r="AU237" s="56">
        <v>40</v>
      </c>
      <c r="AV237" s="56">
        <v>8</v>
      </c>
      <c r="AW237" s="56">
        <v>1858</v>
      </c>
      <c r="AX237" s="56">
        <v>2528</v>
      </c>
      <c r="AY237" s="56">
        <v>0.7142857142857143</v>
      </c>
      <c r="AZ237" s="56">
        <v>0.7142857142857143</v>
      </c>
      <c r="BA237" s="56">
        <v>36</v>
      </c>
      <c r="BB237" s="56">
        <v>66888</v>
      </c>
      <c r="BC237" s="56" t="s">
        <v>552</v>
      </c>
      <c r="BD237" s="56" t="s">
        <v>562</v>
      </c>
      <c r="BE237" s="67">
        <v>227520</v>
      </c>
    </row>
    <row r="238" spans="1:57" x14ac:dyDescent="0.3">
      <c r="A238" s="38" t="s">
        <v>269</v>
      </c>
      <c r="B238" s="39">
        <v>45348</v>
      </c>
      <c r="C238" s="38" t="s">
        <v>53</v>
      </c>
      <c r="D238" s="38" t="s">
        <v>20</v>
      </c>
      <c r="E238" s="38" t="s">
        <v>23</v>
      </c>
      <c r="F238" s="40">
        <v>84</v>
      </c>
      <c r="G238" s="38">
        <v>0</v>
      </c>
      <c r="H238" s="38">
        <f>IFERROR('Automated raw'!$F238+'Automated raw'!$G238,"-")</f>
        <v>84</v>
      </c>
      <c r="I238" s="38">
        <v>54</v>
      </c>
      <c r="J238" s="38">
        <v>50</v>
      </c>
      <c r="K238" s="38">
        <v>7</v>
      </c>
      <c r="L238" s="38">
        <v>1153</v>
      </c>
      <c r="M238" s="38">
        <v>2466</v>
      </c>
      <c r="N238" s="38">
        <f>'Automated raw'!$G238/'Automated raw'!$H238</f>
        <v>0</v>
      </c>
      <c r="O238" s="41">
        <f>IFERROR('Automated raw'!$G238/'Automated raw'!$H238,"incomplete")</f>
        <v>0</v>
      </c>
      <c r="P238" s="38">
        <f>'Automated raw'!$F238</f>
        <v>84</v>
      </c>
      <c r="Q238" s="42">
        <f>IFERROR('Automated raw'!$P238*'Automated raw'!$L238,0)</f>
        <v>96852</v>
      </c>
      <c r="R238" s="38" t="str">
        <f>IF('Automated raw'!$O238&gt;=60%,"High",IF('Automated raw'!$O238&gt;=30%,"Avg",IF('Automated raw'!$O238&lt;30%,"Dead Stock","Incomplete")))</f>
        <v>Dead Stock</v>
      </c>
      <c r="S238" s="43" t="str">
        <f>TEXT('Automated raw'!$B238,"mmm")</f>
        <v>Feb</v>
      </c>
      <c r="T238" s="82">
        <f>'Automated raw'!$G238*'Automated raw'!$M238</f>
        <v>0</v>
      </c>
      <c r="U238" s="6">
        <f>IFERROR((Table7[[#This Row],[Stock In(Total)]]+Table7[[#This Row],[In Stock or Remaining]])/2,"-")</f>
        <v>84</v>
      </c>
      <c r="V238" s="93">
        <f>IFERROR(Table7[[#This Row],[Stock_Out]]/Table7[[#This Row],[Avg Inventory]],"-")</f>
        <v>0</v>
      </c>
      <c r="W238" s="6"/>
      <c r="X238" s="6"/>
      <c r="Y238" s="6"/>
      <c r="Z238" s="6"/>
      <c r="AA238" s="6"/>
      <c r="AB238" s="6"/>
      <c r="AC238" s="6"/>
      <c r="AD238" s="6"/>
      <c r="AE238" s="6"/>
      <c r="AF238" s="6"/>
      <c r="AG238" s="6"/>
      <c r="AH238" s="6"/>
      <c r="AI238" s="6"/>
      <c r="AJ238" s="6"/>
      <c r="AK238" s="6"/>
      <c r="AL238" s="57" t="s">
        <v>224</v>
      </c>
      <c r="AM238" s="57">
        <v>45645</v>
      </c>
      <c r="AN238" s="57" t="s">
        <v>16</v>
      </c>
      <c r="AO238" s="57" t="s">
        <v>20</v>
      </c>
      <c r="AP238" s="57" t="s">
        <v>38</v>
      </c>
      <c r="AQ238" s="57">
        <v>47</v>
      </c>
      <c r="AR238" s="57">
        <v>95</v>
      </c>
      <c r="AS238" s="57">
        <v>142</v>
      </c>
      <c r="AT238" s="57">
        <v>61</v>
      </c>
      <c r="AU238" s="57">
        <v>59</v>
      </c>
      <c r="AV238" s="57">
        <v>7</v>
      </c>
      <c r="AW238" s="57">
        <v>994</v>
      </c>
      <c r="AX238" s="57">
        <v>2382</v>
      </c>
      <c r="AY238" s="57">
        <v>0.66901408450704225</v>
      </c>
      <c r="AZ238" s="57">
        <v>0.66901408450704225</v>
      </c>
      <c r="BA238" s="57">
        <v>47</v>
      </c>
      <c r="BB238" s="57">
        <v>46718</v>
      </c>
      <c r="BC238" s="57" t="s">
        <v>552</v>
      </c>
      <c r="BD238" s="57" t="s">
        <v>563</v>
      </c>
      <c r="BE238" s="66">
        <v>226290</v>
      </c>
    </row>
    <row r="239" spans="1:57" x14ac:dyDescent="0.3">
      <c r="A239" s="38" t="s">
        <v>89</v>
      </c>
      <c r="B239" s="39">
        <v>45320</v>
      </c>
      <c r="C239" s="38" t="s">
        <v>30</v>
      </c>
      <c r="D239" s="38" t="s">
        <v>17</v>
      </c>
      <c r="E239" s="38" t="s">
        <v>38</v>
      </c>
      <c r="F239" s="40">
        <v>43</v>
      </c>
      <c r="G239" s="38">
        <v>32</v>
      </c>
      <c r="H239" s="38">
        <f>IFERROR('Automated raw'!$F62+'Automated raw'!$G62,"-")</f>
        <v>202</v>
      </c>
      <c r="I239" s="38">
        <v>21</v>
      </c>
      <c r="J239" s="38">
        <v>74</v>
      </c>
      <c r="K239" s="38">
        <v>7</v>
      </c>
      <c r="L239" s="38">
        <v>527</v>
      </c>
      <c r="M239" s="38">
        <v>1368</v>
      </c>
      <c r="N239" s="38">
        <f>'Automated raw'!$G62/'Automated raw'!$H62</f>
        <v>0.39053254437869822</v>
      </c>
      <c r="O239" s="41">
        <f>IFERROR('Automated raw'!$G62/'Automated raw'!$H62,"incomplete")</f>
        <v>0.39053254437869822</v>
      </c>
      <c r="P239" s="38">
        <f>'Automated raw'!$F62</f>
        <v>136</v>
      </c>
      <c r="Q239" s="42">
        <f>IFERROR('Automated raw'!$P62*'Automated raw'!$L62,0)</f>
        <v>141225</v>
      </c>
      <c r="R239" s="38" t="str">
        <f>IF('Automated raw'!$O62&gt;=60%,"High",IF('Automated raw'!$O62&gt;=30%,"Avg",IF('Automated raw'!$O62&lt;30%,"Dead Stock","Incomplete")))</f>
        <v>Avg</v>
      </c>
      <c r="S239" s="43" t="str">
        <f>TEXT('Automated raw'!$B62,"mmm")</f>
        <v>Oct</v>
      </c>
      <c r="T239" s="82">
        <f>'Automated raw'!$G62*'Automated raw'!$M62</f>
        <v>182028</v>
      </c>
      <c r="U239" s="6">
        <f>IFERROR((Table7[[#This Row],[Stock In(Total)]]+Table7[[#This Row],[In Stock or Remaining]])/2,"-")</f>
        <v>122.5</v>
      </c>
      <c r="V239" s="93">
        <f>IFERROR(Table7[[#This Row],[Stock_Out]]/Table7[[#This Row],[Avg Inventory]],"-")</f>
        <v>0.26122448979591839</v>
      </c>
      <c r="W239" s="6"/>
      <c r="X239" s="6"/>
      <c r="Y239" s="6"/>
      <c r="Z239" s="6"/>
      <c r="AA239" s="6"/>
      <c r="AB239" s="6"/>
      <c r="AC239" s="6"/>
      <c r="AD239" s="6"/>
      <c r="AE239" s="6"/>
      <c r="AF239" s="6"/>
      <c r="AG239" s="6"/>
      <c r="AH239" s="6"/>
      <c r="AI239" s="6"/>
      <c r="AJ239" s="6"/>
      <c r="AK239" s="6"/>
      <c r="AL239" s="57" t="s">
        <v>405</v>
      </c>
      <c r="AM239" s="57">
        <v>45588</v>
      </c>
      <c r="AN239" s="57" t="s">
        <v>45</v>
      </c>
      <c r="AO239" s="57" t="s">
        <v>20</v>
      </c>
      <c r="AP239" s="57" t="s">
        <v>14</v>
      </c>
      <c r="AQ239" s="57">
        <v>11</v>
      </c>
      <c r="AR239" s="57">
        <v>88</v>
      </c>
      <c r="AS239" s="57">
        <v>99</v>
      </c>
      <c r="AT239" s="57">
        <v>32</v>
      </c>
      <c r="AU239" s="57">
        <v>75</v>
      </c>
      <c r="AV239" s="57">
        <v>6</v>
      </c>
      <c r="AW239" s="57">
        <v>1453</v>
      </c>
      <c r="AX239" s="57">
        <v>2567</v>
      </c>
      <c r="AY239" s="57">
        <v>0.88888888888888884</v>
      </c>
      <c r="AZ239" s="57">
        <v>0.88888888888888884</v>
      </c>
      <c r="BA239" s="57">
        <v>11</v>
      </c>
      <c r="BB239" s="57">
        <v>15983</v>
      </c>
      <c r="BC239" s="57" t="s">
        <v>552</v>
      </c>
      <c r="BD239" s="57" t="s">
        <v>565</v>
      </c>
      <c r="BE239" s="66">
        <v>225896</v>
      </c>
    </row>
    <row r="240" spans="1:57" x14ac:dyDescent="0.3">
      <c r="A240" s="38" t="s">
        <v>141</v>
      </c>
      <c r="B240" s="39">
        <v>45584</v>
      </c>
      <c r="C240" s="38" t="s">
        <v>19</v>
      </c>
      <c r="D240" s="38" t="s">
        <v>13</v>
      </c>
      <c r="E240" s="38" t="s">
        <v>33</v>
      </c>
      <c r="F240" s="40">
        <v>131</v>
      </c>
      <c r="G240" s="38">
        <v>98</v>
      </c>
      <c r="H240" s="38">
        <f>IFERROR('Automated raw'!$F114+'Automated raw'!$G114,"-")</f>
        <v>211</v>
      </c>
      <c r="I240" s="38">
        <v>27</v>
      </c>
      <c r="J240" s="38">
        <v>75</v>
      </c>
      <c r="K240" s="38">
        <v>12</v>
      </c>
      <c r="L240" s="38">
        <v>1800</v>
      </c>
      <c r="M240" s="38">
        <v>2278</v>
      </c>
      <c r="N240" s="38">
        <f>'Automated raw'!$G114/'Automated raw'!$H114</f>
        <v>0.31666666666666665</v>
      </c>
      <c r="O240" s="41">
        <f>IFERROR('Automated raw'!$G114/'Automated raw'!$H114,"incomplete")</f>
        <v>0.31666666666666665</v>
      </c>
      <c r="P240" s="38">
        <f>'Automated raw'!$F114</f>
        <v>135</v>
      </c>
      <c r="Q240" s="42">
        <f>IFERROR('Automated raw'!$P114*'Automated raw'!$L114,0)</f>
        <v>85302</v>
      </c>
      <c r="R240" s="38" t="str">
        <f>IF('Automated raw'!$O114&gt;=60%,"High",IF('Automated raw'!$O114&gt;=30%,"Avg",IF('Automated raw'!$O114&lt;30%,"Dead Stock","Incomplete")))</f>
        <v>Avg</v>
      </c>
      <c r="S240" s="43" t="str">
        <f>TEXT('Automated raw'!$B114,"mmm")</f>
        <v>Dec</v>
      </c>
      <c r="T240" s="82">
        <f>'Automated raw'!$G114*'Automated raw'!$M114</f>
        <v>140524</v>
      </c>
      <c r="U240" s="6">
        <f>IFERROR((Table7[[#This Row],[Stock In(Total)]]+Table7[[#This Row],[In Stock or Remaining]])/2,"-")</f>
        <v>171</v>
      </c>
      <c r="V240" s="93">
        <f>IFERROR(Table7[[#This Row],[Stock_Out]]/Table7[[#This Row],[Avg Inventory]],"-")</f>
        <v>0.57309941520467833</v>
      </c>
      <c r="W240" s="6"/>
      <c r="X240" s="6"/>
      <c r="Y240" s="6"/>
      <c r="Z240" s="6"/>
      <c r="AA240" s="6"/>
      <c r="AB240" s="6"/>
      <c r="AC240" s="6"/>
      <c r="AD240" s="6"/>
      <c r="AE240" s="6"/>
      <c r="AF240" s="6"/>
      <c r="AG240" s="6"/>
      <c r="AH240" s="6"/>
      <c r="AI240" s="6"/>
      <c r="AJ240" s="6"/>
      <c r="AK240" s="6"/>
      <c r="AL240" s="56" t="s">
        <v>468</v>
      </c>
      <c r="AM240" s="56">
        <v>45360</v>
      </c>
      <c r="AN240" s="56" t="s">
        <v>16</v>
      </c>
      <c r="AO240" s="56" t="s">
        <v>17</v>
      </c>
      <c r="AP240" s="56" t="s">
        <v>38</v>
      </c>
      <c r="AQ240" s="56">
        <v>51</v>
      </c>
      <c r="AR240" s="56">
        <v>80</v>
      </c>
      <c r="AS240" s="56">
        <v>131</v>
      </c>
      <c r="AT240" s="56">
        <v>246</v>
      </c>
      <c r="AU240" s="56">
        <v>49</v>
      </c>
      <c r="AV240" s="56">
        <v>3</v>
      </c>
      <c r="AW240" s="56">
        <v>1591</v>
      </c>
      <c r="AX240" s="56">
        <v>2783</v>
      </c>
      <c r="AY240" s="56">
        <v>0.61068702290076338</v>
      </c>
      <c r="AZ240" s="56">
        <v>0.61068702290076338</v>
      </c>
      <c r="BA240" s="56">
        <v>51</v>
      </c>
      <c r="BB240" s="56">
        <v>81141</v>
      </c>
      <c r="BC240" s="56" t="s">
        <v>552</v>
      </c>
      <c r="BD240" s="56" t="s">
        <v>562</v>
      </c>
      <c r="BE240" s="67">
        <v>222640</v>
      </c>
    </row>
    <row r="241" spans="1:57" x14ac:dyDescent="0.3">
      <c r="A241" s="38" t="s">
        <v>513</v>
      </c>
      <c r="B241" s="39">
        <v>45464</v>
      </c>
      <c r="C241" s="38" t="s">
        <v>19</v>
      </c>
      <c r="D241" s="38" t="s">
        <v>13</v>
      </c>
      <c r="E241" s="38" t="s">
        <v>38</v>
      </c>
      <c r="F241" s="40">
        <v>88</v>
      </c>
      <c r="G241" s="38">
        <v>66</v>
      </c>
      <c r="H241" s="38">
        <f>IFERROR('Automated raw'!$F480+'Automated raw'!$G480,"-")</f>
        <v>209</v>
      </c>
      <c r="I241" s="38">
        <v>300</v>
      </c>
      <c r="J241" s="38">
        <v>31</v>
      </c>
      <c r="K241" s="38">
        <v>4</v>
      </c>
      <c r="L241" s="38">
        <v>401</v>
      </c>
      <c r="M241" s="38">
        <v>1411</v>
      </c>
      <c r="N241" s="38">
        <f>'Automated raw'!$G480/'Automated raw'!$H480</f>
        <v>0.76433121019108285</v>
      </c>
      <c r="O241" s="41">
        <f>IFERROR('Automated raw'!$G480/'Automated raw'!$H480,"incomplete")</f>
        <v>0.76433121019108285</v>
      </c>
      <c r="P241" s="38">
        <f>'Automated raw'!$F480</f>
        <v>89</v>
      </c>
      <c r="Q241" s="42">
        <f>IFERROR('Automated raw'!$P480*'Automated raw'!$L480,0)</f>
        <v>46560</v>
      </c>
      <c r="R241" s="38" t="str">
        <f>IF('Automated raw'!$O480&gt;=60%,"High",IF('Automated raw'!$O480&gt;=30%,"Avg",IF('Automated raw'!$O480&lt;30%,"Dead Stock","Incomplete")))</f>
        <v>Avg</v>
      </c>
      <c r="S241" s="43" t="str">
        <f>TEXT('Automated raw'!$B480,"mmm")</f>
        <v>Jun</v>
      </c>
      <c r="T241" s="82">
        <f>'Automated raw'!$G480*'Automated raw'!$M480</f>
        <v>111120</v>
      </c>
      <c r="U241" s="6">
        <f>IFERROR((Table7[[#This Row],[Stock In(Total)]]+Table7[[#This Row],[In Stock or Remaining]])/2,"-")</f>
        <v>148.5</v>
      </c>
      <c r="V241" s="93">
        <f>IFERROR(Table7[[#This Row],[Stock_Out]]/Table7[[#This Row],[Avg Inventory]],"-")</f>
        <v>0.44444444444444442</v>
      </c>
      <c r="W241" s="6"/>
      <c r="X241" s="6"/>
      <c r="Y241" s="6"/>
      <c r="Z241" s="6"/>
      <c r="AA241" s="6"/>
      <c r="AB241" s="6"/>
      <c r="AC241" s="6"/>
      <c r="AD241" s="6"/>
      <c r="AE241" s="6"/>
      <c r="AF241" s="6"/>
      <c r="AG241" s="6"/>
      <c r="AH241" s="6"/>
      <c r="AI241" s="6"/>
      <c r="AJ241" s="6"/>
      <c r="AK241" s="6"/>
      <c r="AL241" s="57" t="s">
        <v>372</v>
      </c>
      <c r="AM241" s="57">
        <v>45510</v>
      </c>
      <c r="AN241" s="57" t="s">
        <v>45</v>
      </c>
      <c r="AO241" s="57" t="s">
        <v>13</v>
      </c>
      <c r="AP241" s="57" t="s">
        <v>21</v>
      </c>
      <c r="AQ241" s="57">
        <v>5</v>
      </c>
      <c r="AR241" s="57">
        <v>97</v>
      </c>
      <c r="AS241" s="57">
        <v>102</v>
      </c>
      <c r="AT241" s="57">
        <v>53</v>
      </c>
      <c r="AU241" s="57">
        <v>54</v>
      </c>
      <c r="AV241" s="57">
        <v>4</v>
      </c>
      <c r="AW241" s="57">
        <v>1130</v>
      </c>
      <c r="AX241" s="57">
        <v>2286</v>
      </c>
      <c r="AY241" s="57">
        <v>0.9509803921568627</v>
      </c>
      <c r="AZ241" s="57">
        <v>0.9509803921568627</v>
      </c>
      <c r="BA241" s="57">
        <v>5</v>
      </c>
      <c r="BB241" s="57">
        <v>5650</v>
      </c>
      <c r="BC241" s="57" t="s">
        <v>552</v>
      </c>
      <c r="BD241" s="57" t="s">
        <v>554</v>
      </c>
      <c r="BE241" s="66">
        <v>221742</v>
      </c>
    </row>
    <row r="242" spans="1:57" x14ac:dyDescent="0.3">
      <c r="A242" s="38" t="s">
        <v>273</v>
      </c>
      <c r="B242" s="39">
        <v>45409</v>
      </c>
      <c r="C242" s="38" t="s">
        <v>37</v>
      </c>
      <c r="D242" s="38" t="s">
        <v>20</v>
      </c>
      <c r="E242" s="38" t="s">
        <v>33</v>
      </c>
      <c r="F242" s="40">
        <v>121</v>
      </c>
      <c r="G242" s="38">
        <v>21</v>
      </c>
      <c r="H242" s="38">
        <f>IFERROR('Automated raw'!$F242+'Automated raw'!$G242,"-")</f>
        <v>142</v>
      </c>
      <c r="I242" s="38">
        <v>227</v>
      </c>
      <c r="J242" s="38">
        <v>70</v>
      </c>
      <c r="K242" s="38">
        <v>15</v>
      </c>
      <c r="L242" s="38">
        <v>1638</v>
      </c>
      <c r="M242" s="38">
        <v>2179</v>
      </c>
      <c r="N242" s="38">
        <f>'Automated raw'!$G242/'Automated raw'!$H242</f>
        <v>0.14788732394366197</v>
      </c>
      <c r="O242" s="41">
        <f>IFERROR('Automated raw'!$G242/'Automated raw'!$H242,"incomplete")</f>
        <v>0.14788732394366197</v>
      </c>
      <c r="P242" s="38">
        <f>'Automated raw'!$F242</f>
        <v>121</v>
      </c>
      <c r="Q242" s="42">
        <f>IFERROR('Automated raw'!$P242*'Automated raw'!$L242,0)</f>
        <v>198198</v>
      </c>
      <c r="R242" s="38" t="str">
        <f>IF('Automated raw'!$O242&gt;=60%,"High",IF('Automated raw'!$O242&gt;=30%,"Avg",IF('Automated raw'!$O242&lt;30%,"Dead Stock","Incomplete")))</f>
        <v>Dead Stock</v>
      </c>
      <c r="S242" s="43" t="str">
        <f>TEXT('Automated raw'!$B242,"mmm")</f>
        <v>Apr</v>
      </c>
      <c r="T242" s="82">
        <f>'Automated raw'!$G242*'Automated raw'!$M242</f>
        <v>45759</v>
      </c>
      <c r="U242" s="6">
        <f>IFERROR((Table7[[#This Row],[Stock In(Total)]]+Table7[[#This Row],[In Stock or Remaining]])/2,"-")</f>
        <v>131.5</v>
      </c>
      <c r="V242" s="93">
        <f>IFERROR(Table7[[#This Row],[Stock_Out]]/Table7[[#This Row],[Avg Inventory]],"-")</f>
        <v>0.1596958174904943</v>
      </c>
      <c r="W242" s="6"/>
      <c r="X242" s="6"/>
      <c r="Y242" s="6"/>
      <c r="Z242" s="6"/>
      <c r="AA242" s="6"/>
      <c r="AB242" s="6"/>
      <c r="AC242" s="6"/>
      <c r="AD242" s="6"/>
      <c r="AE242" s="6"/>
      <c r="AF242" s="6"/>
      <c r="AG242" s="6"/>
      <c r="AH242" s="6"/>
      <c r="AI242" s="6"/>
      <c r="AJ242" s="6"/>
      <c r="AK242" s="6"/>
      <c r="AL242" s="56" t="s">
        <v>282</v>
      </c>
      <c r="AM242" s="56">
        <v>45653</v>
      </c>
      <c r="AN242" s="56" t="s">
        <v>37</v>
      </c>
      <c r="AO242" s="56" t="s">
        <v>20</v>
      </c>
      <c r="AP242" s="56" t="s">
        <v>38</v>
      </c>
      <c r="AQ242" s="56">
        <v>38</v>
      </c>
      <c r="AR242" s="56">
        <v>79</v>
      </c>
      <c r="AS242" s="56">
        <v>117</v>
      </c>
      <c r="AT242" s="56">
        <v>120</v>
      </c>
      <c r="AU242" s="56">
        <v>32</v>
      </c>
      <c r="AV242" s="56">
        <v>6</v>
      </c>
      <c r="AW242" s="56">
        <v>1701</v>
      </c>
      <c r="AX242" s="56">
        <v>2797</v>
      </c>
      <c r="AY242" s="56">
        <v>0.67521367521367526</v>
      </c>
      <c r="AZ242" s="56">
        <v>0.67521367521367526</v>
      </c>
      <c r="BA242" s="56">
        <v>38</v>
      </c>
      <c r="BB242" s="56">
        <v>64638</v>
      </c>
      <c r="BC242" s="56" t="s">
        <v>552</v>
      </c>
      <c r="BD242" s="56" t="s">
        <v>563</v>
      </c>
      <c r="BE242" s="56">
        <v>220963</v>
      </c>
    </row>
    <row r="243" spans="1:57" x14ac:dyDescent="0.3">
      <c r="A243" s="44" t="s">
        <v>274</v>
      </c>
      <c r="B243" s="45">
        <v>45553</v>
      </c>
      <c r="C243" s="44" t="s">
        <v>37</v>
      </c>
      <c r="D243" s="44" t="s">
        <v>13</v>
      </c>
      <c r="E243" s="44" t="s">
        <v>33</v>
      </c>
      <c r="F243" s="40">
        <v>17</v>
      </c>
      <c r="G243" s="44">
        <v>113</v>
      </c>
      <c r="H243" s="44">
        <f>IFERROR('Automated raw'!$F243+'Automated raw'!$G243,"-")</f>
        <v>130</v>
      </c>
      <c r="I243" s="44">
        <v>20</v>
      </c>
      <c r="J243" s="44">
        <v>30</v>
      </c>
      <c r="K243" s="44">
        <v>12</v>
      </c>
      <c r="L243" s="44">
        <v>1173</v>
      </c>
      <c r="M243" s="44">
        <v>1478</v>
      </c>
      <c r="N243" s="44">
        <f>'Automated raw'!$G243/'Automated raw'!$H243</f>
        <v>0.86923076923076925</v>
      </c>
      <c r="O243" s="46">
        <f>IFERROR('Automated raw'!$G243/'Automated raw'!$H243,"incomplete")</f>
        <v>0.86923076923076925</v>
      </c>
      <c r="P243" s="44">
        <f>'Automated raw'!$F243</f>
        <v>17</v>
      </c>
      <c r="Q243" s="47">
        <f>IFERROR('Automated raw'!$P243*'Automated raw'!$L243,0)</f>
        <v>19941</v>
      </c>
      <c r="R243" s="44" t="str">
        <f>IF('Automated raw'!$O243&gt;=60%,"High",IF('Automated raw'!$O243&gt;=30%,"Avg",IF('Automated raw'!$O243&lt;30%,"Dead Stock","Incomplete")))</f>
        <v>High</v>
      </c>
      <c r="S243" s="48" t="str">
        <f>TEXT('Automated raw'!$B243,"mmm")</f>
        <v>Sep</v>
      </c>
      <c r="T243" s="83">
        <f>'Automated raw'!$G243*'Automated raw'!$M243</f>
        <v>167014</v>
      </c>
      <c r="U243" s="6">
        <f>IFERROR((Table7[[#This Row],[Stock In(Total)]]+Table7[[#This Row],[In Stock or Remaining]])/2,"-")</f>
        <v>73.5</v>
      </c>
      <c r="V243" s="93">
        <f>IFERROR(Table7[[#This Row],[Stock_Out]]/Table7[[#This Row],[Avg Inventory]],"-")</f>
        <v>1.5374149659863945</v>
      </c>
      <c r="W243" s="6"/>
      <c r="X243" s="6"/>
      <c r="Y243" s="6"/>
      <c r="Z243" s="6"/>
      <c r="AA243" s="6"/>
      <c r="AB243" s="6"/>
      <c r="AC243" s="6"/>
      <c r="AD243" s="6"/>
      <c r="AE243" s="6"/>
      <c r="AF243" s="6"/>
      <c r="AG243" s="6"/>
      <c r="AH243" s="6"/>
      <c r="AI243" s="6"/>
      <c r="AJ243" s="6"/>
      <c r="AK243" s="6"/>
      <c r="AL243" s="56" t="s">
        <v>262</v>
      </c>
      <c r="AM243" s="56">
        <v>45304</v>
      </c>
      <c r="AN243" s="56" t="s">
        <v>37</v>
      </c>
      <c r="AO243" s="56" t="s">
        <v>20</v>
      </c>
      <c r="AP243" s="56" t="s">
        <v>14</v>
      </c>
      <c r="AQ243" s="56">
        <v>5</v>
      </c>
      <c r="AR243" s="56">
        <v>116</v>
      </c>
      <c r="AS243" s="56">
        <v>121</v>
      </c>
      <c r="AT243" s="56">
        <v>197</v>
      </c>
      <c r="AU243" s="56">
        <v>67</v>
      </c>
      <c r="AV243" s="56">
        <v>11</v>
      </c>
      <c r="AW243" s="56">
        <v>592</v>
      </c>
      <c r="AX243" s="56">
        <v>1853</v>
      </c>
      <c r="AY243" s="56">
        <v>0.95867768595041325</v>
      </c>
      <c r="AZ243" s="56">
        <v>0.95867768595041325</v>
      </c>
      <c r="BA243" s="56">
        <v>5</v>
      </c>
      <c r="BB243" s="56">
        <v>2960</v>
      </c>
      <c r="BC243" s="56" t="s">
        <v>552</v>
      </c>
      <c r="BD243" s="56" t="s">
        <v>557</v>
      </c>
      <c r="BE243" s="56">
        <v>214948</v>
      </c>
    </row>
    <row r="244" spans="1:57" x14ac:dyDescent="0.3">
      <c r="A244" s="38" t="s">
        <v>275</v>
      </c>
      <c r="B244" s="39">
        <v>45436</v>
      </c>
      <c r="C244" s="38" t="s">
        <v>53</v>
      </c>
      <c r="D244" s="38" t="s">
        <v>17</v>
      </c>
      <c r="E244" s="38" t="s">
        <v>14</v>
      </c>
      <c r="F244" s="40">
        <v>6</v>
      </c>
      <c r="G244" s="38">
        <v>94</v>
      </c>
      <c r="H244" s="38">
        <f>IFERROR('Automated raw'!$F244+'Automated raw'!$G244,"-")</f>
        <v>100</v>
      </c>
      <c r="I244" s="38">
        <v>2</v>
      </c>
      <c r="J244" s="38">
        <v>64</v>
      </c>
      <c r="K244" s="38">
        <v>11</v>
      </c>
      <c r="L244" s="38">
        <v>1742</v>
      </c>
      <c r="M244" s="38">
        <v>1989</v>
      </c>
      <c r="N244" s="38">
        <f>'Automated raw'!$G244/'Automated raw'!$H244</f>
        <v>0.94</v>
      </c>
      <c r="O244" s="41">
        <f>IFERROR('Automated raw'!$G244/'Automated raw'!$H244,"incomplete")</f>
        <v>0.94</v>
      </c>
      <c r="P244" s="38">
        <f>'Automated raw'!$F244</f>
        <v>6</v>
      </c>
      <c r="Q244" s="42">
        <f>IFERROR('Automated raw'!$P244*'Automated raw'!$L244,0)</f>
        <v>10452</v>
      </c>
      <c r="R244" s="38" t="str">
        <f>IF('Automated raw'!$O244&gt;=60%,"High",IF('Automated raw'!$O244&gt;=30%,"Avg",IF('Automated raw'!$O244&lt;30%,"Dead Stock","Incomplete")))</f>
        <v>High</v>
      </c>
      <c r="S244" s="43" t="str">
        <f>TEXT('Automated raw'!$B244,"mmm")</f>
        <v>May</v>
      </c>
      <c r="T244" s="82">
        <f>'Automated raw'!$G244*'Automated raw'!$M244</f>
        <v>186966</v>
      </c>
      <c r="U244" s="6">
        <f>IFERROR((Table7[[#This Row],[Stock In(Total)]]+Table7[[#This Row],[In Stock or Remaining]])/2,"-")</f>
        <v>53</v>
      </c>
      <c r="V244" s="93">
        <f>IFERROR(Table7[[#This Row],[Stock_Out]]/Table7[[#This Row],[Avg Inventory]],"-")</f>
        <v>1.7735849056603774</v>
      </c>
      <c r="W244" s="6"/>
      <c r="X244" s="6"/>
      <c r="Y244" s="6"/>
      <c r="Z244" s="6"/>
      <c r="AA244" s="6"/>
      <c r="AB244" s="6"/>
      <c r="AC244" s="6"/>
      <c r="AD244" s="6"/>
      <c r="AE244" s="6"/>
      <c r="AF244" s="6"/>
      <c r="AG244" s="6"/>
      <c r="AH244" s="6"/>
      <c r="AI244" s="6"/>
      <c r="AJ244" s="6"/>
      <c r="AK244" s="6"/>
      <c r="AL244" s="57" t="s">
        <v>422</v>
      </c>
      <c r="AM244" s="57">
        <v>45328</v>
      </c>
      <c r="AN244" s="57" t="s">
        <v>37</v>
      </c>
      <c r="AO244" s="57" t="s">
        <v>20</v>
      </c>
      <c r="AP244" s="57" t="s">
        <v>21</v>
      </c>
      <c r="AQ244" s="57">
        <v>59</v>
      </c>
      <c r="AR244" s="57">
        <v>114</v>
      </c>
      <c r="AS244" s="57">
        <v>173</v>
      </c>
      <c r="AT244" s="57">
        <v>33</v>
      </c>
      <c r="AU244" s="57">
        <v>37</v>
      </c>
      <c r="AV244" s="57">
        <v>11</v>
      </c>
      <c r="AW244" s="57">
        <v>1554</v>
      </c>
      <c r="AX244" s="57">
        <v>1870</v>
      </c>
      <c r="AY244" s="57">
        <v>0.65895953757225434</v>
      </c>
      <c r="AZ244" s="57">
        <v>0.65895953757225434</v>
      </c>
      <c r="BA244" s="57">
        <v>59</v>
      </c>
      <c r="BB244" s="57">
        <v>91686</v>
      </c>
      <c r="BC244" s="57" t="s">
        <v>552</v>
      </c>
      <c r="BD244" s="57" t="s">
        <v>555</v>
      </c>
      <c r="BE244" s="57">
        <v>213180</v>
      </c>
    </row>
    <row r="245" spans="1:57" x14ac:dyDescent="0.3">
      <c r="A245" s="38" t="s">
        <v>485</v>
      </c>
      <c r="B245" s="39">
        <v>45507</v>
      </c>
      <c r="C245" s="38" t="s">
        <v>16</v>
      </c>
      <c r="D245" s="38" t="s">
        <v>20</v>
      </c>
      <c r="E245" s="38" t="s">
        <v>21</v>
      </c>
      <c r="F245" s="40">
        <v>114</v>
      </c>
      <c r="G245" s="38">
        <v>86</v>
      </c>
      <c r="H245" s="38">
        <f>IFERROR('Automated raw'!$F452+'Automated raw'!$G452,"-")</f>
        <v>162</v>
      </c>
      <c r="I245" s="38">
        <v>205</v>
      </c>
      <c r="J245" s="38">
        <v>38</v>
      </c>
      <c r="K245" s="38">
        <v>8</v>
      </c>
      <c r="L245" s="38">
        <v>716</v>
      </c>
      <c r="M245" s="38">
        <v>1907</v>
      </c>
      <c r="N245" s="38">
        <f>'Automated raw'!$G452/'Automated raw'!$H452</f>
        <v>0.58441558441558439</v>
      </c>
      <c r="O245" s="41">
        <f>IFERROR('Automated raw'!$G452/'Automated raw'!$H452,"incomplete")</f>
        <v>0.58441558441558439</v>
      </c>
      <c r="P245" s="38">
        <f>'Automated raw'!$F452</f>
        <v>72</v>
      </c>
      <c r="Q245" s="42">
        <f>IFERROR('Automated raw'!$P452*'Automated raw'!$L452,0)</f>
        <v>127504</v>
      </c>
      <c r="R245" s="38" t="str">
        <f>IF('Automated raw'!$O452&gt;=60%,"High",IF('Automated raw'!$O452&gt;=30%,"Avg",IF('Automated raw'!$O452&lt;30%,"Dead Stock","Incomplete")))</f>
        <v>Dead Stock</v>
      </c>
      <c r="S245" s="43" t="str">
        <f>TEXT('Automated raw'!$B452,"mmm")</f>
        <v>Oct</v>
      </c>
      <c r="T245" s="82">
        <f>'Automated raw'!$G452*'Automated raw'!$M452</f>
        <v>220140</v>
      </c>
      <c r="U245" s="6">
        <f>IFERROR((Table7[[#This Row],[Stock In(Total)]]+Table7[[#This Row],[In Stock or Remaining]])/2,"-")</f>
        <v>138</v>
      </c>
      <c r="V245" s="93">
        <f>IFERROR(Table7[[#This Row],[Stock_Out]]/Table7[[#This Row],[Avg Inventory]],"-")</f>
        <v>0.62318840579710144</v>
      </c>
      <c r="W245" s="6"/>
      <c r="X245" s="6"/>
      <c r="Y245" s="6"/>
      <c r="Z245" s="6"/>
      <c r="AA245" s="6"/>
      <c r="AB245" s="6"/>
      <c r="AC245" s="6"/>
      <c r="AD245" s="6"/>
      <c r="AE245" s="6"/>
      <c r="AF245" s="6"/>
      <c r="AG245" s="6"/>
      <c r="AH245" s="6"/>
      <c r="AI245" s="6"/>
      <c r="AJ245" s="6"/>
      <c r="AK245" s="6"/>
      <c r="AL245" s="56" t="s">
        <v>25</v>
      </c>
      <c r="AM245" s="56">
        <v>45615</v>
      </c>
      <c r="AN245" s="56" t="s">
        <v>26</v>
      </c>
      <c r="AO245" s="56" t="s">
        <v>17</v>
      </c>
      <c r="AP245" s="56" t="s">
        <v>14</v>
      </c>
      <c r="AQ245" s="56">
        <v>47</v>
      </c>
      <c r="AR245" s="56">
        <v>85</v>
      </c>
      <c r="AS245" s="56">
        <v>132</v>
      </c>
      <c r="AT245" s="56">
        <v>124</v>
      </c>
      <c r="AU245" s="56">
        <v>41</v>
      </c>
      <c r="AV245" s="56">
        <v>8</v>
      </c>
      <c r="AW245" s="56">
        <v>1268</v>
      </c>
      <c r="AX245" s="56">
        <v>2441</v>
      </c>
      <c r="AY245" s="56">
        <v>0.64393939393939392</v>
      </c>
      <c r="AZ245" s="56">
        <v>0.64393939393939392</v>
      </c>
      <c r="BA245" s="56">
        <v>47</v>
      </c>
      <c r="BB245" s="56">
        <v>59596</v>
      </c>
      <c r="BC245" s="56" t="s">
        <v>552</v>
      </c>
      <c r="BD245" s="56" t="s">
        <v>564</v>
      </c>
      <c r="BE245" s="56">
        <v>207485</v>
      </c>
    </row>
    <row r="246" spans="1:57" x14ac:dyDescent="0.3">
      <c r="A246" s="44" t="s">
        <v>398</v>
      </c>
      <c r="B246" s="45">
        <v>45380</v>
      </c>
      <c r="C246" s="44" t="s">
        <v>19</v>
      </c>
      <c r="D246" s="44" t="s">
        <v>17</v>
      </c>
      <c r="E246" s="44" t="s">
        <v>33</v>
      </c>
      <c r="F246" s="40">
        <v>147</v>
      </c>
      <c r="G246" s="44">
        <v>111</v>
      </c>
      <c r="H246" s="44">
        <f>IFERROR('Automated raw'!$F365+'Automated raw'!$G365,"-")</f>
        <v>137</v>
      </c>
      <c r="I246" s="44">
        <v>197</v>
      </c>
      <c r="J246" s="44">
        <v>65</v>
      </c>
      <c r="K246" s="44">
        <v>5</v>
      </c>
      <c r="L246" s="44">
        <v>511</v>
      </c>
      <c r="M246" s="44">
        <v>1496</v>
      </c>
      <c r="N246" s="44">
        <f>'Automated raw'!$G365/'Automated raw'!$H365</f>
        <v>1.7179487179487178</v>
      </c>
      <c r="O246" s="46">
        <f>IFERROR('Automated raw'!$G365/'Automated raw'!$H365,"incomplete")</f>
        <v>1.7179487179487178</v>
      </c>
      <c r="P246" s="44">
        <f>'Automated raw'!$F365</f>
        <v>70</v>
      </c>
      <c r="Q246" s="47">
        <f>IFERROR('Automated raw'!$P365*'Automated raw'!$L365,0)</f>
        <v>7792</v>
      </c>
      <c r="R246" s="44" t="str">
        <f>IF('Automated raw'!$O365&gt;=60%,"High",IF('Automated raw'!$O365&gt;=30%,"Avg",IF('Automated raw'!$O365&lt;30%,"Dead Stock","Incomplete")))</f>
        <v>Dead Stock</v>
      </c>
      <c r="S246" s="48" t="str">
        <f>TEXT('Automated raw'!$B365,"mmm")</f>
        <v>Dec</v>
      </c>
      <c r="T246" s="83">
        <f>'Automated raw'!$G365*'Automated raw'!$M365</f>
        <v>70015</v>
      </c>
      <c r="U246" s="6">
        <f>IFERROR((Table7[[#This Row],[Stock In(Total)]]+Table7[[#This Row],[In Stock or Remaining]])/2,"-")</f>
        <v>142</v>
      </c>
      <c r="V246" s="93">
        <f>IFERROR(Table7[[#This Row],[Stock_Out]]/Table7[[#This Row],[Avg Inventory]],"-")</f>
        <v>0.78169014084507038</v>
      </c>
      <c r="W246" s="6"/>
      <c r="X246" s="6"/>
      <c r="Y246" s="6"/>
      <c r="Z246" s="6"/>
      <c r="AA246" s="6"/>
      <c r="AB246" s="6"/>
      <c r="AC246" s="6"/>
      <c r="AD246" s="6"/>
      <c r="AE246" s="6"/>
      <c r="AF246" s="6"/>
      <c r="AG246" s="6"/>
      <c r="AH246" s="6"/>
      <c r="AI246" s="6"/>
      <c r="AJ246" s="6"/>
      <c r="AK246" s="6"/>
      <c r="AL246" s="56" t="s">
        <v>90</v>
      </c>
      <c r="AM246" s="56">
        <v>45327</v>
      </c>
      <c r="AN246" s="56" t="s">
        <v>26</v>
      </c>
      <c r="AO246" s="56" t="s">
        <v>20</v>
      </c>
      <c r="AP246" s="56" t="s">
        <v>23</v>
      </c>
      <c r="AQ246" s="56">
        <v>23</v>
      </c>
      <c r="AR246" s="56">
        <v>64</v>
      </c>
      <c r="AS246" s="56">
        <v>87</v>
      </c>
      <c r="AT246" s="56">
        <v>49</v>
      </c>
      <c r="AU246" s="56">
        <v>48</v>
      </c>
      <c r="AV246" s="56">
        <v>2</v>
      </c>
      <c r="AW246" s="56">
        <v>1712</v>
      </c>
      <c r="AX246" s="56">
        <v>3209</v>
      </c>
      <c r="AY246" s="56">
        <v>0.73563218390804597</v>
      </c>
      <c r="AZ246" s="56">
        <v>0.73563218390804597</v>
      </c>
      <c r="BA246" s="56">
        <v>23</v>
      </c>
      <c r="BB246" s="56">
        <v>39376</v>
      </c>
      <c r="BC246" s="56" t="s">
        <v>552</v>
      </c>
      <c r="BD246" s="56" t="s">
        <v>555</v>
      </c>
      <c r="BE246" s="56">
        <v>205376</v>
      </c>
    </row>
    <row r="247" spans="1:57" x14ac:dyDescent="0.3">
      <c r="A247" s="44" t="s">
        <v>66</v>
      </c>
      <c r="B247" s="45">
        <v>45598</v>
      </c>
      <c r="C247" s="44" t="s">
        <v>45</v>
      </c>
      <c r="D247" s="44" t="s">
        <v>20</v>
      </c>
      <c r="E247" s="44" t="s">
        <v>14</v>
      </c>
      <c r="F247" s="40">
        <v>145</v>
      </c>
      <c r="G247" s="44">
        <v>110</v>
      </c>
      <c r="H247" s="44">
        <f>IFERROR('Automated raw'!$F39+'Automated raw'!$G39,"-")</f>
        <v>151</v>
      </c>
      <c r="I247" s="44">
        <v>191</v>
      </c>
      <c r="J247" s="44">
        <v>35</v>
      </c>
      <c r="K247" s="44">
        <v>14</v>
      </c>
      <c r="L247" s="44">
        <v>1806</v>
      </c>
      <c r="M247" s="44">
        <v>3262</v>
      </c>
      <c r="N247" s="44">
        <f>'Automated raw'!$G39/'Automated raw'!$H39</f>
        <v>0.43636363636363634</v>
      </c>
      <c r="O247" s="46">
        <f>IFERROR('Automated raw'!$G39/'Automated raw'!$H39,"incomplete")</f>
        <v>0.43636363636363634</v>
      </c>
      <c r="P247" s="44">
        <f>'Automated raw'!$F39</f>
        <v>103</v>
      </c>
      <c r="Q247" s="47">
        <f>IFERROR('Automated raw'!$P39*'Automated raw'!$L39,0)</f>
        <v>42716</v>
      </c>
      <c r="R247" s="44" t="str">
        <f>IF('Automated raw'!$O39&gt;=60%,"High",IF('Automated raw'!$O39&gt;=30%,"Avg",IF('Automated raw'!$O39&lt;30%,"Dead Stock","Incomplete")))</f>
        <v>Dead Stock</v>
      </c>
      <c r="S247" s="48" t="str">
        <f>TEXT('Automated raw'!$B39,"mmm")</f>
        <v>Nov</v>
      </c>
      <c r="T247" s="83">
        <f>'Automated raw'!$G39*'Automated raw'!$M39</f>
        <v>47616</v>
      </c>
      <c r="U247" s="6">
        <f>IFERROR((Table7[[#This Row],[Stock In(Total)]]+Table7[[#This Row],[In Stock or Remaining]])/2,"-")</f>
        <v>148</v>
      </c>
      <c r="V247" s="93">
        <f>IFERROR(Table7[[#This Row],[Stock_Out]]/Table7[[#This Row],[Avg Inventory]],"-")</f>
        <v>0.7432432432432432</v>
      </c>
      <c r="W247" s="6"/>
      <c r="X247" s="6"/>
      <c r="Y247" s="6"/>
      <c r="Z247" s="6"/>
      <c r="AA247" s="6"/>
      <c r="AB247" s="6"/>
      <c r="AC247" s="6"/>
      <c r="AD247" s="6"/>
      <c r="AE247" s="6"/>
      <c r="AF247" s="6"/>
      <c r="AG247" s="6"/>
      <c r="AH247" s="6"/>
      <c r="AI247" s="6"/>
      <c r="AJ247" s="6"/>
      <c r="AK247" s="6"/>
      <c r="AL247" s="56" t="s">
        <v>249</v>
      </c>
      <c r="AM247" s="56">
        <v>45646</v>
      </c>
      <c r="AN247" s="56" t="s">
        <v>26</v>
      </c>
      <c r="AO247" s="56" t="s">
        <v>20</v>
      </c>
      <c r="AP247" s="56" t="s">
        <v>14</v>
      </c>
      <c r="AQ247" s="56">
        <v>12</v>
      </c>
      <c r="AR247" s="56">
        <v>88</v>
      </c>
      <c r="AS247" s="56">
        <v>100</v>
      </c>
      <c r="AT247" s="56">
        <v>276</v>
      </c>
      <c r="AU247" s="56">
        <v>63</v>
      </c>
      <c r="AV247" s="56">
        <v>15</v>
      </c>
      <c r="AW247" s="56">
        <v>1371</v>
      </c>
      <c r="AX247" s="56">
        <v>2321</v>
      </c>
      <c r="AY247" s="56">
        <v>0.88</v>
      </c>
      <c r="AZ247" s="56">
        <v>0.88</v>
      </c>
      <c r="BA247" s="56">
        <v>12</v>
      </c>
      <c r="BB247" s="56">
        <v>16452</v>
      </c>
      <c r="BC247" s="56" t="s">
        <v>552</v>
      </c>
      <c r="BD247" s="56" t="s">
        <v>563</v>
      </c>
      <c r="BE247" s="56">
        <v>204248</v>
      </c>
    </row>
    <row r="248" spans="1:57" x14ac:dyDescent="0.3">
      <c r="A248" s="38" t="s">
        <v>279</v>
      </c>
      <c r="B248" s="39">
        <v>45495</v>
      </c>
      <c r="C248" s="38" t="s">
        <v>19</v>
      </c>
      <c r="D248" s="38" t="s">
        <v>13</v>
      </c>
      <c r="E248" s="38" t="s">
        <v>38</v>
      </c>
      <c r="F248" s="40" t="s">
        <v>23</v>
      </c>
      <c r="G248" s="38">
        <v>14</v>
      </c>
      <c r="H248" s="38" t="str">
        <f>IFERROR('Automated raw'!$F248+'Automated raw'!$G248,"-")</f>
        <v>-</v>
      </c>
      <c r="I248" s="38">
        <v>45</v>
      </c>
      <c r="J248" s="38">
        <v>69</v>
      </c>
      <c r="K248" s="38">
        <v>13</v>
      </c>
      <c r="L248" s="38">
        <v>453</v>
      </c>
      <c r="M248" s="38">
        <v>859</v>
      </c>
      <c r="N248" s="38" t="e">
        <f>'Automated raw'!$G248/'Automated raw'!$H248</f>
        <v>#VALUE!</v>
      </c>
      <c r="O248" s="49" t="str">
        <f>IFERROR('Automated raw'!$G248/'Automated raw'!$H248,"incomplete")</f>
        <v>incomplete</v>
      </c>
      <c r="P248" s="38" t="str">
        <f>'Automated raw'!$F248</f>
        <v>Not Available</v>
      </c>
      <c r="Q248" s="42">
        <f>IFERROR('Automated raw'!$P248*'Automated raw'!$L248,0)</f>
        <v>0</v>
      </c>
      <c r="R248" s="38" t="str">
        <f>IF('Automated raw'!$O248&gt;=60%,"High",IF('Automated raw'!$O248&gt;=30%,"Avg",IF('Automated raw'!$O248&lt;30%,"Dead Stock","Incomplete")))</f>
        <v>High</v>
      </c>
      <c r="S248" s="43" t="str">
        <f>TEXT('Automated raw'!$B248,"mmm")</f>
        <v>Jul</v>
      </c>
      <c r="T248" s="82">
        <f>'Automated raw'!$G248*'Automated raw'!$M248</f>
        <v>12026</v>
      </c>
      <c r="U248" s="6" t="str">
        <f>IFERROR((Table7[[#This Row],[Stock In(Total)]]+Table7[[#This Row],[In Stock or Remaining]])/2,"-")</f>
        <v>-</v>
      </c>
      <c r="V248" s="93" t="str">
        <f>IFERROR(Table7[[#This Row],[Stock_Out]]/Table7[[#This Row],[Avg Inventory]],"-")</f>
        <v>-</v>
      </c>
      <c r="W248" s="6"/>
      <c r="X248" s="6"/>
      <c r="Y248" s="6"/>
      <c r="Z248" s="6"/>
      <c r="AA248" s="6"/>
      <c r="AB248" s="6"/>
      <c r="AC248" s="6"/>
      <c r="AD248" s="6"/>
      <c r="AE248" s="6"/>
      <c r="AF248" s="6"/>
      <c r="AG248" s="6"/>
      <c r="AH248" s="6"/>
      <c r="AI248" s="6"/>
      <c r="AJ248" s="6"/>
      <c r="AK248" s="6"/>
      <c r="AL248" s="57" t="s">
        <v>163</v>
      </c>
      <c r="AM248" s="57">
        <v>45456</v>
      </c>
      <c r="AN248" s="57" t="s">
        <v>53</v>
      </c>
      <c r="AO248" s="57" t="s">
        <v>13</v>
      </c>
      <c r="AP248" s="57" t="s">
        <v>14</v>
      </c>
      <c r="AQ248" s="57">
        <v>23</v>
      </c>
      <c r="AR248" s="57">
        <v>86</v>
      </c>
      <c r="AS248" s="57">
        <v>109</v>
      </c>
      <c r="AT248" s="57">
        <v>167</v>
      </c>
      <c r="AU248" s="57">
        <v>39</v>
      </c>
      <c r="AV248" s="57">
        <v>3</v>
      </c>
      <c r="AW248" s="57">
        <v>1248</v>
      </c>
      <c r="AX248" s="57">
        <v>2332</v>
      </c>
      <c r="AY248" s="57">
        <v>0.78899082568807344</v>
      </c>
      <c r="AZ248" s="57">
        <v>0.78899082568807344</v>
      </c>
      <c r="BA248" s="57">
        <v>23</v>
      </c>
      <c r="BB248" s="57">
        <v>28704</v>
      </c>
      <c r="BC248" s="57" t="s">
        <v>552</v>
      </c>
      <c r="BD248" s="57" t="s">
        <v>559</v>
      </c>
      <c r="BE248" s="57">
        <v>200552</v>
      </c>
    </row>
    <row r="249" spans="1:57" x14ac:dyDescent="0.3">
      <c r="A249" s="44" t="s">
        <v>280</v>
      </c>
      <c r="B249" s="45">
        <v>45637</v>
      </c>
      <c r="C249" s="44" t="s">
        <v>30</v>
      </c>
      <c r="D249" s="44" t="s">
        <v>13</v>
      </c>
      <c r="E249" s="44" t="s">
        <v>14</v>
      </c>
      <c r="F249" s="40">
        <v>132</v>
      </c>
      <c r="G249" s="44">
        <v>42</v>
      </c>
      <c r="H249" s="44">
        <f>IFERROR('Automated raw'!$F249+'Automated raw'!$G249,"-")</f>
        <v>174</v>
      </c>
      <c r="I249" s="44">
        <v>254</v>
      </c>
      <c r="J249" s="44">
        <v>36</v>
      </c>
      <c r="K249" s="44">
        <v>5</v>
      </c>
      <c r="L249" s="44">
        <v>876</v>
      </c>
      <c r="M249" s="44">
        <v>2332</v>
      </c>
      <c r="N249" s="44">
        <f>'Automated raw'!$G249/'Automated raw'!$H249</f>
        <v>0.2413793103448276</v>
      </c>
      <c r="O249" s="46">
        <f>IFERROR('Automated raw'!$G249/'Automated raw'!$H249,"incomplete")</f>
        <v>0.2413793103448276</v>
      </c>
      <c r="P249" s="44">
        <f>'Automated raw'!$F249</f>
        <v>132</v>
      </c>
      <c r="Q249" s="47">
        <f>IFERROR('Automated raw'!$P249*'Automated raw'!$L249,0)</f>
        <v>115632</v>
      </c>
      <c r="R249" s="44" t="str">
        <f>IF('Automated raw'!$O249&gt;=60%,"High",IF('Automated raw'!$O249&gt;=30%,"Avg",IF('Automated raw'!$O249&lt;30%,"Dead Stock","Incomplete")))</f>
        <v>Dead Stock</v>
      </c>
      <c r="S249" s="48" t="str">
        <f>TEXT('Automated raw'!$B249,"mmm")</f>
        <v>Dec</v>
      </c>
      <c r="T249" s="83">
        <f>'Automated raw'!$G249*'Automated raw'!$M249</f>
        <v>97944</v>
      </c>
      <c r="U249" s="6">
        <f>IFERROR((Table7[[#This Row],[Stock In(Total)]]+Table7[[#This Row],[In Stock or Remaining]])/2,"-")</f>
        <v>153</v>
      </c>
      <c r="V249" s="93">
        <f>IFERROR(Table7[[#This Row],[Stock_Out]]/Table7[[#This Row],[Avg Inventory]],"-")</f>
        <v>0.27450980392156865</v>
      </c>
      <c r="W249" s="6"/>
      <c r="X249" s="6"/>
      <c r="Y249" s="6"/>
      <c r="Z249" s="6"/>
      <c r="AA249" s="6"/>
      <c r="AB249" s="6"/>
      <c r="AC249" s="6"/>
      <c r="AD249" s="6"/>
      <c r="AE249" s="6"/>
      <c r="AF249" s="6"/>
      <c r="AG249" s="6"/>
      <c r="AH249" s="6"/>
      <c r="AI249" s="6"/>
      <c r="AJ249" s="6"/>
      <c r="AK249" s="6"/>
      <c r="AL249" s="56" t="s">
        <v>60</v>
      </c>
      <c r="AM249" s="56">
        <v>45450</v>
      </c>
      <c r="AN249" s="56" t="s">
        <v>19</v>
      </c>
      <c r="AO249" s="56" t="s">
        <v>13</v>
      </c>
      <c r="AP249" s="56" t="s">
        <v>21</v>
      </c>
      <c r="AQ249" s="56">
        <v>5</v>
      </c>
      <c r="AR249" s="56">
        <v>81</v>
      </c>
      <c r="AS249" s="56">
        <v>86</v>
      </c>
      <c r="AT249" s="56">
        <v>181</v>
      </c>
      <c r="AU249" s="56">
        <v>66</v>
      </c>
      <c r="AV249" s="56">
        <v>9</v>
      </c>
      <c r="AW249" s="56">
        <v>1797</v>
      </c>
      <c r="AX249" s="56">
        <v>2464</v>
      </c>
      <c r="AY249" s="56">
        <v>0.94186046511627908</v>
      </c>
      <c r="AZ249" s="56">
        <v>0.94186046511627908</v>
      </c>
      <c r="BA249" s="56">
        <v>5</v>
      </c>
      <c r="BB249" s="56">
        <v>8985</v>
      </c>
      <c r="BC249" s="56" t="s">
        <v>552</v>
      </c>
      <c r="BD249" s="56" t="s">
        <v>559</v>
      </c>
      <c r="BE249" s="56">
        <v>199584</v>
      </c>
    </row>
    <row r="250" spans="1:57" x14ac:dyDescent="0.3">
      <c r="A250" s="38" t="s">
        <v>162</v>
      </c>
      <c r="B250" s="39">
        <v>45373</v>
      </c>
      <c r="C250" s="38" t="s">
        <v>45</v>
      </c>
      <c r="D250" s="38" t="s">
        <v>13</v>
      </c>
      <c r="E250" s="38" t="s">
        <v>33</v>
      </c>
      <c r="F250" s="40">
        <v>88</v>
      </c>
      <c r="G250" s="38">
        <v>67</v>
      </c>
      <c r="H250" s="38">
        <f>IFERROR('Automated raw'!$F132+'Automated raw'!$G132,"-")</f>
        <v>117</v>
      </c>
      <c r="I250" s="38">
        <v>197</v>
      </c>
      <c r="J250" s="38">
        <v>62</v>
      </c>
      <c r="K250" s="38">
        <v>2</v>
      </c>
      <c r="L250" s="38">
        <v>255</v>
      </c>
      <c r="M250" s="38">
        <v>1224</v>
      </c>
      <c r="N250" s="38">
        <f>'Automated raw'!$G132/'Automated raw'!$H132</f>
        <v>0.19026548672566371</v>
      </c>
      <c r="O250" s="41">
        <f>IFERROR('Automated raw'!$G132/'Automated raw'!$H132,"incomplete")</f>
        <v>0.19026548672566371</v>
      </c>
      <c r="P250" s="38">
        <f>'Automated raw'!$F132</f>
        <v>74</v>
      </c>
      <c r="Q250" s="42">
        <f>IFERROR('Automated raw'!$P132*'Automated raw'!$L132,0)</f>
        <v>154908</v>
      </c>
      <c r="R250" s="38" t="str">
        <f>IF('Automated raw'!$O132&gt;=60%,"High",IF('Automated raw'!$O132&gt;=30%,"Avg",IF('Automated raw'!$O132&lt;30%,"Dead Stock","Incomplete")))</f>
        <v>High</v>
      </c>
      <c r="S250" s="43" t="str">
        <f>TEXT('Automated raw'!$B132,"mmm")</f>
        <v>Apr</v>
      </c>
      <c r="T250" s="82">
        <f>'Automated raw'!$G132*'Automated raw'!$M132</f>
        <v>70176</v>
      </c>
      <c r="U250" s="6">
        <f>IFERROR((Table7[[#This Row],[Stock In(Total)]]+Table7[[#This Row],[In Stock or Remaining]])/2,"-")</f>
        <v>102.5</v>
      </c>
      <c r="V250" s="93">
        <f>IFERROR(Table7[[#This Row],[Stock_Out]]/Table7[[#This Row],[Avg Inventory]],"-")</f>
        <v>0.65365853658536588</v>
      </c>
      <c r="W250" s="6"/>
      <c r="X250" s="6"/>
      <c r="Y250" s="6"/>
      <c r="Z250" s="6"/>
      <c r="AA250" s="6"/>
      <c r="AB250" s="6"/>
      <c r="AC250" s="6"/>
      <c r="AD250" s="6"/>
      <c r="AE250" s="6"/>
      <c r="AF250" s="6"/>
      <c r="AG250" s="6"/>
      <c r="AH250" s="6"/>
      <c r="AI250" s="6"/>
      <c r="AJ250" s="6"/>
      <c r="AK250" s="6"/>
      <c r="AL250" s="57" t="s">
        <v>116</v>
      </c>
      <c r="AM250" s="57">
        <v>45443</v>
      </c>
      <c r="AN250" s="57" t="s">
        <v>16</v>
      </c>
      <c r="AO250" s="57" t="s">
        <v>13</v>
      </c>
      <c r="AP250" s="57" t="s">
        <v>14</v>
      </c>
      <c r="AQ250" s="57">
        <v>51</v>
      </c>
      <c r="AR250" s="57">
        <v>81</v>
      </c>
      <c r="AS250" s="57">
        <v>132</v>
      </c>
      <c r="AT250" s="57">
        <v>93</v>
      </c>
      <c r="AU250" s="57">
        <v>38</v>
      </c>
      <c r="AV250" s="57">
        <v>6</v>
      </c>
      <c r="AW250" s="57">
        <v>1075</v>
      </c>
      <c r="AX250" s="57">
        <v>2413</v>
      </c>
      <c r="AY250" s="57">
        <v>0.61363636363636365</v>
      </c>
      <c r="AZ250" s="57">
        <v>0.61363636363636365</v>
      </c>
      <c r="BA250" s="57">
        <v>51</v>
      </c>
      <c r="BB250" s="57">
        <v>54825</v>
      </c>
      <c r="BC250" s="57" t="s">
        <v>552</v>
      </c>
      <c r="BD250" s="57" t="s">
        <v>561</v>
      </c>
      <c r="BE250" s="57">
        <v>195453</v>
      </c>
    </row>
    <row r="251" spans="1:57" x14ac:dyDescent="0.3">
      <c r="A251" s="44" t="s">
        <v>282</v>
      </c>
      <c r="B251" s="45">
        <v>45653</v>
      </c>
      <c r="C251" s="44" t="s">
        <v>37</v>
      </c>
      <c r="D251" s="44" t="s">
        <v>20</v>
      </c>
      <c r="E251" s="44" t="s">
        <v>38</v>
      </c>
      <c r="F251" s="40">
        <v>38</v>
      </c>
      <c r="G251" s="44">
        <v>79</v>
      </c>
      <c r="H251" s="44">
        <f>IFERROR('Automated raw'!$F251+'Automated raw'!$G251,"-")</f>
        <v>117</v>
      </c>
      <c r="I251" s="44">
        <v>120</v>
      </c>
      <c r="J251" s="44">
        <v>32</v>
      </c>
      <c r="K251" s="44">
        <v>6</v>
      </c>
      <c r="L251" s="44">
        <v>1701</v>
      </c>
      <c r="M251" s="44">
        <v>2797</v>
      </c>
      <c r="N251" s="44">
        <f>'Automated raw'!$G251/'Automated raw'!$H251</f>
        <v>0.67521367521367526</v>
      </c>
      <c r="O251" s="46">
        <f>IFERROR('Automated raw'!$G251/'Automated raw'!$H251,"incomplete")</f>
        <v>0.67521367521367526</v>
      </c>
      <c r="P251" s="44">
        <f>'Automated raw'!$F251</f>
        <v>38</v>
      </c>
      <c r="Q251" s="47">
        <f>IFERROR('Automated raw'!$P251*'Automated raw'!$L251,0)</f>
        <v>64638</v>
      </c>
      <c r="R251" s="44" t="str">
        <f>IF('Automated raw'!$O251&gt;=60%,"High",IF('Automated raw'!$O251&gt;=30%,"Avg",IF('Automated raw'!$O251&lt;30%,"Dead Stock","Incomplete")))</f>
        <v>High</v>
      </c>
      <c r="S251" s="48" t="str">
        <f>TEXT('Automated raw'!$B251,"mmm")</f>
        <v>Dec</v>
      </c>
      <c r="T251" s="83">
        <f>'Automated raw'!$G251*'Automated raw'!$M251</f>
        <v>220963</v>
      </c>
      <c r="U251" s="6">
        <f>IFERROR((Table7[[#This Row],[Stock In(Total)]]+Table7[[#This Row],[In Stock or Remaining]])/2,"-")</f>
        <v>77.5</v>
      </c>
      <c r="V251" s="93">
        <f>IFERROR(Table7[[#This Row],[Stock_Out]]/Table7[[#This Row],[Avg Inventory]],"-")</f>
        <v>1.0193548387096774</v>
      </c>
      <c r="W251" s="6"/>
      <c r="X251" s="6"/>
      <c r="Y251" s="6"/>
      <c r="Z251" s="6"/>
      <c r="AA251" s="6"/>
      <c r="AB251" s="6"/>
      <c r="AC251" s="6"/>
      <c r="AD251" s="6"/>
      <c r="AE251" s="6"/>
      <c r="AF251" s="6"/>
      <c r="AG251" s="6"/>
      <c r="AH251" s="6"/>
      <c r="AI251" s="6"/>
      <c r="AJ251" s="6"/>
      <c r="AK251" s="6"/>
      <c r="AL251" s="56" t="s">
        <v>313</v>
      </c>
      <c r="AM251" s="56">
        <v>45435</v>
      </c>
      <c r="AN251" s="56" t="s">
        <v>53</v>
      </c>
      <c r="AO251" s="56" t="s">
        <v>20</v>
      </c>
      <c r="AP251" s="56" t="s">
        <v>33</v>
      </c>
      <c r="AQ251" s="56">
        <v>14</v>
      </c>
      <c r="AR251" s="56">
        <v>91</v>
      </c>
      <c r="AS251" s="56">
        <v>105</v>
      </c>
      <c r="AT251" s="56">
        <v>220</v>
      </c>
      <c r="AU251" s="56">
        <v>77</v>
      </c>
      <c r="AV251" s="56">
        <v>6</v>
      </c>
      <c r="AW251" s="56">
        <v>1730</v>
      </c>
      <c r="AX251" s="56">
        <v>2116</v>
      </c>
      <c r="AY251" s="56">
        <v>0.8666666666666667</v>
      </c>
      <c r="AZ251" s="56">
        <v>0.8666666666666667</v>
      </c>
      <c r="BA251" s="56">
        <v>14</v>
      </c>
      <c r="BB251" s="56">
        <v>24220</v>
      </c>
      <c r="BC251" s="56" t="s">
        <v>552</v>
      </c>
      <c r="BD251" s="56" t="s">
        <v>561</v>
      </c>
      <c r="BE251" s="56">
        <v>192556</v>
      </c>
    </row>
    <row r="252" spans="1:57" x14ac:dyDescent="0.3">
      <c r="A252" s="38" t="s">
        <v>283</v>
      </c>
      <c r="B252" s="39">
        <v>45450</v>
      </c>
      <c r="C252" s="38" t="s">
        <v>26</v>
      </c>
      <c r="D252" s="38" t="s">
        <v>13</v>
      </c>
      <c r="E252" s="38" t="s">
        <v>14</v>
      </c>
      <c r="F252" s="40">
        <v>149</v>
      </c>
      <c r="G252" s="38">
        <v>37</v>
      </c>
      <c r="H252" s="38">
        <f>IFERROR('Automated raw'!$F252+'Automated raw'!$G252,"-")</f>
        <v>186</v>
      </c>
      <c r="I252" s="38">
        <v>215</v>
      </c>
      <c r="J252" s="38">
        <v>74</v>
      </c>
      <c r="K252" s="38">
        <v>4</v>
      </c>
      <c r="L252" s="38">
        <v>942</v>
      </c>
      <c r="M252" s="38">
        <v>1679</v>
      </c>
      <c r="N252" s="38">
        <f>'Automated raw'!$G252/'Automated raw'!$H252</f>
        <v>0.19892473118279569</v>
      </c>
      <c r="O252" s="41">
        <f>IFERROR('Automated raw'!$G252/'Automated raw'!$H252,"incomplete")</f>
        <v>0.19892473118279569</v>
      </c>
      <c r="P252" s="38">
        <f>'Automated raw'!$F252</f>
        <v>149</v>
      </c>
      <c r="Q252" s="42">
        <f>IFERROR('Automated raw'!$P252*'Automated raw'!$L252,0)</f>
        <v>140358</v>
      </c>
      <c r="R252" s="38" t="str">
        <f>IF('Automated raw'!$O252&gt;=60%,"High",IF('Automated raw'!$O252&gt;=30%,"Avg",IF('Automated raw'!$O252&lt;30%,"Dead Stock","Incomplete")))</f>
        <v>Dead Stock</v>
      </c>
      <c r="S252" s="43" t="str">
        <f>TEXT('Automated raw'!$B252,"mmm")</f>
        <v>Jun</v>
      </c>
      <c r="T252" s="82">
        <f>'Automated raw'!$G252*'Automated raw'!$M252</f>
        <v>62123</v>
      </c>
      <c r="U252" s="6">
        <f>IFERROR((Table7[[#This Row],[Stock In(Total)]]+Table7[[#This Row],[In Stock or Remaining]])/2,"-")</f>
        <v>167.5</v>
      </c>
      <c r="V252" s="93">
        <f>IFERROR(Table7[[#This Row],[Stock_Out]]/Table7[[#This Row],[Avg Inventory]],"-")</f>
        <v>0.22089552238805971</v>
      </c>
      <c r="W252" s="6"/>
      <c r="X252" s="6"/>
      <c r="Y252" s="6"/>
      <c r="Z252" s="6"/>
      <c r="AA252" s="6"/>
      <c r="AB252" s="6"/>
      <c r="AC252" s="6"/>
      <c r="AD252" s="6"/>
      <c r="AE252" s="6"/>
      <c r="AF252" s="6"/>
      <c r="AG252" s="6"/>
      <c r="AH252" s="6"/>
      <c r="AI252" s="6"/>
      <c r="AJ252" s="6"/>
      <c r="AK252" s="6"/>
      <c r="AL252" s="56" t="s">
        <v>22</v>
      </c>
      <c r="AM252" s="56">
        <v>45499</v>
      </c>
      <c r="AN252" s="56" t="s">
        <v>16</v>
      </c>
      <c r="AO252" s="56" t="s">
        <v>13</v>
      </c>
      <c r="AP252" s="56" t="s">
        <v>23</v>
      </c>
      <c r="AQ252" s="56">
        <v>17</v>
      </c>
      <c r="AR252" s="56">
        <v>59</v>
      </c>
      <c r="AS252" s="56">
        <v>76</v>
      </c>
      <c r="AT252" s="56">
        <v>73</v>
      </c>
      <c r="AU252" s="56">
        <v>41</v>
      </c>
      <c r="AV252" s="56">
        <v>3</v>
      </c>
      <c r="AW252" s="56">
        <v>1958</v>
      </c>
      <c r="AX252" s="56">
        <v>3252</v>
      </c>
      <c r="AY252" s="56">
        <v>0.77631578947368418</v>
      </c>
      <c r="AZ252" s="56">
        <v>0.77631578947368418</v>
      </c>
      <c r="BA252" s="56">
        <v>17</v>
      </c>
      <c r="BB252" s="56">
        <v>33286</v>
      </c>
      <c r="BC252" s="56" t="s">
        <v>552</v>
      </c>
      <c r="BD252" s="56" t="s">
        <v>556</v>
      </c>
      <c r="BE252" s="56">
        <v>191868</v>
      </c>
    </row>
    <row r="253" spans="1:57" x14ac:dyDescent="0.3">
      <c r="A253" s="44" t="s">
        <v>284</v>
      </c>
      <c r="B253" s="45">
        <v>45292</v>
      </c>
      <c r="C253" s="44" t="s">
        <v>45</v>
      </c>
      <c r="D253" s="44" t="s">
        <v>13</v>
      </c>
      <c r="E253" s="44" t="s">
        <v>38</v>
      </c>
      <c r="F253" s="40">
        <v>20</v>
      </c>
      <c r="G253" s="44">
        <v>100</v>
      </c>
      <c r="H253" s="44">
        <f>IFERROR('Automated raw'!$F253+'Automated raw'!$G253,"-")</f>
        <v>120</v>
      </c>
      <c r="I253" s="44">
        <v>58</v>
      </c>
      <c r="J253" s="44">
        <v>73</v>
      </c>
      <c r="K253" s="44">
        <v>4</v>
      </c>
      <c r="L253" s="44">
        <v>1282</v>
      </c>
      <c r="M253" s="44">
        <v>2536</v>
      </c>
      <c r="N253" s="44">
        <f>'Automated raw'!$G253/'Automated raw'!$H253</f>
        <v>0.83333333333333337</v>
      </c>
      <c r="O253" s="46">
        <f>IFERROR('Automated raw'!$G253/'Automated raw'!$H253,"incomplete")</f>
        <v>0.83333333333333337</v>
      </c>
      <c r="P253" s="44">
        <f>'Automated raw'!$F253</f>
        <v>20</v>
      </c>
      <c r="Q253" s="47">
        <f>IFERROR('Automated raw'!$P253*'Automated raw'!$L253,0)</f>
        <v>25640</v>
      </c>
      <c r="R253" s="44" t="str">
        <f>IF('Automated raw'!$O253&gt;=60%,"High",IF('Automated raw'!$O253&gt;=30%,"Avg",IF('Automated raw'!$O253&lt;30%,"Dead Stock","Incomplete")))</f>
        <v>High</v>
      </c>
      <c r="S253" s="48" t="str">
        <f>TEXT('Automated raw'!$B253,"mmm")</f>
        <v>Jan</v>
      </c>
      <c r="T253" s="83">
        <f>'Automated raw'!$G253*'Automated raw'!$M253</f>
        <v>253600</v>
      </c>
      <c r="U253" s="6">
        <f>IFERROR((Table7[[#This Row],[Stock In(Total)]]+Table7[[#This Row],[In Stock or Remaining]])/2,"-")</f>
        <v>70</v>
      </c>
      <c r="V253" s="93">
        <f>IFERROR(Table7[[#This Row],[Stock_Out]]/Table7[[#This Row],[Avg Inventory]],"-")</f>
        <v>1.4285714285714286</v>
      </c>
      <c r="W253" s="6"/>
      <c r="X253" s="6"/>
      <c r="Y253" s="6"/>
      <c r="Z253" s="6"/>
      <c r="AA253" s="6"/>
      <c r="AB253" s="6"/>
      <c r="AC253" s="6"/>
      <c r="AD253" s="6"/>
      <c r="AE253" s="6"/>
      <c r="AF253" s="6"/>
      <c r="AG253" s="6"/>
      <c r="AH253" s="6"/>
      <c r="AI253" s="6"/>
      <c r="AJ253" s="6"/>
      <c r="AK253" s="6"/>
      <c r="AL253" s="57" t="s">
        <v>343</v>
      </c>
      <c r="AM253" s="57">
        <v>45494</v>
      </c>
      <c r="AN253" s="57" t="s">
        <v>53</v>
      </c>
      <c r="AO253" s="57" t="s">
        <v>17</v>
      </c>
      <c r="AP253" s="57" t="s">
        <v>38</v>
      </c>
      <c r="AQ253" s="57">
        <v>45</v>
      </c>
      <c r="AR253" s="57">
        <v>84</v>
      </c>
      <c r="AS253" s="57">
        <v>129</v>
      </c>
      <c r="AT253" s="57">
        <v>192</v>
      </c>
      <c r="AU253" s="57">
        <v>39</v>
      </c>
      <c r="AV253" s="57">
        <v>10</v>
      </c>
      <c r="AW253" s="57">
        <v>968</v>
      </c>
      <c r="AX253" s="57">
        <v>2276</v>
      </c>
      <c r="AY253" s="57">
        <v>0.65116279069767447</v>
      </c>
      <c r="AZ253" s="57">
        <v>0.65116279069767447</v>
      </c>
      <c r="BA253" s="57">
        <v>45</v>
      </c>
      <c r="BB253" s="57">
        <v>43560</v>
      </c>
      <c r="BC253" s="57" t="s">
        <v>552</v>
      </c>
      <c r="BD253" s="57" t="s">
        <v>556</v>
      </c>
      <c r="BE253" s="57">
        <v>191184</v>
      </c>
    </row>
    <row r="254" spans="1:57" x14ac:dyDescent="0.3">
      <c r="A254" s="38" t="s">
        <v>471</v>
      </c>
      <c r="B254" s="39">
        <v>45533</v>
      </c>
      <c r="C254" s="38" t="s">
        <v>53</v>
      </c>
      <c r="D254" s="38" t="s">
        <v>20</v>
      </c>
      <c r="E254" s="38" t="s">
        <v>38</v>
      </c>
      <c r="F254" s="40">
        <v>130</v>
      </c>
      <c r="G254" s="38">
        <v>99</v>
      </c>
      <c r="H254" s="38">
        <f>IFERROR('Automated raw'!$F438+'Automated raw'!$G438,"-")</f>
        <v>215</v>
      </c>
      <c r="I254" s="38">
        <v>71</v>
      </c>
      <c r="J254" s="38">
        <v>70</v>
      </c>
      <c r="K254" s="38">
        <v>2</v>
      </c>
      <c r="L254" s="38">
        <v>321</v>
      </c>
      <c r="M254" s="38">
        <v>790</v>
      </c>
      <c r="N254" s="38">
        <f>'Automated raw'!$G438/'Automated raw'!$H438</f>
        <v>0.97499999999999998</v>
      </c>
      <c r="O254" s="41">
        <f>IFERROR('Automated raw'!$G438/'Automated raw'!$H438,"incomplete")</f>
        <v>0.97499999999999998</v>
      </c>
      <c r="P254" s="38">
        <f>'Automated raw'!$F438</f>
        <v>98</v>
      </c>
      <c r="Q254" s="42">
        <f>IFERROR('Automated raw'!$P438*'Automated raw'!$L438,0)</f>
        <v>103247</v>
      </c>
      <c r="R254" s="38" t="str">
        <f>IF('Automated raw'!$O438&gt;=60%,"High",IF('Automated raw'!$O438&gt;=30%,"Avg",IF('Automated raw'!$O438&lt;30%,"Dead Stock","Incomplete")))</f>
        <v>Avg</v>
      </c>
      <c r="S254" s="43" t="str">
        <f>TEXT('Automated raw'!$B438,"mmm")</f>
        <v>Sep</v>
      </c>
      <c r="T254" s="82">
        <f>'Automated raw'!$G438*'Automated raw'!$M438</f>
        <v>353691</v>
      </c>
      <c r="U254" s="6">
        <f>IFERROR((Table7[[#This Row],[Stock In(Total)]]+Table7[[#This Row],[In Stock or Remaining]])/2,"-")</f>
        <v>172.5</v>
      </c>
      <c r="V254" s="93">
        <f>IFERROR(Table7[[#This Row],[Stock_Out]]/Table7[[#This Row],[Avg Inventory]],"-")</f>
        <v>0.57391304347826089</v>
      </c>
      <c r="W254" s="6"/>
      <c r="X254" s="6"/>
      <c r="Y254" s="6"/>
      <c r="Z254" s="6"/>
      <c r="AA254" s="6"/>
      <c r="AB254" s="6"/>
      <c r="AC254" s="6"/>
      <c r="AD254" s="6"/>
      <c r="AE254" s="6"/>
      <c r="AF254" s="6"/>
      <c r="AG254" s="6"/>
      <c r="AH254" s="6"/>
      <c r="AI254" s="6"/>
      <c r="AJ254" s="6"/>
      <c r="AK254" s="6"/>
      <c r="AL254" s="57" t="s">
        <v>195</v>
      </c>
      <c r="AM254" s="57">
        <v>45566</v>
      </c>
      <c r="AN254" s="57" t="s">
        <v>16</v>
      </c>
      <c r="AO254" s="57" t="s">
        <v>20</v>
      </c>
      <c r="AP254" s="57" t="s">
        <v>38</v>
      </c>
      <c r="AQ254" s="57">
        <v>36</v>
      </c>
      <c r="AR254" s="57">
        <v>97</v>
      </c>
      <c r="AS254" s="57">
        <v>133</v>
      </c>
      <c r="AT254" s="57">
        <v>84</v>
      </c>
      <c r="AU254" s="57">
        <v>59</v>
      </c>
      <c r="AV254" s="57">
        <v>2</v>
      </c>
      <c r="AW254" s="57">
        <v>698</v>
      </c>
      <c r="AX254" s="57">
        <v>1944</v>
      </c>
      <c r="AY254" s="57">
        <v>0.72932330827067671</v>
      </c>
      <c r="AZ254" s="57">
        <v>0.72932330827067671</v>
      </c>
      <c r="BA254" s="57">
        <v>36</v>
      </c>
      <c r="BB254" s="57">
        <v>25128</v>
      </c>
      <c r="BC254" s="57" t="s">
        <v>552</v>
      </c>
      <c r="BD254" s="57" t="s">
        <v>565</v>
      </c>
      <c r="BE254" s="57">
        <v>188568</v>
      </c>
    </row>
    <row r="255" spans="1:57" x14ac:dyDescent="0.3">
      <c r="A255" s="44" t="s">
        <v>288</v>
      </c>
      <c r="B255" s="45">
        <v>45589</v>
      </c>
      <c r="C255" s="44" t="s">
        <v>30</v>
      </c>
      <c r="D255" s="44" t="s">
        <v>17</v>
      </c>
      <c r="E255" s="44" t="s">
        <v>33</v>
      </c>
      <c r="F255" s="40">
        <v>48</v>
      </c>
      <c r="G255" s="44">
        <v>37</v>
      </c>
      <c r="H255" s="44">
        <f>IFERROR('Automated raw'!$F257+'Automated raw'!$G257,"-")</f>
        <v>62</v>
      </c>
      <c r="I255" s="44">
        <v>260</v>
      </c>
      <c r="J255" s="44">
        <v>31</v>
      </c>
      <c r="K255" s="44">
        <v>15</v>
      </c>
      <c r="L255" s="44">
        <v>880</v>
      </c>
      <c r="M255" s="44">
        <v>1337</v>
      </c>
      <c r="N255" s="44">
        <f>'Automated raw'!$G257/'Automated raw'!$H257</f>
        <v>0.39705882352941174</v>
      </c>
      <c r="O255" s="46">
        <f>IFERROR('Automated raw'!$G257/'Automated raw'!$H257,"incomplete")</f>
        <v>0.39705882352941174</v>
      </c>
      <c r="P255" s="44">
        <f>'Automated raw'!$F257</f>
        <v>35</v>
      </c>
      <c r="Q255" s="47">
        <f>IFERROR('Automated raw'!$P257*'Automated raw'!$L257,0)</f>
        <v>24846</v>
      </c>
      <c r="R255" s="44" t="str">
        <f>IF('Automated raw'!$O257&gt;=60%,"High",IF('Automated raw'!$O257&gt;=30%,"Avg",IF('Automated raw'!$O257&lt;30%,"Dead Stock","Incomplete")))</f>
        <v>Avg</v>
      </c>
      <c r="S255" s="48" t="str">
        <f>TEXT('Automated raw'!$B257,"mmm")</f>
        <v>Jun</v>
      </c>
      <c r="T255" s="83">
        <f>'Automated raw'!$G257*'Automated raw'!$M257</f>
        <v>31077</v>
      </c>
      <c r="U255" s="6">
        <f>IFERROR((Table7[[#This Row],[Stock In(Total)]]+Table7[[#This Row],[In Stock or Remaining]])/2,"-")</f>
        <v>55</v>
      </c>
      <c r="V255" s="93">
        <f>IFERROR(Table7[[#This Row],[Stock_Out]]/Table7[[#This Row],[Avg Inventory]],"-")</f>
        <v>0.67272727272727273</v>
      </c>
      <c r="W255" s="6"/>
      <c r="X255" s="6"/>
      <c r="Y255" s="6"/>
      <c r="Z255" s="6"/>
      <c r="AA255" s="6"/>
      <c r="AB255" s="6"/>
      <c r="AC255" s="6"/>
      <c r="AD255" s="6"/>
      <c r="AE255" s="6"/>
      <c r="AF255" s="6"/>
      <c r="AG255" s="6"/>
      <c r="AH255" s="6"/>
      <c r="AI255" s="6"/>
      <c r="AJ255" s="6"/>
      <c r="AK255" s="6"/>
      <c r="AL255" s="57" t="s">
        <v>402</v>
      </c>
      <c r="AM255" s="57">
        <v>45424</v>
      </c>
      <c r="AN255" s="57" t="s">
        <v>19</v>
      </c>
      <c r="AO255" s="57" t="s">
        <v>17</v>
      </c>
      <c r="AP255" s="57" t="s">
        <v>21</v>
      </c>
      <c r="AQ255" s="57">
        <v>14</v>
      </c>
      <c r="AR255" s="57">
        <v>78</v>
      </c>
      <c r="AS255" s="57">
        <v>92</v>
      </c>
      <c r="AT255" s="57">
        <v>62</v>
      </c>
      <c r="AU255" s="57">
        <v>73</v>
      </c>
      <c r="AV255" s="57">
        <v>2</v>
      </c>
      <c r="AW255" s="57">
        <v>1000</v>
      </c>
      <c r="AX255" s="57">
        <v>2407</v>
      </c>
      <c r="AY255" s="57">
        <v>0.84782608695652173</v>
      </c>
      <c r="AZ255" s="57">
        <v>0.84782608695652173</v>
      </c>
      <c r="BA255" s="57">
        <v>14</v>
      </c>
      <c r="BB255" s="57">
        <v>14000</v>
      </c>
      <c r="BC255" s="57" t="s">
        <v>552</v>
      </c>
      <c r="BD255" s="57" t="s">
        <v>561</v>
      </c>
      <c r="BE255" s="57">
        <v>187746</v>
      </c>
    </row>
    <row r="256" spans="1:57" x14ac:dyDescent="0.3">
      <c r="A256" s="44" t="s">
        <v>138</v>
      </c>
      <c r="B256" s="45">
        <v>45489</v>
      </c>
      <c r="C256" s="44" t="s">
        <v>12</v>
      </c>
      <c r="D256" s="44" t="s">
        <v>17</v>
      </c>
      <c r="E256" s="44" t="s">
        <v>14</v>
      </c>
      <c r="F256" s="40">
        <v>35</v>
      </c>
      <c r="G256" s="44">
        <v>27</v>
      </c>
      <c r="H256" s="44">
        <f>IFERROR('Automated raw'!$F111+'Automated raw'!$G111,"-")</f>
        <v>75</v>
      </c>
      <c r="I256" s="44">
        <v>118</v>
      </c>
      <c r="J256" s="44">
        <v>77</v>
      </c>
      <c r="K256" s="44">
        <v>13</v>
      </c>
      <c r="L256" s="44">
        <v>1896</v>
      </c>
      <c r="M256" s="44">
        <v>2237</v>
      </c>
      <c r="N256" s="44">
        <f>'Automated raw'!$G111/'Automated raw'!$H111</f>
        <v>0.16463414634146342</v>
      </c>
      <c r="O256" s="46">
        <f>IFERROR('Automated raw'!$G111/'Automated raw'!$H111,"incomplete")</f>
        <v>0.16463414634146342</v>
      </c>
      <c r="P256" s="44">
        <f>'Automated raw'!$F111</f>
        <v>48</v>
      </c>
      <c r="Q256" s="47">
        <f>IFERROR('Automated raw'!$P111*'Automated raw'!$L111,0)</f>
        <v>31622</v>
      </c>
      <c r="R256" s="44" t="str">
        <f>IF('Automated raw'!$O111&gt;=60%,"High",IF('Automated raw'!$O111&gt;=30%,"Avg",IF('Automated raw'!$O111&lt;30%,"Dead Stock","Incomplete")))</f>
        <v>Avg</v>
      </c>
      <c r="S256" s="48" t="str">
        <f>TEXT('Automated raw'!$B111,"mmm")</f>
        <v>Jul</v>
      </c>
      <c r="T256" s="83">
        <f>'Automated raw'!$G111*'Automated raw'!$M111</f>
        <v>34128</v>
      </c>
      <c r="U256" s="6">
        <f>IFERROR((Table7[[#This Row],[Stock In(Total)]]+Table7[[#This Row],[In Stock or Remaining]])/2,"-")</f>
        <v>55</v>
      </c>
      <c r="V256" s="93">
        <f>IFERROR(Table7[[#This Row],[Stock_Out]]/Table7[[#This Row],[Avg Inventory]],"-")</f>
        <v>0.49090909090909091</v>
      </c>
      <c r="W256" s="6"/>
      <c r="X256" s="6"/>
      <c r="Y256" s="6"/>
      <c r="Z256" s="6"/>
      <c r="AA256" s="6"/>
      <c r="AB256" s="6"/>
      <c r="AC256" s="6"/>
      <c r="AD256" s="6"/>
      <c r="AE256" s="6"/>
      <c r="AF256" s="6"/>
      <c r="AG256" s="6"/>
      <c r="AH256" s="6"/>
      <c r="AI256" s="6"/>
      <c r="AJ256" s="6"/>
      <c r="AK256" s="6"/>
      <c r="AL256" s="57" t="s">
        <v>427</v>
      </c>
      <c r="AM256" s="57">
        <v>45472</v>
      </c>
      <c r="AN256" s="57" t="s">
        <v>30</v>
      </c>
      <c r="AO256" s="57" t="s">
        <v>20</v>
      </c>
      <c r="AP256" s="57" t="s">
        <v>14</v>
      </c>
      <c r="AQ256" s="57" t="s">
        <v>23</v>
      </c>
      <c r="AR256" s="57">
        <v>95</v>
      </c>
      <c r="AS256" s="57" t="s">
        <v>568</v>
      </c>
      <c r="AT256" s="57">
        <v>200</v>
      </c>
      <c r="AU256" s="57">
        <v>76</v>
      </c>
      <c r="AV256" s="57">
        <v>3</v>
      </c>
      <c r="AW256" s="57">
        <v>1469</v>
      </c>
      <c r="AX256" s="57">
        <v>1974</v>
      </c>
      <c r="AY256" s="57" t="e">
        <v>#VALUE!</v>
      </c>
      <c r="AZ256" s="57" t="s">
        <v>569</v>
      </c>
      <c r="BA256" s="57" t="s">
        <v>23</v>
      </c>
      <c r="BB256" s="57">
        <v>0</v>
      </c>
      <c r="BC256" s="57" t="s">
        <v>552</v>
      </c>
      <c r="BD256" s="57" t="s">
        <v>559</v>
      </c>
      <c r="BE256" s="57">
        <v>187530</v>
      </c>
    </row>
    <row r="257" spans="1:57" x14ac:dyDescent="0.3">
      <c r="A257" s="44" t="s">
        <v>223</v>
      </c>
      <c r="B257" s="45">
        <v>45462</v>
      </c>
      <c r="C257" s="44" t="s">
        <v>16</v>
      </c>
      <c r="D257" s="44" t="s">
        <v>20</v>
      </c>
      <c r="E257" s="44" t="s">
        <v>38</v>
      </c>
      <c r="F257" s="40">
        <v>35</v>
      </c>
      <c r="G257" s="44">
        <v>27</v>
      </c>
      <c r="H257" s="44">
        <f>IFERROR('Automated raw'!$F193+'Automated raw'!$G193,"-")</f>
        <v>68</v>
      </c>
      <c r="I257" s="44">
        <v>129</v>
      </c>
      <c r="J257" s="44">
        <v>77</v>
      </c>
      <c r="K257" s="44">
        <v>6</v>
      </c>
      <c r="L257" s="44">
        <v>606</v>
      </c>
      <c r="M257" s="44">
        <v>1151</v>
      </c>
      <c r="N257" s="44">
        <f>'Automated raw'!$G193/'Automated raw'!$H193</f>
        <v>0.52941176470588236</v>
      </c>
      <c r="O257" s="46">
        <f>IFERROR('Automated raw'!$G193/'Automated raw'!$H193,"incomplete")</f>
        <v>0.52941176470588236</v>
      </c>
      <c r="P257" s="44">
        <f>'Automated raw'!$F193</f>
        <v>41</v>
      </c>
      <c r="Q257" s="47">
        <f>IFERROR('Automated raw'!$P193*'Automated raw'!$L193,0)</f>
        <v>22438</v>
      </c>
      <c r="R257" s="44" t="str">
        <f>IF('Automated raw'!$O193&gt;=60%,"High",IF('Automated raw'!$O193&gt;=30%,"Avg",IF('Automated raw'!$O193&lt;30%,"Dead Stock","Incomplete")))</f>
        <v>Dead Stock</v>
      </c>
      <c r="S257" s="48" t="str">
        <f>TEXT('Automated raw'!$B193,"mmm")</f>
        <v>Feb</v>
      </c>
      <c r="T257" s="83">
        <f>'Automated raw'!$G193*'Automated raw'!$M193</f>
        <v>56781</v>
      </c>
      <c r="U257" s="6">
        <f>IFERROR((Table7[[#This Row],[Stock In(Total)]]+Table7[[#This Row],[In Stock or Remaining]])/2,"-")</f>
        <v>51.5</v>
      </c>
      <c r="V257" s="93">
        <f>IFERROR(Table7[[#This Row],[Stock_Out]]/Table7[[#This Row],[Avg Inventory]],"-")</f>
        <v>0.52427184466019416</v>
      </c>
      <c r="W257" s="6"/>
      <c r="X257" s="6"/>
      <c r="Y257" s="6"/>
      <c r="Z257" s="6"/>
      <c r="AA257" s="6"/>
      <c r="AB257" s="6"/>
      <c r="AC257" s="6"/>
      <c r="AD257" s="6"/>
      <c r="AE257" s="6"/>
      <c r="AF257" s="6"/>
      <c r="AG257" s="6"/>
      <c r="AH257" s="6"/>
      <c r="AI257" s="6"/>
      <c r="AJ257" s="6"/>
      <c r="AK257" s="6"/>
      <c r="AL257" s="56" t="s">
        <v>275</v>
      </c>
      <c r="AM257" s="56">
        <v>45436</v>
      </c>
      <c r="AN257" s="56" t="s">
        <v>53</v>
      </c>
      <c r="AO257" s="56" t="s">
        <v>17</v>
      </c>
      <c r="AP257" s="56" t="s">
        <v>14</v>
      </c>
      <c r="AQ257" s="56">
        <v>6</v>
      </c>
      <c r="AR257" s="56">
        <v>94</v>
      </c>
      <c r="AS257" s="56">
        <v>100</v>
      </c>
      <c r="AT257" s="56">
        <v>2</v>
      </c>
      <c r="AU257" s="56">
        <v>64</v>
      </c>
      <c r="AV257" s="56">
        <v>11</v>
      </c>
      <c r="AW257" s="56">
        <v>1742</v>
      </c>
      <c r="AX257" s="56">
        <v>1989</v>
      </c>
      <c r="AY257" s="56">
        <v>0.94</v>
      </c>
      <c r="AZ257" s="56">
        <v>0.94</v>
      </c>
      <c r="BA257" s="56">
        <v>6</v>
      </c>
      <c r="BB257" s="56">
        <v>10452</v>
      </c>
      <c r="BC257" s="56" t="s">
        <v>552</v>
      </c>
      <c r="BD257" s="56" t="s">
        <v>561</v>
      </c>
      <c r="BE257" s="56">
        <v>186966</v>
      </c>
    </row>
    <row r="258" spans="1:57" x14ac:dyDescent="0.3">
      <c r="A258" s="38" t="s">
        <v>289</v>
      </c>
      <c r="B258" s="39">
        <v>45567</v>
      </c>
      <c r="C258" s="38" t="s">
        <v>30</v>
      </c>
      <c r="D258" s="38" t="s">
        <v>17</v>
      </c>
      <c r="E258" s="38" t="s">
        <v>14</v>
      </c>
      <c r="F258" s="40">
        <v>143</v>
      </c>
      <c r="G258" s="38">
        <v>37</v>
      </c>
      <c r="H258" s="38">
        <f>IFERROR('Automated raw'!$F258+'Automated raw'!$G258,"-")</f>
        <v>180</v>
      </c>
      <c r="I258" s="38">
        <v>39</v>
      </c>
      <c r="J258" s="38">
        <v>51</v>
      </c>
      <c r="K258" s="38">
        <v>7</v>
      </c>
      <c r="L258" s="38">
        <v>613</v>
      </c>
      <c r="M258" s="38">
        <v>1651</v>
      </c>
      <c r="N258" s="38">
        <f>'Automated raw'!$G258/'Automated raw'!$H258</f>
        <v>0.20555555555555555</v>
      </c>
      <c r="O258" s="41">
        <f>IFERROR('Automated raw'!$G258/'Automated raw'!$H258,"incomplete")</f>
        <v>0.20555555555555555</v>
      </c>
      <c r="P258" s="38">
        <f>'Automated raw'!$F258</f>
        <v>143</v>
      </c>
      <c r="Q258" s="42">
        <f>IFERROR('Automated raw'!$P258*'Automated raw'!$L258,0)</f>
        <v>87659</v>
      </c>
      <c r="R258" s="38" t="str">
        <f>IF('Automated raw'!$O258&gt;=60%,"High",IF('Automated raw'!$O258&gt;=30%,"Avg",IF('Automated raw'!$O258&lt;30%,"Dead Stock","Incomplete")))</f>
        <v>Dead Stock</v>
      </c>
      <c r="S258" s="43" t="str">
        <f>TEXT('Automated raw'!$B258,"mmm")</f>
        <v>Oct</v>
      </c>
      <c r="T258" s="82">
        <f>'Automated raw'!$G258*'Automated raw'!$M258</f>
        <v>61087</v>
      </c>
      <c r="U258" s="6">
        <f>IFERROR((Table7[[#This Row],[Stock In(Total)]]+Table7[[#This Row],[In Stock or Remaining]])/2,"-")</f>
        <v>161.5</v>
      </c>
      <c r="V258" s="93">
        <f>IFERROR(Table7[[#This Row],[Stock_Out]]/Table7[[#This Row],[Avg Inventory]],"-")</f>
        <v>0.22910216718266255</v>
      </c>
      <c r="W258" s="6"/>
      <c r="X258" s="6"/>
      <c r="Y258" s="6"/>
      <c r="Z258" s="6"/>
      <c r="AA258" s="6"/>
      <c r="AB258" s="6"/>
      <c r="AC258" s="6"/>
      <c r="AD258" s="6"/>
      <c r="AE258" s="6"/>
      <c r="AF258" s="6"/>
      <c r="AG258" s="6"/>
      <c r="AH258" s="6"/>
      <c r="AI258" s="6"/>
      <c r="AJ258" s="6"/>
      <c r="AK258" s="6"/>
      <c r="AL258" s="56" t="s">
        <v>353</v>
      </c>
      <c r="AM258" s="56">
        <v>45335</v>
      </c>
      <c r="AN258" s="56" t="s">
        <v>45</v>
      </c>
      <c r="AO258" s="56" t="s">
        <v>13</v>
      </c>
      <c r="AP258" s="56" t="s">
        <v>14</v>
      </c>
      <c r="AQ258" s="56">
        <v>65</v>
      </c>
      <c r="AR258" s="56">
        <v>110</v>
      </c>
      <c r="AS258" s="56">
        <v>175</v>
      </c>
      <c r="AT258" s="56">
        <v>28</v>
      </c>
      <c r="AU258" s="56">
        <v>48</v>
      </c>
      <c r="AV258" s="56">
        <v>3</v>
      </c>
      <c r="AW258" s="56">
        <v>1558</v>
      </c>
      <c r="AX258" s="56">
        <v>1689</v>
      </c>
      <c r="AY258" s="56">
        <v>0.62857142857142856</v>
      </c>
      <c r="AZ258" s="56">
        <v>0.62857142857142856</v>
      </c>
      <c r="BA258" s="56">
        <v>65</v>
      </c>
      <c r="BB258" s="56">
        <v>101270</v>
      </c>
      <c r="BC258" s="56" t="s">
        <v>552</v>
      </c>
      <c r="BD258" s="56" t="s">
        <v>555</v>
      </c>
      <c r="BE258" s="56">
        <v>185790</v>
      </c>
    </row>
    <row r="259" spans="1:57" x14ac:dyDescent="0.3">
      <c r="A259" s="44" t="s">
        <v>368</v>
      </c>
      <c r="B259" s="45">
        <v>45526</v>
      </c>
      <c r="C259" s="44" t="s">
        <v>12</v>
      </c>
      <c r="D259" s="44" t="s">
        <v>13</v>
      </c>
      <c r="E259" s="44" t="s">
        <v>21</v>
      </c>
      <c r="F259" s="40">
        <v>99</v>
      </c>
      <c r="G259" s="44">
        <v>77</v>
      </c>
      <c r="H259" s="44">
        <f>IFERROR('Automated raw'!$F335+'Automated raw'!$G335,"-")</f>
        <v>184</v>
      </c>
      <c r="I259" s="44">
        <v>148</v>
      </c>
      <c r="J259" s="44">
        <v>32</v>
      </c>
      <c r="K259" s="44">
        <v>12</v>
      </c>
      <c r="L259" s="44">
        <v>296</v>
      </c>
      <c r="M259" s="44">
        <v>810</v>
      </c>
      <c r="N259" s="44">
        <f>'Automated raw'!$G335/'Automated raw'!$H335</f>
        <v>1.4745762711864407</v>
      </c>
      <c r="O259" s="46">
        <f>IFERROR('Automated raw'!$G335/'Automated raw'!$H335,"incomplete")</f>
        <v>1.4745762711864407</v>
      </c>
      <c r="P259" s="44">
        <f>'Automated raw'!$F335</f>
        <v>97</v>
      </c>
      <c r="Q259" s="47">
        <f>IFERROR('Automated raw'!$P335*'Automated raw'!$L335,0)</f>
        <v>8712</v>
      </c>
      <c r="R259" s="44" t="str">
        <f>IF('Automated raw'!$O335&gt;=60%,"High",IF('Automated raw'!$O335&gt;=30%,"Avg",IF('Automated raw'!$O335&lt;30%,"Dead Stock","Incomplete")))</f>
        <v>Dead Stock</v>
      </c>
      <c r="S259" s="48" t="str">
        <f>TEXT('Automated raw'!$B335,"mmm")</f>
        <v>Jan</v>
      </c>
      <c r="T259" s="83">
        <f>'Automated raw'!$G335*'Automated raw'!$M335</f>
        <v>87696</v>
      </c>
      <c r="U259" s="6">
        <f>IFERROR((Table7[[#This Row],[Stock In(Total)]]+Table7[[#This Row],[In Stock or Remaining]])/2,"-")</f>
        <v>141.5</v>
      </c>
      <c r="V259" s="93">
        <f>IFERROR(Table7[[#This Row],[Stock_Out]]/Table7[[#This Row],[Avg Inventory]],"-")</f>
        <v>0.54416961130742048</v>
      </c>
      <c r="W259" s="6"/>
      <c r="X259" s="6"/>
      <c r="Y259" s="6"/>
      <c r="Z259" s="6"/>
      <c r="AA259" s="6"/>
      <c r="AB259" s="6"/>
      <c r="AC259" s="6"/>
      <c r="AD259" s="6"/>
      <c r="AE259" s="6"/>
      <c r="AF259" s="6"/>
      <c r="AG259" s="6"/>
      <c r="AH259" s="6"/>
      <c r="AI259" s="6"/>
      <c r="AJ259" s="6"/>
      <c r="AK259" s="6"/>
      <c r="AL259" s="56" t="s">
        <v>158</v>
      </c>
      <c r="AM259" s="56">
        <v>45621</v>
      </c>
      <c r="AN259" s="56" t="s">
        <v>45</v>
      </c>
      <c r="AO259" s="56" t="s">
        <v>20</v>
      </c>
      <c r="AP259" s="56" t="s">
        <v>21</v>
      </c>
      <c r="AQ259" s="56">
        <v>36</v>
      </c>
      <c r="AR259" s="56">
        <v>85</v>
      </c>
      <c r="AS259" s="56">
        <v>121</v>
      </c>
      <c r="AT259" s="56">
        <v>226</v>
      </c>
      <c r="AU259" s="56">
        <v>43</v>
      </c>
      <c r="AV259" s="56">
        <v>11</v>
      </c>
      <c r="AW259" s="56">
        <v>1414</v>
      </c>
      <c r="AX259" s="56">
        <v>2174</v>
      </c>
      <c r="AY259" s="56">
        <v>0.7024793388429752</v>
      </c>
      <c r="AZ259" s="56">
        <v>0.7024793388429752</v>
      </c>
      <c r="BA259" s="56">
        <v>36</v>
      </c>
      <c r="BB259" s="56">
        <v>50904</v>
      </c>
      <c r="BC259" s="56" t="s">
        <v>552</v>
      </c>
      <c r="BD259" s="56" t="s">
        <v>564</v>
      </c>
      <c r="BE259" s="56">
        <v>184790</v>
      </c>
    </row>
    <row r="260" spans="1:57" x14ac:dyDescent="0.3">
      <c r="A260" s="44" t="s">
        <v>132</v>
      </c>
      <c r="B260" s="45">
        <v>45569</v>
      </c>
      <c r="C260" s="44" t="s">
        <v>53</v>
      </c>
      <c r="D260" s="44" t="s">
        <v>20</v>
      </c>
      <c r="E260" s="44" t="s">
        <v>38</v>
      </c>
      <c r="F260" s="40">
        <v>84</v>
      </c>
      <c r="G260" s="44">
        <v>66</v>
      </c>
      <c r="H260" s="44">
        <f>IFERROR('Automated raw'!$F105+'Automated raw'!$G105,"-")</f>
        <v>95</v>
      </c>
      <c r="I260" s="44">
        <v>154</v>
      </c>
      <c r="J260" s="44">
        <v>72</v>
      </c>
      <c r="K260" s="44">
        <v>12</v>
      </c>
      <c r="L260" s="44">
        <v>1970</v>
      </c>
      <c r="M260" s="44">
        <v>3221</v>
      </c>
      <c r="N260" s="44">
        <f>'Automated raw'!$G105/'Automated raw'!$H105</f>
        <v>0.22666666666666666</v>
      </c>
      <c r="O260" s="46">
        <f>IFERROR('Automated raw'!$G105/'Automated raw'!$H105,"incomplete")</f>
        <v>0.22666666666666666</v>
      </c>
      <c r="P260" s="44">
        <f>'Automated raw'!$F105</f>
        <v>61</v>
      </c>
      <c r="Q260" s="47">
        <f>IFERROR('Automated raw'!$P105*'Automated raw'!$L105,0)</f>
        <v>31668</v>
      </c>
      <c r="R260" s="44" t="str">
        <f>IF('Automated raw'!$O105&gt;=60%,"High",IF('Automated raw'!$O105&gt;=30%,"Avg",IF('Automated raw'!$O105&lt;30%,"Dead Stock","Incomplete")))</f>
        <v>High</v>
      </c>
      <c r="S260" s="48" t="str">
        <f>TEXT('Automated raw'!$B105,"mmm")</f>
        <v>Jan</v>
      </c>
      <c r="T260" s="83">
        <f>'Automated raw'!$G105*'Automated raw'!$M105</f>
        <v>38148</v>
      </c>
      <c r="U260" s="6">
        <f>IFERROR((Table7[[#This Row],[Stock In(Total)]]+Table7[[#This Row],[In Stock or Remaining]])/2,"-")</f>
        <v>89.5</v>
      </c>
      <c r="V260" s="93">
        <f>IFERROR(Table7[[#This Row],[Stock_Out]]/Table7[[#This Row],[Avg Inventory]],"-")</f>
        <v>0.73743016759776536</v>
      </c>
      <c r="W260" s="6"/>
      <c r="X260" s="6"/>
      <c r="Y260" s="6"/>
      <c r="Z260" s="6"/>
      <c r="AA260" s="6"/>
      <c r="AB260" s="6"/>
      <c r="AC260" s="6"/>
      <c r="AD260" s="6"/>
      <c r="AE260" s="6"/>
      <c r="AF260" s="6"/>
      <c r="AG260" s="6"/>
      <c r="AH260" s="6"/>
      <c r="AI260" s="6"/>
      <c r="AJ260" s="6"/>
      <c r="AK260" s="6"/>
      <c r="AL260" s="56" t="s">
        <v>212</v>
      </c>
      <c r="AM260" s="56">
        <v>45367</v>
      </c>
      <c r="AN260" s="56" t="s">
        <v>30</v>
      </c>
      <c r="AO260" s="56" t="s">
        <v>17</v>
      </c>
      <c r="AP260" s="56" t="s">
        <v>21</v>
      </c>
      <c r="AQ260" s="56">
        <v>48</v>
      </c>
      <c r="AR260" s="56">
        <v>101</v>
      </c>
      <c r="AS260" s="56">
        <v>149</v>
      </c>
      <c r="AT260" s="56">
        <v>258</v>
      </c>
      <c r="AU260" s="56">
        <v>66</v>
      </c>
      <c r="AV260" s="56">
        <v>3</v>
      </c>
      <c r="AW260" s="56">
        <v>478</v>
      </c>
      <c r="AX260" s="56">
        <v>1825</v>
      </c>
      <c r="AY260" s="56">
        <v>0.67785234899328861</v>
      </c>
      <c r="AZ260" s="56">
        <v>0.67785234899328861</v>
      </c>
      <c r="BA260" s="56">
        <v>48</v>
      </c>
      <c r="BB260" s="56">
        <v>22944</v>
      </c>
      <c r="BC260" s="56" t="s">
        <v>552</v>
      </c>
      <c r="BD260" s="56" t="s">
        <v>562</v>
      </c>
      <c r="BE260" s="56">
        <v>184325</v>
      </c>
    </row>
    <row r="261" spans="1:57" x14ac:dyDescent="0.3">
      <c r="A261" s="44" t="s">
        <v>292</v>
      </c>
      <c r="B261" s="45">
        <v>45462</v>
      </c>
      <c r="C261" s="44" t="s">
        <v>19</v>
      </c>
      <c r="D261" s="44" t="s">
        <v>13</v>
      </c>
      <c r="E261" s="44" t="s">
        <v>14</v>
      </c>
      <c r="F261" s="40">
        <v>146</v>
      </c>
      <c r="G261" s="44">
        <v>9</v>
      </c>
      <c r="H261" s="44">
        <f>IFERROR('Automated raw'!$F261+'Automated raw'!$G261,"-")</f>
        <v>155</v>
      </c>
      <c r="I261" s="44">
        <v>178</v>
      </c>
      <c r="J261" s="44">
        <v>76</v>
      </c>
      <c r="K261" s="44">
        <v>6</v>
      </c>
      <c r="L261" s="44">
        <v>595</v>
      </c>
      <c r="M261" s="44">
        <v>1298</v>
      </c>
      <c r="N261" s="44">
        <f>'Automated raw'!$G261/'Automated raw'!$H261</f>
        <v>5.8064516129032261E-2</v>
      </c>
      <c r="O261" s="46">
        <f>IFERROR('Automated raw'!$G261/'Automated raw'!$H261,"incomplete")</f>
        <v>5.8064516129032261E-2</v>
      </c>
      <c r="P261" s="44">
        <f>'Automated raw'!$F261</f>
        <v>146</v>
      </c>
      <c r="Q261" s="47">
        <f>IFERROR('Automated raw'!$P261*'Automated raw'!$L261,0)</f>
        <v>86870</v>
      </c>
      <c r="R261" s="44" t="str">
        <f>IF('Automated raw'!$O261&gt;=60%,"High",IF('Automated raw'!$O261&gt;=30%,"Avg",IF('Automated raw'!$O261&lt;30%,"Dead Stock","Incomplete")))</f>
        <v>Dead Stock</v>
      </c>
      <c r="S261" s="48" t="str">
        <f>TEXT('Automated raw'!$B261,"mmm")</f>
        <v>Jun</v>
      </c>
      <c r="T261" s="83">
        <f>'Automated raw'!$G261*'Automated raw'!$M261</f>
        <v>11682</v>
      </c>
      <c r="U261" s="6">
        <f>IFERROR((Table7[[#This Row],[Stock In(Total)]]+Table7[[#This Row],[In Stock or Remaining]])/2,"-")</f>
        <v>150.5</v>
      </c>
      <c r="V261" s="93">
        <f>IFERROR(Table7[[#This Row],[Stock_Out]]/Table7[[#This Row],[Avg Inventory]],"-")</f>
        <v>5.9800664451827246E-2</v>
      </c>
      <c r="W261" s="6"/>
      <c r="X261" s="6"/>
      <c r="Y261" s="6"/>
      <c r="Z261" s="6"/>
      <c r="AA261" s="6"/>
      <c r="AB261" s="6"/>
      <c r="AC261" s="6"/>
      <c r="AD261" s="6"/>
      <c r="AE261" s="6"/>
      <c r="AF261" s="6"/>
      <c r="AG261" s="6"/>
      <c r="AH261" s="6"/>
      <c r="AI261" s="6"/>
      <c r="AJ261" s="6"/>
      <c r="AK261" s="6"/>
      <c r="AL261" s="57" t="s">
        <v>112</v>
      </c>
      <c r="AM261" s="57">
        <v>45328</v>
      </c>
      <c r="AN261" s="57" t="s">
        <v>26</v>
      </c>
      <c r="AO261" s="57" t="s">
        <v>17</v>
      </c>
      <c r="AP261" s="57" t="s">
        <v>21</v>
      </c>
      <c r="AQ261" s="57">
        <v>9</v>
      </c>
      <c r="AR261" s="57">
        <v>96</v>
      </c>
      <c r="AS261" s="57">
        <v>105</v>
      </c>
      <c r="AT261" s="57">
        <v>49</v>
      </c>
      <c r="AU261" s="57">
        <v>61</v>
      </c>
      <c r="AV261" s="57">
        <v>6</v>
      </c>
      <c r="AW261" s="57">
        <v>911</v>
      </c>
      <c r="AX261" s="57">
        <v>1909</v>
      </c>
      <c r="AY261" s="57">
        <v>0.91428571428571426</v>
      </c>
      <c r="AZ261" s="57">
        <v>0.91428571428571426</v>
      </c>
      <c r="BA261" s="57">
        <v>9</v>
      </c>
      <c r="BB261" s="57">
        <v>8199</v>
      </c>
      <c r="BC261" s="57" t="s">
        <v>552</v>
      </c>
      <c r="BD261" s="57" t="s">
        <v>555</v>
      </c>
      <c r="BE261" s="57">
        <v>183264</v>
      </c>
    </row>
    <row r="262" spans="1:57" x14ac:dyDescent="0.3">
      <c r="A262" s="38" t="s">
        <v>445</v>
      </c>
      <c r="B262" s="39">
        <v>45397</v>
      </c>
      <c r="C262" s="38" t="s">
        <v>37</v>
      </c>
      <c r="D262" s="38" t="s">
        <v>13</v>
      </c>
      <c r="E262" s="38" t="s">
        <v>21</v>
      </c>
      <c r="F262" s="40">
        <v>71</v>
      </c>
      <c r="G262" s="38">
        <v>56</v>
      </c>
      <c r="H262" s="38">
        <f>IFERROR('Automated raw'!$F412+'Automated raw'!$G412,"-")</f>
        <v>231</v>
      </c>
      <c r="I262" s="38">
        <v>199</v>
      </c>
      <c r="J262" s="38">
        <v>62</v>
      </c>
      <c r="K262" s="38">
        <v>14</v>
      </c>
      <c r="L262" s="38">
        <v>1664</v>
      </c>
      <c r="M262" s="38">
        <v>1769</v>
      </c>
      <c r="N262" s="38">
        <f>'Automated raw'!$G412/'Automated raw'!$H412</f>
        <v>0.55868544600938963</v>
      </c>
      <c r="O262" s="41">
        <f>IFERROR('Automated raw'!$G412/'Automated raw'!$H412,"incomplete")</f>
        <v>0.55868544600938963</v>
      </c>
      <c r="P262" s="38">
        <f>'Automated raw'!$F412</f>
        <v>112</v>
      </c>
      <c r="Q262" s="42">
        <f>IFERROR('Automated raw'!$P412*'Automated raw'!$L412,0)</f>
        <v>59430</v>
      </c>
      <c r="R262" s="38" t="str">
        <f>IF('Automated raw'!$O412&gt;=60%,"High",IF('Automated raw'!$O412&gt;=30%,"Avg",IF('Automated raw'!$O412&lt;30%,"Dead Stock","Incomplete")))</f>
        <v>Avg</v>
      </c>
      <c r="S262" s="43" t="str">
        <f>TEXT('Automated raw'!$B412,"mmm")</f>
        <v>Sep</v>
      </c>
      <c r="T262" s="82">
        <f>'Automated raw'!$G412*'Automated raw'!$M412</f>
        <v>149226</v>
      </c>
      <c r="U262" s="6">
        <f>IFERROR((Table7[[#This Row],[Stock In(Total)]]+Table7[[#This Row],[In Stock or Remaining]])/2,"-")</f>
        <v>151</v>
      </c>
      <c r="V262" s="93">
        <f>IFERROR(Table7[[#This Row],[Stock_Out]]/Table7[[#This Row],[Avg Inventory]],"-")</f>
        <v>0.37086092715231789</v>
      </c>
      <c r="W262" s="6"/>
      <c r="X262" s="6"/>
      <c r="Y262" s="6"/>
      <c r="Z262" s="6"/>
      <c r="AA262" s="6"/>
      <c r="AB262" s="6"/>
      <c r="AC262" s="6"/>
      <c r="AD262" s="6"/>
      <c r="AE262" s="6"/>
      <c r="AF262" s="6"/>
      <c r="AG262" s="6"/>
      <c r="AH262" s="6"/>
      <c r="AI262" s="6"/>
      <c r="AJ262" s="6"/>
      <c r="AK262" s="6"/>
      <c r="AL262" s="56" t="s">
        <v>183</v>
      </c>
      <c r="AM262" s="56">
        <v>45352</v>
      </c>
      <c r="AN262" s="56" t="s">
        <v>12</v>
      </c>
      <c r="AO262" s="56" t="s">
        <v>17</v>
      </c>
      <c r="AP262" s="56" t="s">
        <v>14</v>
      </c>
      <c r="AQ262" s="56">
        <v>42</v>
      </c>
      <c r="AR262" s="56">
        <v>78</v>
      </c>
      <c r="AS262" s="56">
        <v>120</v>
      </c>
      <c r="AT262" s="56">
        <v>4</v>
      </c>
      <c r="AU262" s="56">
        <v>33</v>
      </c>
      <c r="AV262" s="56">
        <v>10</v>
      </c>
      <c r="AW262" s="56">
        <v>1901</v>
      </c>
      <c r="AX262" s="56">
        <v>2348</v>
      </c>
      <c r="AY262" s="56">
        <v>0.65</v>
      </c>
      <c r="AZ262" s="56">
        <v>0.65</v>
      </c>
      <c r="BA262" s="56">
        <v>42</v>
      </c>
      <c r="BB262" s="56">
        <v>79842</v>
      </c>
      <c r="BC262" s="56" t="s">
        <v>552</v>
      </c>
      <c r="BD262" s="56" t="s">
        <v>562</v>
      </c>
      <c r="BE262" s="56">
        <v>183144</v>
      </c>
    </row>
    <row r="263" spans="1:57" x14ac:dyDescent="0.3">
      <c r="A263" s="38" t="s">
        <v>178</v>
      </c>
      <c r="B263" s="39">
        <v>45462</v>
      </c>
      <c r="C263" s="38" t="s">
        <v>12</v>
      </c>
      <c r="D263" s="38" t="s">
        <v>17</v>
      </c>
      <c r="E263" s="38" t="s">
        <v>21</v>
      </c>
      <c r="F263" s="40">
        <v>67</v>
      </c>
      <c r="G263" s="38">
        <v>53</v>
      </c>
      <c r="H263" s="38">
        <f>IFERROR('Automated raw'!$F148+'Automated raw'!$G148,"-")</f>
        <v>176</v>
      </c>
      <c r="I263" s="38">
        <v>211</v>
      </c>
      <c r="J263" s="38">
        <v>36</v>
      </c>
      <c r="K263" s="38">
        <v>9</v>
      </c>
      <c r="L263" s="38">
        <v>572</v>
      </c>
      <c r="M263" s="38">
        <v>793</v>
      </c>
      <c r="N263" s="38">
        <f>'Automated raw'!$G148/'Automated raw'!$H148</f>
        <v>0.36871508379888268</v>
      </c>
      <c r="O263" s="41">
        <f>IFERROR('Automated raw'!$G148/'Automated raw'!$H148,"incomplete")</f>
        <v>0.36871508379888268</v>
      </c>
      <c r="P263" s="38">
        <f>'Automated raw'!$F148</f>
        <v>110</v>
      </c>
      <c r="Q263" s="42">
        <f>IFERROR('Automated raw'!$P148*'Automated raw'!$L148,0)</f>
        <v>80878</v>
      </c>
      <c r="R263" s="38" t="str">
        <f>IF('Automated raw'!$O148&gt;=60%,"High",IF('Automated raw'!$O148&gt;=30%,"Avg",IF('Automated raw'!$O148&lt;30%,"Dead Stock","Incomplete")))</f>
        <v>High</v>
      </c>
      <c r="S263" s="43" t="str">
        <f>TEXT('Automated raw'!$B148,"mmm")</f>
        <v>Oct</v>
      </c>
      <c r="T263" s="82">
        <f>'Automated raw'!$G148*'Automated raw'!$M148</f>
        <v>143748</v>
      </c>
      <c r="U263" s="6">
        <f>IFERROR((Table7[[#This Row],[Stock In(Total)]]+Table7[[#This Row],[In Stock or Remaining]])/2,"-")</f>
        <v>121.5</v>
      </c>
      <c r="V263" s="93">
        <f>IFERROR(Table7[[#This Row],[Stock_Out]]/Table7[[#This Row],[Avg Inventory]],"-")</f>
        <v>0.43621399176954734</v>
      </c>
      <c r="W263" s="6"/>
      <c r="X263" s="6"/>
      <c r="Y263" s="6"/>
      <c r="Z263" s="6"/>
      <c r="AA263" s="6"/>
      <c r="AB263" s="6"/>
      <c r="AC263" s="6"/>
      <c r="AD263" s="6"/>
      <c r="AE263" s="6"/>
      <c r="AF263" s="6"/>
      <c r="AG263" s="6"/>
      <c r="AH263" s="6"/>
      <c r="AI263" s="6"/>
      <c r="AJ263" s="6"/>
      <c r="AK263" s="6"/>
      <c r="AL263" s="56" t="s">
        <v>338</v>
      </c>
      <c r="AM263" s="56">
        <v>45417</v>
      </c>
      <c r="AN263" s="56" t="s">
        <v>30</v>
      </c>
      <c r="AO263" s="56" t="s">
        <v>13</v>
      </c>
      <c r="AP263" s="56" t="s">
        <v>38</v>
      </c>
      <c r="AQ263" s="56">
        <v>62</v>
      </c>
      <c r="AR263" s="56">
        <v>114</v>
      </c>
      <c r="AS263" s="56">
        <v>176</v>
      </c>
      <c r="AT263" s="56">
        <v>27</v>
      </c>
      <c r="AU263" s="56">
        <v>79</v>
      </c>
      <c r="AV263" s="56">
        <v>15</v>
      </c>
      <c r="AW263" s="56">
        <v>871</v>
      </c>
      <c r="AX263" s="56">
        <v>1599</v>
      </c>
      <c r="AY263" s="56">
        <v>0.64772727272727271</v>
      </c>
      <c r="AZ263" s="56">
        <v>0.64772727272727271</v>
      </c>
      <c r="BA263" s="56">
        <v>62</v>
      </c>
      <c r="BB263" s="56">
        <v>54002</v>
      </c>
      <c r="BC263" s="56" t="s">
        <v>552</v>
      </c>
      <c r="BD263" s="56" t="s">
        <v>561</v>
      </c>
      <c r="BE263" s="56">
        <v>182286</v>
      </c>
    </row>
    <row r="264" spans="1:57" x14ac:dyDescent="0.3">
      <c r="A264" s="38" t="s">
        <v>295</v>
      </c>
      <c r="B264" s="39">
        <v>45472</v>
      </c>
      <c r="C264" s="38" t="s">
        <v>16</v>
      </c>
      <c r="D264" s="38" t="s">
        <v>17</v>
      </c>
      <c r="E264" s="38" t="s">
        <v>33</v>
      </c>
      <c r="F264" s="40">
        <v>58</v>
      </c>
      <c r="G264" s="38">
        <v>11</v>
      </c>
      <c r="H264" s="38">
        <f>IFERROR('Automated raw'!$F264+'Automated raw'!$G264,"-")</f>
        <v>69</v>
      </c>
      <c r="I264" s="38">
        <v>291</v>
      </c>
      <c r="J264" s="38">
        <v>38</v>
      </c>
      <c r="K264" s="38">
        <v>11</v>
      </c>
      <c r="L264" s="38">
        <v>1597</v>
      </c>
      <c r="M264" s="38">
        <v>2014</v>
      </c>
      <c r="N264" s="38">
        <f>'Automated raw'!$G264/'Automated raw'!$H264</f>
        <v>0.15942028985507245</v>
      </c>
      <c r="O264" s="41">
        <f>IFERROR('Automated raw'!$G264/'Automated raw'!$H264,"incomplete")</f>
        <v>0.15942028985507245</v>
      </c>
      <c r="P264" s="38">
        <f>'Automated raw'!$F264</f>
        <v>58</v>
      </c>
      <c r="Q264" s="42">
        <f>IFERROR('Automated raw'!$P264*'Automated raw'!$L264,0)</f>
        <v>92626</v>
      </c>
      <c r="R264" s="38" t="str">
        <f>IF('Automated raw'!$O264&gt;=60%,"High",IF('Automated raw'!$O264&gt;=30%,"Avg",IF('Automated raw'!$O264&lt;30%,"Dead Stock","Incomplete")))</f>
        <v>Dead Stock</v>
      </c>
      <c r="S264" s="43" t="str">
        <f>TEXT('Automated raw'!$B264,"mmm")</f>
        <v>Jun</v>
      </c>
      <c r="T264" s="82">
        <f>'Automated raw'!$G264*'Automated raw'!$M264</f>
        <v>22154</v>
      </c>
      <c r="U264" s="6">
        <f>IFERROR((Table7[[#This Row],[Stock In(Total)]]+Table7[[#This Row],[In Stock or Remaining]])/2,"-")</f>
        <v>63.5</v>
      </c>
      <c r="V264" s="93">
        <f>IFERROR(Table7[[#This Row],[Stock_Out]]/Table7[[#This Row],[Avg Inventory]],"-")</f>
        <v>0.17322834645669291</v>
      </c>
      <c r="W264" s="6"/>
      <c r="X264" s="6"/>
      <c r="Y264" s="6"/>
      <c r="Z264" s="6"/>
      <c r="AA264" s="6"/>
      <c r="AB264" s="6"/>
      <c r="AC264" s="6"/>
      <c r="AD264" s="6"/>
      <c r="AE264" s="6"/>
      <c r="AF264" s="6"/>
      <c r="AG264" s="6"/>
      <c r="AH264" s="6"/>
      <c r="AI264" s="6"/>
      <c r="AJ264" s="6"/>
      <c r="AK264" s="6"/>
      <c r="AL264" s="56" t="s">
        <v>460</v>
      </c>
      <c r="AM264" s="56">
        <v>45359</v>
      </c>
      <c r="AN264" s="56" t="s">
        <v>16</v>
      </c>
      <c r="AO264" s="56" t="s">
        <v>20</v>
      </c>
      <c r="AP264" s="56" t="s">
        <v>14</v>
      </c>
      <c r="AQ264" s="56">
        <v>27</v>
      </c>
      <c r="AR264" s="56">
        <v>114</v>
      </c>
      <c r="AS264" s="56">
        <v>141</v>
      </c>
      <c r="AT264" s="56">
        <v>231</v>
      </c>
      <c r="AU264" s="56">
        <v>32</v>
      </c>
      <c r="AV264" s="56">
        <v>7</v>
      </c>
      <c r="AW264" s="56">
        <v>1423</v>
      </c>
      <c r="AX264" s="56">
        <v>1595</v>
      </c>
      <c r="AY264" s="56">
        <v>0.80851063829787229</v>
      </c>
      <c r="AZ264" s="56">
        <v>0.80851063829787229</v>
      </c>
      <c r="BA264" s="56">
        <v>27</v>
      </c>
      <c r="BB264" s="56">
        <v>38421</v>
      </c>
      <c r="BC264" s="56" t="s">
        <v>552</v>
      </c>
      <c r="BD264" s="56" t="s">
        <v>562</v>
      </c>
      <c r="BE264" s="56">
        <v>181830</v>
      </c>
    </row>
    <row r="265" spans="1:57" x14ac:dyDescent="0.3">
      <c r="A265" s="44" t="s">
        <v>296</v>
      </c>
      <c r="B265" s="45">
        <v>45502</v>
      </c>
      <c r="C265" s="44" t="s">
        <v>37</v>
      </c>
      <c r="D265" s="44" t="s">
        <v>13</v>
      </c>
      <c r="E265" s="44" t="s">
        <v>14</v>
      </c>
      <c r="F265" s="40">
        <v>56</v>
      </c>
      <c r="G265" s="44">
        <v>107</v>
      </c>
      <c r="H265" s="44">
        <f>IFERROR('Automated raw'!$F265+'Automated raw'!$G265,"-")</f>
        <v>163</v>
      </c>
      <c r="I265" s="44">
        <v>58</v>
      </c>
      <c r="J265" s="44">
        <v>36</v>
      </c>
      <c r="K265" s="44">
        <v>13</v>
      </c>
      <c r="L265" s="44">
        <v>1233</v>
      </c>
      <c r="M265" s="44">
        <v>2679</v>
      </c>
      <c r="N265" s="44">
        <f>'Automated raw'!$G265/'Automated raw'!$H265</f>
        <v>0.65644171779141103</v>
      </c>
      <c r="O265" s="46">
        <f>IFERROR('Automated raw'!$G265/'Automated raw'!$H265,"incomplete")</f>
        <v>0.65644171779141103</v>
      </c>
      <c r="P265" s="44">
        <f>'Automated raw'!$F265</f>
        <v>56</v>
      </c>
      <c r="Q265" s="47">
        <f>IFERROR('Automated raw'!$P265*'Automated raw'!$L265,0)</f>
        <v>69048</v>
      </c>
      <c r="R265" s="44" t="str">
        <f>IF('Automated raw'!$O265&gt;=60%,"High",IF('Automated raw'!$O265&gt;=30%,"Avg",IF('Automated raw'!$O265&lt;30%,"Dead Stock","Incomplete")))</f>
        <v>High</v>
      </c>
      <c r="S265" s="48" t="str">
        <f>TEXT('Automated raw'!$B265,"mmm")</f>
        <v>Jul</v>
      </c>
      <c r="T265" s="83">
        <f>'Automated raw'!$G265*'Automated raw'!$M265</f>
        <v>286653</v>
      </c>
      <c r="U265" s="6">
        <f>IFERROR((Table7[[#This Row],[Stock In(Total)]]+Table7[[#This Row],[In Stock or Remaining]])/2,"-")</f>
        <v>109.5</v>
      </c>
      <c r="V265" s="93">
        <f>IFERROR(Table7[[#This Row],[Stock_Out]]/Table7[[#This Row],[Avg Inventory]],"-")</f>
        <v>0.97716894977168944</v>
      </c>
      <c r="W265" s="6"/>
      <c r="X265" s="6"/>
      <c r="Y265" s="6"/>
      <c r="Z265" s="6"/>
      <c r="AA265" s="6"/>
      <c r="AB265" s="6"/>
      <c r="AC265" s="6"/>
      <c r="AD265" s="6"/>
      <c r="AE265" s="6"/>
      <c r="AF265" s="6"/>
      <c r="AG265" s="6"/>
      <c r="AH265" s="6"/>
      <c r="AI265" s="6"/>
      <c r="AJ265" s="6"/>
      <c r="AK265" s="6"/>
      <c r="AL265" s="57" t="s">
        <v>62</v>
      </c>
      <c r="AM265" s="57">
        <v>45313</v>
      </c>
      <c r="AN265" s="57" t="s">
        <v>37</v>
      </c>
      <c r="AO265" s="57" t="s">
        <v>17</v>
      </c>
      <c r="AP265" s="57" t="s">
        <v>21</v>
      </c>
      <c r="AQ265" s="57">
        <v>45</v>
      </c>
      <c r="AR265" s="57">
        <v>80</v>
      </c>
      <c r="AS265" s="57">
        <v>125</v>
      </c>
      <c r="AT265" s="57">
        <v>5</v>
      </c>
      <c r="AU265" s="57">
        <v>36</v>
      </c>
      <c r="AV265" s="57">
        <v>9</v>
      </c>
      <c r="AW265" s="57">
        <v>1116</v>
      </c>
      <c r="AX265" s="57">
        <v>2247</v>
      </c>
      <c r="AY265" s="57">
        <v>0.64</v>
      </c>
      <c r="AZ265" s="57">
        <v>0.64</v>
      </c>
      <c r="BA265" s="57">
        <v>45</v>
      </c>
      <c r="BB265" s="57">
        <v>50220</v>
      </c>
      <c r="BC265" s="57" t="s">
        <v>552</v>
      </c>
      <c r="BD265" s="57" t="s">
        <v>557</v>
      </c>
      <c r="BE265" s="57">
        <v>179760</v>
      </c>
    </row>
    <row r="266" spans="1:57" x14ac:dyDescent="0.3">
      <c r="A266" s="44" t="s">
        <v>169</v>
      </c>
      <c r="B266" s="45">
        <v>45454</v>
      </c>
      <c r="C266" s="44" t="s">
        <v>53</v>
      </c>
      <c r="D266" s="44" t="s">
        <v>20</v>
      </c>
      <c r="E266" s="44" t="s">
        <v>33</v>
      </c>
      <c r="F266" s="40">
        <v>48</v>
      </c>
      <c r="G266" s="44">
        <v>38</v>
      </c>
      <c r="H266" s="44">
        <f>IFERROR('Automated raw'!$F139+'Automated raw'!$G139,"-")</f>
        <v>181</v>
      </c>
      <c r="I266" s="44">
        <v>160</v>
      </c>
      <c r="J266" s="44">
        <v>34</v>
      </c>
      <c r="K266" s="44">
        <v>14</v>
      </c>
      <c r="L266" s="44">
        <v>676</v>
      </c>
      <c r="M266" s="44">
        <v>2023</v>
      </c>
      <c r="N266" s="44">
        <f>'Automated raw'!$G139/'Automated raw'!$H139</f>
        <v>0.68367346938775508</v>
      </c>
      <c r="O266" s="46">
        <f>IFERROR('Automated raw'!$G139/'Automated raw'!$H139,"incomplete")</f>
        <v>0.68367346938775508</v>
      </c>
      <c r="P266" s="44">
        <f>'Automated raw'!$F139</f>
        <v>114</v>
      </c>
      <c r="Q266" s="47">
        <f>IFERROR('Automated raw'!$P139*'Automated raw'!$L139,0)</f>
        <v>52266</v>
      </c>
      <c r="R266" s="44" t="str">
        <f>IF('Automated raw'!$O139&gt;=60%,"High",IF('Automated raw'!$O139&gt;=30%,"Avg",IF('Automated raw'!$O139&lt;30%,"Dead Stock","Incomplete")))</f>
        <v>Dead Stock</v>
      </c>
      <c r="S266" s="48" t="str">
        <f>TEXT('Automated raw'!$B139,"mmm")</f>
        <v>Jan</v>
      </c>
      <c r="T266" s="83">
        <f>'Automated raw'!$G139*'Automated raw'!$M139</f>
        <v>97820</v>
      </c>
      <c r="U266" s="6">
        <f>IFERROR((Table7[[#This Row],[Stock In(Total)]]+Table7[[#This Row],[In Stock or Remaining]])/2,"-")</f>
        <v>114.5</v>
      </c>
      <c r="V266" s="93">
        <f>IFERROR(Table7[[#This Row],[Stock_Out]]/Table7[[#This Row],[Avg Inventory]],"-")</f>
        <v>0.33187772925764192</v>
      </c>
      <c r="W266" s="6"/>
      <c r="X266" s="6"/>
      <c r="Y266" s="6"/>
      <c r="Z266" s="6"/>
      <c r="AA266" s="6"/>
      <c r="AB266" s="6"/>
      <c r="AC266" s="6"/>
      <c r="AD266" s="6"/>
      <c r="AE266" s="6"/>
      <c r="AF266" s="6"/>
      <c r="AG266" s="6"/>
      <c r="AH266" s="6"/>
      <c r="AI266" s="6"/>
      <c r="AJ266" s="6"/>
      <c r="AK266" s="6"/>
      <c r="AL266" s="56" t="s">
        <v>303</v>
      </c>
      <c r="AM266" s="56">
        <v>45382</v>
      </c>
      <c r="AN266" s="56" t="s">
        <v>12</v>
      </c>
      <c r="AO266" s="56" t="s">
        <v>13</v>
      </c>
      <c r="AP266" s="56" t="s">
        <v>33</v>
      </c>
      <c r="AQ266" s="56">
        <v>44</v>
      </c>
      <c r="AR266" s="56">
        <v>76</v>
      </c>
      <c r="AS266" s="56">
        <v>120</v>
      </c>
      <c r="AT266" s="56">
        <v>271</v>
      </c>
      <c r="AU266" s="56">
        <v>61</v>
      </c>
      <c r="AV266" s="56">
        <v>13</v>
      </c>
      <c r="AW266" s="56">
        <v>1569</v>
      </c>
      <c r="AX266" s="56">
        <v>2347</v>
      </c>
      <c r="AY266" s="56">
        <v>0.6333333333333333</v>
      </c>
      <c r="AZ266" s="56">
        <v>0.6333333333333333</v>
      </c>
      <c r="BA266" s="56">
        <v>44</v>
      </c>
      <c r="BB266" s="56">
        <v>69036</v>
      </c>
      <c r="BC266" s="56" t="s">
        <v>552</v>
      </c>
      <c r="BD266" s="56" t="s">
        <v>562</v>
      </c>
      <c r="BE266" s="56">
        <v>178372</v>
      </c>
    </row>
    <row r="267" spans="1:57" x14ac:dyDescent="0.3">
      <c r="A267" s="44" t="s">
        <v>298</v>
      </c>
      <c r="B267" s="45">
        <v>45389</v>
      </c>
      <c r="C267" s="44" t="s">
        <v>53</v>
      </c>
      <c r="D267" s="44" t="s">
        <v>17</v>
      </c>
      <c r="E267" s="44" t="s">
        <v>14</v>
      </c>
      <c r="F267" s="40" t="s">
        <v>23</v>
      </c>
      <c r="G267" s="44">
        <v>30</v>
      </c>
      <c r="H267" s="44" t="str">
        <f>IFERROR('Automated raw'!$F267+'Automated raw'!$G267,"-")</f>
        <v>-</v>
      </c>
      <c r="I267" s="44">
        <v>15</v>
      </c>
      <c r="J267" s="44">
        <v>38</v>
      </c>
      <c r="K267" s="44">
        <v>14</v>
      </c>
      <c r="L267" s="44">
        <v>753</v>
      </c>
      <c r="M267" s="44">
        <v>969</v>
      </c>
      <c r="N267" s="44" t="e">
        <f>'Automated raw'!$G267/'Automated raw'!$H267</f>
        <v>#VALUE!</v>
      </c>
      <c r="O267" s="51" t="str">
        <f>IFERROR('Automated raw'!$G267/'Automated raw'!$H267,"incomplete")</f>
        <v>incomplete</v>
      </c>
      <c r="P267" s="44" t="str">
        <f>'Automated raw'!$F267</f>
        <v>Not Available</v>
      </c>
      <c r="Q267" s="47">
        <f>IFERROR('Automated raw'!$P267*'Automated raw'!$L267,0)</f>
        <v>0</v>
      </c>
      <c r="R267" s="44" t="str">
        <f>IF('Automated raw'!$O267&gt;=60%,"High",IF('Automated raw'!$O267&gt;=30%,"Avg",IF('Automated raw'!$O267&lt;30%,"Dead Stock","Incomplete")))</f>
        <v>High</v>
      </c>
      <c r="S267" s="48" t="str">
        <f>TEXT('Automated raw'!$B267,"mmm")</f>
        <v>Apr</v>
      </c>
      <c r="T267" s="83">
        <f>'Automated raw'!$G267*'Automated raw'!$M267</f>
        <v>29070</v>
      </c>
      <c r="U267" s="6" t="str">
        <f>IFERROR((Table7[[#This Row],[Stock In(Total)]]+Table7[[#This Row],[In Stock or Remaining]])/2,"-")</f>
        <v>-</v>
      </c>
      <c r="V267" s="93" t="str">
        <f>IFERROR(Table7[[#This Row],[Stock_Out]]/Table7[[#This Row],[Avg Inventory]],"-")</f>
        <v>-</v>
      </c>
      <c r="W267" s="6"/>
      <c r="X267" s="6"/>
      <c r="Y267" s="6"/>
      <c r="Z267" s="6"/>
      <c r="AA267" s="6"/>
      <c r="AB267" s="6"/>
      <c r="AC267" s="6"/>
      <c r="AD267" s="6"/>
      <c r="AE267" s="6"/>
      <c r="AF267" s="6"/>
      <c r="AG267" s="6"/>
      <c r="AH267" s="6"/>
      <c r="AI267" s="6"/>
      <c r="AJ267" s="6"/>
      <c r="AK267" s="6"/>
      <c r="AL267" s="56" t="s">
        <v>127</v>
      </c>
      <c r="AM267" s="56">
        <v>45374</v>
      </c>
      <c r="AN267" s="56" t="s">
        <v>53</v>
      </c>
      <c r="AO267" s="56" t="s">
        <v>13</v>
      </c>
      <c r="AP267" s="56" t="s">
        <v>38</v>
      </c>
      <c r="AQ267" s="56">
        <v>48</v>
      </c>
      <c r="AR267" s="56">
        <v>74</v>
      </c>
      <c r="AS267" s="56">
        <v>122</v>
      </c>
      <c r="AT267" s="56">
        <v>155</v>
      </c>
      <c r="AU267" s="56">
        <v>37</v>
      </c>
      <c r="AV267" s="56">
        <v>10</v>
      </c>
      <c r="AW267" s="56">
        <v>908</v>
      </c>
      <c r="AX267" s="56">
        <v>2375</v>
      </c>
      <c r="AY267" s="56">
        <v>0.60655737704918034</v>
      </c>
      <c r="AZ267" s="56">
        <v>0.60655737704918034</v>
      </c>
      <c r="BA267" s="56">
        <v>48</v>
      </c>
      <c r="BB267" s="56">
        <v>43584</v>
      </c>
      <c r="BC267" s="56" t="s">
        <v>552</v>
      </c>
      <c r="BD267" s="56" t="s">
        <v>562</v>
      </c>
      <c r="BE267" s="56">
        <v>175750</v>
      </c>
    </row>
    <row r="268" spans="1:57" x14ac:dyDescent="0.3">
      <c r="A268" s="44" t="s">
        <v>362</v>
      </c>
      <c r="B268" s="45">
        <v>45494</v>
      </c>
      <c r="C268" s="44" t="s">
        <v>45</v>
      </c>
      <c r="D268" s="44" t="s">
        <v>20</v>
      </c>
      <c r="E268" s="44" t="s">
        <v>21</v>
      </c>
      <c r="F268" s="40">
        <v>53</v>
      </c>
      <c r="G268" s="44">
        <v>42</v>
      </c>
      <c r="H268" s="44">
        <f>IFERROR('Automated raw'!$F329+'Automated raw'!$G329,"-")</f>
        <v>49</v>
      </c>
      <c r="I268" s="44">
        <v>275</v>
      </c>
      <c r="J268" s="44">
        <v>40</v>
      </c>
      <c r="K268" s="44">
        <v>2</v>
      </c>
      <c r="L268" s="44">
        <v>471</v>
      </c>
      <c r="M268" s="44">
        <v>1551</v>
      </c>
      <c r="N268" s="44">
        <f>'Automated raw'!$G329/'Automated raw'!$H329</f>
        <v>0.1270718232044199</v>
      </c>
      <c r="O268" s="46">
        <f>IFERROR('Automated raw'!$G329/'Automated raw'!$H329,"incomplete")</f>
        <v>0.1270718232044199</v>
      </c>
      <c r="P268" s="44">
        <f>'Automated raw'!$F329</f>
        <v>26</v>
      </c>
      <c r="Q268" s="47">
        <f>IFERROR('Automated raw'!$P329*'Automated raw'!$L329,0)</f>
        <v>129272</v>
      </c>
      <c r="R268" s="44" t="str">
        <f>IF('Automated raw'!$O329&gt;=60%,"High",IF('Automated raw'!$O329&gt;=30%,"Avg",IF('Automated raw'!$O329&lt;30%,"Dead Stock","Incomplete")))</f>
        <v>High</v>
      </c>
      <c r="S268" s="48" t="str">
        <f>TEXT('Automated raw'!$B329,"mmm")</f>
        <v>Sep</v>
      </c>
      <c r="T268" s="83">
        <f>'Automated raw'!$G329*'Automated raw'!$M329</f>
        <v>49427</v>
      </c>
      <c r="U268" s="6">
        <f>IFERROR((Table7[[#This Row],[Stock In(Total)]]+Table7[[#This Row],[In Stock or Remaining]])/2,"-")</f>
        <v>51</v>
      </c>
      <c r="V268" s="93">
        <f>IFERROR(Table7[[#This Row],[Stock_Out]]/Table7[[#This Row],[Avg Inventory]],"-")</f>
        <v>0.82352941176470584</v>
      </c>
      <c r="W268" s="6"/>
      <c r="X268" s="6"/>
      <c r="Y268" s="6"/>
      <c r="Z268" s="6"/>
      <c r="AA268" s="6"/>
      <c r="AB268" s="6"/>
      <c r="AC268" s="6"/>
      <c r="AD268" s="6"/>
      <c r="AE268" s="6"/>
      <c r="AF268" s="6"/>
      <c r="AG268" s="6"/>
      <c r="AH268" s="6"/>
      <c r="AI268" s="6"/>
      <c r="AJ268" s="6"/>
      <c r="AK268" s="6"/>
      <c r="AL268" s="56" t="s">
        <v>75</v>
      </c>
      <c r="AM268" s="56">
        <v>45642</v>
      </c>
      <c r="AN268" s="56" t="s">
        <v>12</v>
      </c>
      <c r="AO268" s="56" t="s">
        <v>20</v>
      </c>
      <c r="AP268" s="56" t="s">
        <v>23</v>
      </c>
      <c r="AQ268" s="56">
        <v>10</v>
      </c>
      <c r="AR268" s="56">
        <v>94</v>
      </c>
      <c r="AS268" s="56">
        <v>104</v>
      </c>
      <c r="AT268" s="56">
        <v>204</v>
      </c>
      <c r="AU268" s="56">
        <v>32</v>
      </c>
      <c r="AV268" s="56">
        <v>4</v>
      </c>
      <c r="AW268" s="56">
        <v>1556</v>
      </c>
      <c r="AX268" s="56">
        <v>1856</v>
      </c>
      <c r="AY268" s="56">
        <v>0.90384615384615385</v>
      </c>
      <c r="AZ268" s="56">
        <v>0.90384615384615385</v>
      </c>
      <c r="BA268" s="56">
        <v>10</v>
      </c>
      <c r="BB268" s="56">
        <v>15560</v>
      </c>
      <c r="BC268" s="56" t="s">
        <v>552</v>
      </c>
      <c r="BD268" s="56" t="s">
        <v>563</v>
      </c>
      <c r="BE268" s="56">
        <v>174464</v>
      </c>
    </row>
    <row r="269" spans="1:57" x14ac:dyDescent="0.3">
      <c r="A269" s="44" t="s">
        <v>290</v>
      </c>
      <c r="B269" s="45">
        <v>45296</v>
      </c>
      <c r="C269" s="44" t="s">
        <v>26</v>
      </c>
      <c r="D269" s="44" t="s">
        <v>20</v>
      </c>
      <c r="E269" s="44" t="s">
        <v>38</v>
      </c>
      <c r="F269" s="40">
        <v>58</v>
      </c>
      <c r="G269" s="44">
        <v>46</v>
      </c>
      <c r="H269" s="44">
        <f>IFERROR('Automated raw'!$F259+'Automated raw'!$G259,"-")</f>
        <v>176</v>
      </c>
      <c r="I269" s="44">
        <v>142</v>
      </c>
      <c r="J269" s="44">
        <v>62</v>
      </c>
      <c r="K269" s="44">
        <v>5</v>
      </c>
      <c r="L269" s="44">
        <v>1673</v>
      </c>
      <c r="M269" s="44">
        <v>2127</v>
      </c>
      <c r="N269" s="44">
        <f>'Automated raw'!$G259/'Automated raw'!$H259</f>
        <v>0.41847826086956524</v>
      </c>
      <c r="O269" s="46">
        <f>IFERROR('Automated raw'!$G259/'Automated raw'!$H259,"incomplete")</f>
        <v>0.41847826086956524</v>
      </c>
      <c r="P269" s="44">
        <f>'Automated raw'!$F259</f>
        <v>99</v>
      </c>
      <c r="Q269" s="47">
        <f>IFERROR('Automated raw'!$P259*'Automated raw'!$L259,0)</f>
        <v>28712</v>
      </c>
      <c r="R269" s="44" t="str">
        <f>IF('Automated raw'!$O259&gt;=60%,"High",IF('Automated raw'!$O259&gt;=30%,"Avg",IF('Automated raw'!$O259&lt;30%,"Dead Stock","Incomplete")))</f>
        <v>High</v>
      </c>
      <c r="S269" s="48" t="str">
        <f>TEXT('Automated raw'!$B259,"mmm")</f>
        <v>Aug</v>
      </c>
      <c r="T269" s="83">
        <f>'Automated raw'!$G259*'Automated raw'!$M259</f>
        <v>62370</v>
      </c>
      <c r="U269" s="6">
        <f>IFERROR((Table7[[#This Row],[Stock In(Total)]]+Table7[[#This Row],[In Stock or Remaining]])/2,"-")</f>
        <v>117</v>
      </c>
      <c r="V269" s="93">
        <f>IFERROR(Table7[[#This Row],[Stock_Out]]/Table7[[#This Row],[Avg Inventory]],"-")</f>
        <v>0.39316239316239315</v>
      </c>
      <c r="W269" s="6"/>
      <c r="X269" s="6"/>
      <c r="Y269" s="6"/>
      <c r="Z269" s="6"/>
      <c r="AA269" s="6"/>
      <c r="AB269" s="6"/>
      <c r="AC269" s="6"/>
      <c r="AD269" s="6"/>
      <c r="AE269" s="6"/>
      <c r="AF269" s="6"/>
      <c r="AG269" s="6"/>
      <c r="AH269" s="6"/>
      <c r="AI269" s="6"/>
      <c r="AJ269" s="6"/>
      <c r="AK269" s="6"/>
      <c r="AL269" s="56" t="s">
        <v>176</v>
      </c>
      <c r="AM269" s="56">
        <v>45485</v>
      </c>
      <c r="AN269" s="56" t="s">
        <v>26</v>
      </c>
      <c r="AO269" s="56" t="s">
        <v>17</v>
      </c>
      <c r="AP269" s="56" t="s">
        <v>33</v>
      </c>
      <c r="AQ269" s="56">
        <v>30</v>
      </c>
      <c r="AR269" s="56">
        <v>108</v>
      </c>
      <c r="AS269" s="56">
        <v>138</v>
      </c>
      <c r="AT269" s="56">
        <v>199</v>
      </c>
      <c r="AU269" s="56">
        <v>52</v>
      </c>
      <c r="AV269" s="56">
        <v>7</v>
      </c>
      <c r="AW269" s="56">
        <v>908</v>
      </c>
      <c r="AX269" s="56">
        <v>1596</v>
      </c>
      <c r="AY269" s="56">
        <v>0.78260869565217395</v>
      </c>
      <c r="AZ269" s="56">
        <v>0.78260869565217395</v>
      </c>
      <c r="BA269" s="56">
        <v>30</v>
      </c>
      <c r="BB269" s="56">
        <v>27240</v>
      </c>
      <c r="BC269" s="56" t="s">
        <v>552</v>
      </c>
      <c r="BD269" s="56" t="s">
        <v>556</v>
      </c>
      <c r="BE269" s="56">
        <v>172368</v>
      </c>
    </row>
    <row r="270" spans="1:57" x14ac:dyDescent="0.3">
      <c r="A270" s="44" t="s">
        <v>466</v>
      </c>
      <c r="B270" s="45">
        <v>45432</v>
      </c>
      <c r="C270" s="44" t="s">
        <v>45</v>
      </c>
      <c r="D270" s="44" t="s">
        <v>17</v>
      </c>
      <c r="E270" s="44" t="s">
        <v>38</v>
      </c>
      <c r="F270" s="40">
        <v>58</v>
      </c>
      <c r="G270" s="44">
        <v>46</v>
      </c>
      <c r="H270" s="44">
        <f>IFERROR('Automated raw'!$F433+'Automated raw'!$G433,"-")</f>
        <v>162</v>
      </c>
      <c r="I270" s="44">
        <v>137</v>
      </c>
      <c r="J270" s="44">
        <v>42</v>
      </c>
      <c r="K270" s="44">
        <v>13</v>
      </c>
      <c r="L270" s="44">
        <v>721</v>
      </c>
      <c r="M270" s="44">
        <v>1536</v>
      </c>
      <c r="N270" s="44">
        <f>'Automated raw'!$G433/'Automated raw'!$H433</f>
        <v>0.44</v>
      </c>
      <c r="O270" s="46">
        <f>IFERROR('Automated raw'!$G433/'Automated raw'!$H433,"incomplete")</f>
        <v>0.44</v>
      </c>
      <c r="P270" s="44">
        <f>'Automated raw'!$F433</f>
        <v>74</v>
      </c>
      <c r="Q270" s="47">
        <f>IFERROR('Automated raw'!$P433*'Automated raw'!$L433,0)</f>
        <v>83220</v>
      </c>
      <c r="R270" s="44" t="str">
        <f>IF('Automated raw'!$O433&gt;=60%,"High",IF('Automated raw'!$O433&gt;=30%,"Avg",IF('Automated raw'!$O433&lt;30%,"Dead Stock","Incomplete")))</f>
        <v>Avg</v>
      </c>
      <c r="S270" s="48" t="str">
        <f>TEXT('Automated raw'!$B433,"mmm")</f>
        <v>Aug</v>
      </c>
      <c r="T270" s="83">
        <f>'Automated raw'!$G433*'Automated raw'!$M433</f>
        <v>89144</v>
      </c>
      <c r="U270" s="6">
        <f>IFERROR((Table7[[#This Row],[Stock In(Total)]]+Table7[[#This Row],[In Stock or Remaining]])/2,"-")</f>
        <v>110</v>
      </c>
      <c r="V270" s="93">
        <f>IFERROR(Table7[[#This Row],[Stock_Out]]/Table7[[#This Row],[Avg Inventory]],"-")</f>
        <v>0.41818181818181815</v>
      </c>
      <c r="W270" s="6"/>
      <c r="X270" s="6"/>
      <c r="Y270" s="6"/>
      <c r="Z270" s="6"/>
      <c r="AA270" s="6"/>
      <c r="AB270" s="6"/>
      <c r="AC270" s="6"/>
      <c r="AD270" s="6"/>
      <c r="AE270" s="6"/>
      <c r="AF270" s="6"/>
      <c r="AG270" s="6"/>
      <c r="AH270" s="6"/>
      <c r="AI270" s="6"/>
      <c r="AJ270" s="6"/>
      <c r="AK270" s="6"/>
      <c r="AL270" s="57" t="s">
        <v>82</v>
      </c>
      <c r="AM270" s="57">
        <v>45352</v>
      </c>
      <c r="AN270" s="57" t="s">
        <v>19</v>
      </c>
      <c r="AO270" s="57" t="s">
        <v>20</v>
      </c>
      <c r="AP270" s="57" t="s">
        <v>33</v>
      </c>
      <c r="AQ270" s="57">
        <v>10</v>
      </c>
      <c r="AR270" s="57">
        <v>97</v>
      </c>
      <c r="AS270" s="57">
        <v>107</v>
      </c>
      <c r="AT270" s="57">
        <v>291</v>
      </c>
      <c r="AU270" s="57">
        <v>35</v>
      </c>
      <c r="AV270" s="57">
        <v>13</v>
      </c>
      <c r="AW270" s="57">
        <v>1396</v>
      </c>
      <c r="AX270" s="57">
        <v>1756</v>
      </c>
      <c r="AY270" s="57">
        <v>0.90654205607476634</v>
      </c>
      <c r="AZ270" s="57">
        <v>0.90654205607476634</v>
      </c>
      <c r="BA270" s="57">
        <v>10</v>
      </c>
      <c r="BB270" s="57">
        <v>13960</v>
      </c>
      <c r="BC270" s="57" t="s">
        <v>552</v>
      </c>
      <c r="BD270" s="57" t="s">
        <v>562</v>
      </c>
      <c r="BE270" s="57">
        <v>170332</v>
      </c>
    </row>
    <row r="271" spans="1:57" x14ac:dyDescent="0.3">
      <c r="A271" s="44" t="s">
        <v>302</v>
      </c>
      <c r="B271" s="45">
        <v>45305</v>
      </c>
      <c r="C271" s="44" t="s">
        <v>45</v>
      </c>
      <c r="D271" s="44" t="s">
        <v>17</v>
      </c>
      <c r="E271" s="44" t="s">
        <v>38</v>
      </c>
      <c r="F271" s="40">
        <v>39</v>
      </c>
      <c r="G271" s="44">
        <v>11</v>
      </c>
      <c r="H271" s="44">
        <f>IFERROR('Automated raw'!$F271+'Automated raw'!$G271,"-")</f>
        <v>50</v>
      </c>
      <c r="I271" s="44">
        <v>187</v>
      </c>
      <c r="J271" s="44">
        <v>39</v>
      </c>
      <c r="K271" s="44">
        <v>10</v>
      </c>
      <c r="L271" s="44">
        <v>1961</v>
      </c>
      <c r="M271" s="44">
        <v>3381</v>
      </c>
      <c r="N271" s="44">
        <f>'Automated raw'!$G271/'Automated raw'!$H271</f>
        <v>0.22</v>
      </c>
      <c r="O271" s="46">
        <f>IFERROR('Automated raw'!$G271/'Automated raw'!$H271,"incomplete")</f>
        <v>0.22</v>
      </c>
      <c r="P271" s="44">
        <f>'Automated raw'!$F271</f>
        <v>39</v>
      </c>
      <c r="Q271" s="47">
        <f>IFERROR('Automated raw'!$P271*'Automated raw'!$L271,0)</f>
        <v>76479</v>
      </c>
      <c r="R271" s="44" t="str">
        <f>IF('Automated raw'!$O271&gt;=60%,"High",IF('Automated raw'!$O271&gt;=30%,"Avg",IF('Automated raw'!$O271&lt;30%,"Dead Stock","Incomplete")))</f>
        <v>Dead Stock</v>
      </c>
      <c r="S271" s="48" t="str">
        <f>TEXT('Automated raw'!$B271,"mmm")</f>
        <v>Jan</v>
      </c>
      <c r="T271" s="83">
        <f>'Automated raw'!$G271*'Automated raw'!$M271</f>
        <v>37191</v>
      </c>
      <c r="U271" s="6">
        <f>IFERROR((Table7[[#This Row],[Stock In(Total)]]+Table7[[#This Row],[In Stock or Remaining]])/2,"-")</f>
        <v>44.5</v>
      </c>
      <c r="V271" s="93">
        <f>IFERROR(Table7[[#This Row],[Stock_Out]]/Table7[[#This Row],[Avg Inventory]],"-")</f>
        <v>0.24719101123595505</v>
      </c>
      <c r="W271" s="6"/>
      <c r="X271" s="6"/>
      <c r="Y271" s="6"/>
      <c r="Z271" s="6"/>
      <c r="AA271" s="6"/>
      <c r="AB271" s="6"/>
      <c r="AC271" s="6"/>
      <c r="AD271" s="6"/>
      <c r="AE271" s="6"/>
      <c r="AF271" s="6"/>
      <c r="AG271" s="6"/>
      <c r="AH271" s="6"/>
      <c r="AI271" s="6"/>
      <c r="AJ271" s="6"/>
      <c r="AK271" s="6"/>
      <c r="AL271" s="56" t="s">
        <v>328</v>
      </c>
      <c r="AM271" s="56">
        <v>45451</v>
      </c>
      <c r="AN271" s="56" t="s">
        <v>329</v>
      </c>
      <c r="AO271" s="56" t="s">
        <v>20</v>
      </c>
      <c r="AP271" s="56" t="s">
        <v>14</v>
      </c>
      <c r="AQ271" s="56">
        <v>33</v>
      </c>
      <c r="AR271" s="56">
        <v>77</v>
      </c>
      <c r="AS271" s="56">
        <v>110</v>
      </c>
      <c r="AT271" s="56">
        <v>264</v>
      </c>
      <c r="AU271" s="56">
        <v>72</v>
      </c>
      <c r="AV271" s="56">
        <v>15</v>
      </c>
      <c r="AW271" s="56">
        <v>1954</v>
      </c>
      <c r="AX271" s="56">
        <v>2210</v>
      </c>
      <c r="AY271" s="56">
        <v>0.7</v>
      </c>
      <c r="AZ271" s="56">
        <v>0.7</v>
      </c>
      <c r="BA271" s="56">
        <v>33</v>
      </c>
      <c r="BB271" s="56">
        <v>64482</v>
      </c>
      <c r="BC271" s="56" t="s">
        <v>552</v>
      </c>
      <c r="BD271" s="56" t="s">
        <v>559</v>
      </c>
      <c r="BE271" s="56">
        <v>170170</v>
      </c>
    </row>
    <row r="272" spans="1:57" x14ac:dyDescent="0.3">
      <c r="A272" s="38" t="s">
        <v>303</v>
      </c>
      <c r="B272" s="39">
        <v>45382</v>
      </c>
      <c r="C272" s="38" t="s">
        <v>12</v>
      </c>
      <c r="D272" s="38" t="s">
        <v>13</v>
      </c>
      <c r="E272" s="38" t="s">
        <v>33</v>
      </c>
      <c r="F272" s="40">
        <v>44</v>
      </c>
      <c r="G272" s="38">
        <v>76</v>
      </c>
      <c r="H272" s="38">
        <f>IFERROR('Automated raw'!$F272+'Automated raw'!$G272,"-")</f>
        <v>120</v>
      </c>
      <c r="I272" s="38">
        <v>271</v>
      </c>
      <c r="J272" s="38">
        <v>61</v>
      </c>
      <c r="K272" s="38">
        <v>13</v>
      </c>
      <c r="L272" s="38">
        <v>1569</v>
      </c>
      <c r="M272" s="38">
        <v>2347</v>
      </c>
      <c r="N272" s="38">
        <f>'Automated raw'!$G272/'Automated raw'!$H272</f>
        <v>0.6333333333333333</v>
      </c>
      <c r="O272" s="41">
        <f>IFERROR('Automated raw'!$G272/'Automated raw'!$H272,"incomplete")</f>
        <v>0.6333333333333333</v>
      </c>
      <c r="P272" s="38">
        <f>'Automated raw'!$F272</f>
        <v>44</v>
      </c>
      <c r="Q272" s="42">
        <f>IFERROR('Automated raw'!$P272*'Automated raw'!$L272,0)</f>
        <v>69036</v>
      </c>
      <c r="R272" s="38" t="str">
        <f>IF('Automated raw'!$O272&gt;=60%,"High",IF('Automated raw'!$O272&gt;=30%,"Avg",IF('Automated raw'!$O272&lt;30%,"Dead Stock","Incomplete")))</f>
        <v>High</v>
      </c>
      <c r="S272" s="43" t="str">
        <f>TEXT('Automated raw'!$B272,"mmm")</f>
        <v>Mar</v>
      </c>
      <c r="T272" s="82">
        <f>'Automated raw'!$G272*'Automated raw'!$M272</f>
        <v>178372</v>
      </c>
      <c r="U272" s="6">
        <f>IFERROR((Table7[[#This Row],[Stock In(Total)]]+Table7[[#This Row],[In Stock or Remaining]])/2,"-")</f>
        <v>82</v>
      </c>
      <c r="V272" s="93">
        <f>IFERROR(Table7[[#This Row],[Stock_Out]]/Table7[[#This Row],[Avg Inventory]],"-")</f>
        <v>0.92682926829268297</v>
      </c>
      <c r="W272" s="6"/>
      <c r="X272" s="6"/>
      <c r="Y272" s="6"/>
      <c r="Z272" s="6"/>
      <c r="AA272" s="6"/>
      <c r="AB272" s="6"/>
      <c r="AC272" s="6"/>
      <c r="AD272" s="6"/>
      <c r="AE272" s="6"/>
      <c r="AF272" s="6"/>
      <c r="AG272" s="6"/>
      <c r="AH272" s="6"/>
      <c r="AI272" s="6"/>
      <c r="AJ272" s="6"/>
      <c r="AK272" s="6"/>
      <c r="AL272" s="56" t="s">
        <v>241</v>
      </c>
      <c r="AM272" s="56">
        <v>45421</v>
      </c>
      <c r="AN272" s="56" t="s">
        <v>37</v>
      </c>
      <c r="AO272" s="56" t="s">
        <v>20</v>
      </c>
      <c r="AP272" s="56" t="s">
        <v>38</v>
      </c>
      <c r="AQ272" s="56">
        <v>30</v>
      </c>
      <c r="AR272" s="56">
        <v>94</v>
      </c>
      <c r="AS272" s="56">
        <v>124</v>
      </c>
      <c r="AT272" s="56">
        <v>110</v>
      </c>
      <c r="AU272" s="56">
        <v>37</v>
      </c>
      <c r="AV272" s="56">
        <v>8</v>
      </c>
      <c r="AW272" s="56">
        <v>1610</v>
      </c>
      <c r="AX272" s="56">
        <v>1796</v>
      </c>
      <c r="AY272" s="56">
        <v>0.75806451612903225</v>
      </c>
      <c r="AZ272" s="56">
        <v>0.75806451612903225</v>
      </c>
      <c r="BA272" s="56">
        <v>30</v>
      </c>
      <c r="BB272" s="56">
        <v>48300</v>
      </c>
      <c r="BC272" s="56" t="s">
        <v>552</v>
      </c>
      <c r="BD272" s="56" t="s">
        <v>561</v>
      </c>
      <c r="BE272" s="56">
        <v>168824</v>
      </c>
    </row>
    <row r="273" spans="1:57" x14ac:dyDescent="0.3">
      <c r="A273" s="38" t="s">
        <v>232</v>
      </c>
      <c r="B273" s="39">
        <v>45494</v>
      </c>
      <c r="C273" s="38" t="s">
        <v>19</v>
      </c>
      <c r="D273" s="38" t="s">
        <v>13</v>
      </c>
      <c r="E273" s="38" t="s">
        <v>21</v>
      </c>
      <c r="F273" s="40">
        <v>110</v>
      </c>
      <c r="G273" s="38">
        <v>88</v>
      </c>
      <c r="H273" s="38">
        <f>IFERROR('Automated raw'!$F202+'Automated raw'!$G202,"-")</f>
        <v>205</v>
      </c>
      <c r="I273" s="38">
        <v>265</v>
      </c>
      <c r="J273" s="38">
        <v>42</v>
      </c>
      <c r="K273" s="38">
        <v>13</v>
      </c>
      <c r="L273" s="38">
        <v>337</v>
      </c>
      <c r="M273" s="38">
        <v>1565</v>
      </c>
      <c r="N273" s="38">
        <f>'Automated raw'!$G202/'Automated raw'!$H202</f>
        <v>0.78846153846153844</v>
      </c>
      <c r="O273" s="41">
        <f>IFERROR('Automated raw'!$G202/'Automated raw'!$H202,"incomplete")</f>
        <v>0.78846153846153844</v>
      </c>
      <c r="P273" s="38">
        <f>'Automated raw'!$F202</f>
        <v>123</v>
      </c>
      <c r="Q273" s="42">
        <f>IFERROR('Automated raw'!$P202*'Automated raw'!$L202,0)</f>
        <v>81780</v>
      </c>
      <c r="R273" s="38" t="str">
        <f>IF('Automated raw'!$O202&gt;=60%,"High",IF('Automated raw'!$O202&gt;=30%,"Avg",IF('Automated raw'!$O202&lt;30%,"Dead Stock","Incomplete")))</f>
        <v>Dead Stock</v>
      </c>
      <c r="S273" s="43" t="str">
        <f>TEXT('Automated raw'!$B202,"mmm")</f>
        <v>Sep</v>
      </c>
      <c r="T273" s="82">
        <f>'Automated raw'!$G202*'Automated raw'!$M202</f>
        <v>192454</v>
      </c>
      <c r="U273" s="6">
        <f>IFERROR((Table7[[#This Row],[Stock In(Total)]]+Table7[[#This Row],[In Stock or Remaining]])/2,"-")</f>
        <v>157.5</v>
      </c>
      <c r="V273" s="93">
        <f>IFERROR(Table7[[#This Row],[Stock_Out]]/Table7[[#This Row],[Avg Inventory]],"-")</f>
        <v>0.55873015873015874</v>
      </c>
      <c r="W273" s="6"/>
      <c r="X273" s="6"/>
      <c r="Y273" s="6"/>
      <c r="Z273" s="6"/>
      <c r="AA273" s="6"/>
      <c r="AB273" s="6"/>
      <c r="AC273" s="6"/>
      <c r="AD273" s="6"/>
      <c r="AE273" s="6"/>
      <c r="AF273" s="6"/>
      <c r="AG273" s="6"/>
      <c r="AH273" s="6"/>
      <c r="AI273" s="6"/>
      <c r="AJ273" s="6"/>
      <c r="AK273" s="6"/>
      <c r="AL273" s="56" t="s">
        <v>480</v>
      </c>
      <c r="AM273" s="56">
        <v>45571</v>
      </c>
      <c r="AN273" s="56" t="s">
        <v>12</v>
      </c>
      <c r="AO273" s="56" t="s">
        <v>17</v>
      </c>
      <c r="AP273" s="56" t="s">
        <v>21</v>
      </c>
      <c r="AQ273" s="56">
        <v>30</v>
      </c>
      <c r="AR273" s="56">
        <v>92</v>
      </c>
      <c r="AS273" s="56">
        <v>122</v>
      </c>
      <c r="AT273" s="56">
        <v>47</v>
      </c>
      <c r="AU273" s="56">
        <v>73</v>
      </c>
      <c r="AV273" s="56">
        <v>6</v>
      </c>
      <c r="AW273" s="56">
        <v>494</v>
      </c>
      <c r="AX273" s="56">
        <v>1834</v>
      </c>
      <c r="AY273" s="56">
        <v>0.75409836065573765</v>
      </c>
      <c r="AZ273" s="56">
        <v>0.75409836065573765</v>
      </c>
      <c r="BA273" s="56">
        <v>30</v>
      </c>
      <c r="BB273" s="56">
        <v>14820</v>
      </c>
      <c r="BC273" s="56" t="s">
        <v>552</v>
      </c>
      <c r="BD273" s="56" t="s">
        <v>565</v>
      </c>
      <c r="BE273" s="56">
        <v>168728</v>
      </c>
    </row>
    <row r="274" spans="1:57" x14ac:dyDescent="0.3">
      <c r="A274" s="44" t="s">
        <v>490</v>
      </c>
      <c r="B274" s="45">
        <v>45490</v>
      </c>
      <c r="C274" s="44" t="s">
        <v>12</v>
      </c>
      <c r="D274" s="44" t="s">
        <v>20</v>
      </c>
      <c r="E274" s="44" t="s">
        <v>14</v>
      </c>
      <c r="F274" s="40">
        <v>115</v>
      </c>
      <c r="G274" s="44">
        <v>92</v>
      </c>
      <c r="H274" s="44">
        <f>IFERROR('Automated raw'!$F457+'Automated raw'!$G457,"-")</f>
        <v>102</v>
      </c>
      <c r="I274" s="44">
        <v>97</v>
      </c>
      <c r="J274" s="44">
        <v>53</v>
      </c>
      <c r="K274" s="44">
        <v>5</v>
      </c>
      <c r="L274" s="44">
        <v>752</v>
      </c>
      <c r="M274" s="44">
        <v>1826</v>
      </c>
      <c r="N274" s="44">
        <f>'Automated raw'!$G457/'Automated raw'!$H457</f>
        <v>0.5757575757575758</v>
      </c>
      <c r="O274" s="46">
        <f>IFERROR('Automated raw'!$G457/'Automated raw'!$H457,"incomplete")</f>
        <v>0.5757575757575758</v>
      </c>
      <c r="P274" s="44">
        <f>'Automated raw'!$F457</f>
        <v>45</v>
      </c>
      <c r="Q274" s="47">
        <f>IFERROR('Automated raw'!$P457*'Automated raw'!$L457,0)</f>
        <v>48484</v>
      </c>
      <c r="R274" s="44" t="str">
        <f>IF('Automated raw'!$O457&gt;=60%,"High",IF('Automated raw'!$O457&gt;=30%,"Avg",IF('Automated raw'!$O457&lt;30%,"Dead Stock","Incomplete")))</f>
        <v>Dead Stock</v>
      </c>
      <c r="S274" s="48" t="str">
        <f>TEXT('Automated raw'!$B457,"mmm")</f>
        <v>Jun</v>
      </c>
      <c r="T274" s="83">
        <f>'Automated raw'!$G457*'Automated raw'!$M457</f>
        <v>108471</v>
      </c>
      <c r="U274" s="6">
        <f>IFERROR((Table7[[#This Row],[Stock In(Total)]]+Table7[[#This Row],[In Stock or Remaining]])/2,"-")</f>
        <v>108.5</v>
      </c>
      <c r="V274" s="93">
        <f>IFERROR(Table7[[#This Row],[Stock_Out]]/Table7[[#This Row],[Avg Inventory]],"-")</f>
        <v>0.84792626728110598</v>
      </c>
      <c r="W274" s="6"/>
      <c r="X274" s="6"/>
      <c r="Y274" s="6"/>
      <c r="Z274" s="6"/>
      <c r="AA274" s="6"/>
      <c r="AB274" s="6"/>
      <c r="AC274" s="6"/>
      <c r="AD274" s="6"/>
      <c r="AE274" s="6"/>
      <c r="AF274" s="6"/>
      <c r="AG274" s="6"/>
      <c r="AH274" s="6"/>
      <c r="AI274" s="6"/>
      <c r="AJ274" s="6"/>
      <c r="AK274" s="6"/>
      <c r="AL274" s="56" t="s">
        <v>86</v>
      </c>
      <c r="AM274" s="56">
        <v>45656</v>
      </c>
      <c r="AN274" s="56" t="s">
        <v>30</v>
      </c>
      <c r="AO274" s="56" t="s">
        <v>17</v>
      </c>
      <c r="AP274" s="56" t="s">
        <v>38</v>
      </c>
      <c r="AQ274" s="56">
        <v>27</v>
      </c>
      <c r="AR274" s="56">
        <v>78</v>
      </c>
      <c r="AS274" s="56">
        <v>105</v>
      </c>
      <c r="AT274" s="56">
        <v>207</v>
      </c>
      <c r="AU274" s="56">
        <v>52</v>
      </c>
      <c r="AV274" s="56">
        <v>11</v>
      </c>
      <c r="AW274" s="56">
        <v>696</v>
      </c>
      <c r="AX274" s="56">
        <v>2159</v>
      </c>
      <c r="AY274" s="56">
        <v>0.74285714285714288</v>
      </c>
      <c r="AZ274" s="56">
        <v>0.74285714285714288</v>
      </c>
      <c r="BA274" s="56">
        <v>27</v>
      </c>
      <c r="BB274" s="56">
        <v>18792</v>
      </c>
      <c r="BC274" s="56" t="s">
        <v>552</v>
      </c>
      <c r="BD274" s="56" t="s">
        <v>563</v>
      </c>
      <c r="BE274" s="56">
        <v>168402</v>
      </c>
    </row>
    <row r="275" spans="1:57" x14ac:dyDescent="0.3">
      <c r="A275" s="44" t="s">
        <v>307</v>
      </c>
      <c r="B275" s="45">
        <v>45565</v>
      </c>
      <c r="C275" s="44" t="s">
        <v>37</v>
      </c>
      <c r="D275" s="44" t="s">
        <v>20</v>
      </c>
      <c r="E275" s="44" t="s">
        <v>38</v>
      </c>
      <c r="F275" s="40">
        <v>48</v>
      </c>
      <c r="G275" s="44">
        <v>96</v>
      </c>
      <c r="H275" s="44">
        <f>IFERROR('Automated raw'!$F275+'Automated raw'!$G275,"-")</f>
        <v>144</v>
      </c>
      <c r="I275" s="44">
        <v>75</v>
      </c>
      <c r="J275" s="44">
        <v>57</v>
      </c>
      <c r="K275" s="44">
        <v>5</v>
      </c>
      <c r="L275" s="44">
        <v>885</v>
      </c>
      <c r="M275" s="44">
        <v>1210</v>
      </c>
      <c r="N275" s="44">
        <f>'Automated raw'!$G275/'Automated raw'!$H275</f>
        <v>0.66666666666666663</v>
      </c>
      <c r="O275" s="46">
        <f>IFERROR('Automated raw'!$G275/'Automated raw'!$H275,"incomplete")</f>
        <v>0.66666666666666663</v>
      </c>
      <c r="P275" s="44">
        <f>'Automated raw'!$F275</f>
        <v>48</v>
      </c>
      <c r="Q275" s="47">
        <f>IFERROR('Automated raw'!$P275*'Automated raw'!$L275,0)</f>
        <v>42480</v>
      </c>
      <c r="R275" s="44" t="str">
        <f>IF('Automated raw'!$O275&gt;=60%,"High",IF('Automated raw'!$O275&gt;=30%,"Avg",IF('Automated raw'!$O275&lt;30%,"Dead Stock","Incomplete")))</f>
        <v>High</v>
      </c>
      <c r="S275" s="48" t="str">
        <f>TEXT('Automated raw'!$B275,"mmm")</f>
        <v>Sep</v>
      </c>
      <c r="T275" s="83">
        <f>'Automated raw'!$G275*'Automated raw'!$M275</f>
        <v>116160</v>
      </c>
      <c r="U275" s="6">
        <f>IFERROR((Table7[[#This Row],[Stock In(Total)]]+Table7[[#This Row],[In Stock or Remaining]])/2,"-")</f>
        <v>96</v>
      </c>
      <c r="V275" s="93">
        <f>IFERROR(Table7[[#This Row],[Stock_Out]]/Table7[[#This Row],[Avg Inventory]],"-")</f>
        <v>1</v>
      </c>
      <c r="W275" s="6"/>
      <c r="X275" s="6"/>
      <c r="Y275" s="6"/>
      <c r="Z275" s="6"/>
      <c r="AA275" s="6"/>
      <c r="AB275" s="6"/>
      <c r="AC275" s="6"/>
      <c r="AD275" s="6"/>
      <c r="AE275" s="6"/>
      <c r="AF275" s="6"/>
      <c r="AG275" s="6"/>
      <c r="AH275" s="6"/>
      <c r="AI275" s="6"/>
      <c r="AJ275" s="6"/>
      <c r="AK275" s="6"/>
      <c r="AL275" s="57" t="s">
        <v>187</v>
      </c>
      <c r="AM275" s="57">
        <v>45349</v>
      </c>
      <c r="AN275" s="57" t="s">
        <v>26</v>
      </c>
      <c r="AO275" s="57" t="s">
        <v>20</v>
      </c>
      <c r="AP275" s="57" t="s">
        <v>21</v>
      </c>
      <c r="AQ275" s="57">
        <v>36</v>
      </c>
      <c r="AR275" s="57">
        <v>114</v>
      </c>
      <c r="AS275" s="57">
        <v>150</v>
      </c>
      <c r="AT275" s="57">
        <v>78</v>
      </c>
      <c r="AU275" s="57">
        <v>71</v>
      </c>
      <c r="AV275" s="57">
        <v>15</v>
      </c>
      <c r="AW275" s="57">
        <v>812</v>
      </c>
      <c r="AX275" s="57">
        <v>1466</v>
      </c>
      <c r="AY275" s="57">
        <v>0.76</v>
      </c>
      <c r="AZ275" s="57">
        <v>0.76</v>
      </c>
      <c r="BA275" s="57">
        <v>36</v>
      </c>
      <c r="BB275" s="57">
        <v>29232</v>
      </c>
      <c r="BC275" s="57" t="s">
        <v>552</v>
      </c>
      <c r="BD275" s="57" t="s">
        <v>555</v>
      </c>
      <c r="BE275" s="57">
        <v>167124</v>
      </c>
    </row>
    <row r="276" spans="1:57" x14ac:dyDescent="0.3">
      <c r="A276" s="38" t="s">
        <v>308</v>
      </c>
      <c r="B276" s="39">
        <v>45502</v>
      </c>
      <c r="C276" s="38" t="s">
        <v>16</v>
      </c>
      <c r="D276" s="38" t="s">
        <v>20</v>
      </c>
      <c r="E276" s="38" t="s">
        <v>21</v>
      </c>
      <c r="F276" s="40">
        <v>23</v>
      </c>
      <c r="G276" s="38">
        <v>94</v>
      </c>
      <c r="H276" s="38">
        <f>IFERROR('Automated raw'!$F276+'Automated raw'!$G276,"-")</f>
        <v>117</v>
      </c>
      <c r="I276" s="38">
        <v>5</v>
      </c>
      <c r="J276" s="38">
        <v>57</v>
      </c>
      <c r="K276" s="38">
        <v>6</v>
      </c>
      <c r="L276" s="38">
        <v>1819</v>
      </c>
      <c r="M276" s="38">
        <v>2549</v>
      </c>
      <c r="N276" s="38">
        <f>'Automated raw'!$G276/'Automated raw'!$H276</f>
        <v>0.80341880341880345</v>
      </c>
      <c r="O276" s="41">
        <f>IFERROR('Automated raw'!$G276/'Automated raw'!$H276,"incomplete")</f>
        <v>0.80341880341880345</v>
      </c>
      <c r="P276" s="38">
        <f>'Automated raw'!$F276</f>
        <v>23</v>
      </c>
      <c r="Q276" s="42">
        <f>IFERROR('Automated raw'!$P276*'Automated raw'!$L276,0)</f>
        <v>41837</v>
      </c>
      <c r="R276" s="38" t="str">
        <f>IF('Automated raw'!$O276&gt;=60%,"High",IF('Automated raw'!$O276&gt;=30%,"Avg",IF('Automated raw'!$O276&lt;30%,"Dead Stock","Incomplete")))</f>
        <v>High</v>
      </c>
      <c r="S276" s="43" t="str">
        <f>TEXT('Automated raw'!$B276,"mmm")</f>
        <v>Jul</v>
      </c>
      <c r="T276" s="82">
        <f>'Automated raw'!$G276*'Automated raw'!$M276</f>
        <v>239606</v>
      </c>
      <c r="U276" s="6">
        <f>IFERROR((Table7[[#This Row],[Stock In(Total)]]+Table7[[#This Row],[In Stock or Remaining]])/2,"-")</f>
        <v>70</v>
      </c>
      <c r="V276" s="93">
        <f>IFERROR(Table7[[#This Row],[Stock_Out]]/Table7[[#This Row],[Avg Inventory]],"-")</f>
        <v>1.3428571428571427</v>
      </c>
      <c r="W276" s="6"/>
      <c r="X276" s="6"/>
      <c r="Y276" s="6"/>
      <c r="Z276" s="6"/>
      <c r="AA276" s="6"/>
      <c r="AB276" s="6"/>
      <c r="AC276" s="6"/>
      <c r="AD276" s="6"/>
      <c r="AE276" s="6"/>
      <c r="AF276" s="6"/>
      <c r="AG276" s="6"/>
      <c r="AH276" s="6"/>
      <c r="AI276" s="6"/>
      <c r="AJ276" s="6"/>
      <c r="AK276" s="6"/>
      <c r="AL276" s="57" t="s">
        <v>274</v>
      </c>
      <c r="AM276" s="57">
        <v>45553</v>
      </c>
      <c r="AN276" s="57" t="s">
        <v>37</v>
      </c>
      <c r="AO276" s="57" t="s">
        <v>13</v>
      </c>
      <c r="AP276" s="57" t="s">
        <v>33</v>
      </c>
      <c r="AQ276" s="57">
        <v>17</v>
      </c>
      <c r="AR276" s="57">
        <v>113</v>
      </c>
      <c r="AS276" s="57">
        <v>130</v>
      </c>
      <c r="AT276" s="57">
        <v>20</v>
      </c>
      <c r="AU276" s="57">
        <v>30</v>
      </c>
      <c r="AV276" s="57">
        <v>12</v>
      </c>
      <c r="AW276" s="57">
        <v>1173</v>
      </c>
      <c r="AX276" s="57">
        <v>1478</v>
      </c>
      <c r="AY276" s="57">
        <v>0.86923076923076925</v>
      </c>
      <c r="AZ276" s="57">
        <v>0.86923076923076925</v>
      </c>
      <c r="BA276" s="57">
        <v>17</v>
      </c>
      <c r="BB276" s="57">
        <v>19941</v>
      </c>
      <c r="BC276" s="57" t="s">
        <v>552</v>
      </c>
      <c r="BD276" s="57" t="s">
        <v>560</v>
      </c>
      <c r="BE276" s="57">
        <v>167014</v>
      </c>
    </row>
    <row r="277" spans="1:57" x14ac:dyDescent="0.3">
      <c r="A277" s="44" t="s">
        <v>309</v>
      </c>
      <c r="B277" s="45">
        <v>45639</v>
      </c>
      <c r="C277" s="44" t="s">
        <v>19</v>
      </c>
      <c r="D277" s="44" t="s">
        <v>20</v>
      </c>
      <c r="E277" s="44" t="s">
        <v>14</v>
      </c>
      <c r="F277" s="40">
        <v>10</v>
      </c>
      <c r="G277" s="44">
        <v>29</v>
      </c>
      <c r="H277" s="44">
        <f>IFERROR('Automated raw'!$F277+'Automated raw'!$G277,"-")</f>
        <v>39</v>
      </c>
      <c r="I277" s="44">
        <v>249</v>
      </c>
      <c r="J277" s="44">
        <v>55</v>
      </c>
      <c r="K277" s="44">
        <v>13</v>
      </c>
      <c r="L277" s="44">
        <v>2000</v>
      </c>
      <c r="M277" s="44">
        <v>2776</v>
      </c>
      <c r="N277" s="44">
        <f>'Automated raw'!$G277/'Automated raw'!$H277</f>
        <v>0.74358974358974361</v>
      </c>
      <c r="O277" s="46">
        <f>IFERROR('Automated raw'!$G277/'Automated raw'!$H277,"incomplete")</f>
        <v>0.74358974358974361</v>
      </c>
      <c r="P277" s="44">
        <f>'Automated raw'!$F277</f>
        <v>10</v>
      </c>
      <c r="Q277" s="47">
        <f>IFERROR('Automated raw'!$P277*'Automated raw'!$L277,0)</f>
        <v>20000</v>
      </c>
      <c r="R277" s="44" t="str">
        <f>IF('Automated raw'!$O277&gt;=60%,"High",IF('Automated raw'!$O277&gt;=30%,"Avg",IF('Automated raw'!$O277&lt;30%,"Dead Stock","Incomplete")))</f>
        <v>High</v>
      </c>
      <c r="S277" s="48" t="str">
        <f>TEXT('Automated raw'!$B277,"mmm")</f>
        <v>Dec</v>
      </c>
      <c r="T277" s="83">
        <f>'Automated raw'!$G277*'Automated raw'!$M277</f>
        <v>80504</v>
      </c>
      <c r="U277" s="6">
        <f>IFERROR((Table7[[#This Row],[Stock In(Total)]]+Table7[[#This Row],[In Stock or Remaining]])/2,"-")</f>
        <v>24.5</v>
      </c>
      <c r="V277" s="93">
        <f>IFERROR(Table7[[#This Row],[Stock_Out]]/Table7[[#This Row],[Avg Inventory]],"-")</f>
        <v>1.1836734693877551</v>
      </c>
      <c r="W277" s="6"/>
      <c r="X277" s="6"/>
      <c r="Y277" s="6"/>
      <c r="Z277" s="6"/>
      <c r="AA277" s="6"/>
      <c r="AB277" s="6"/>
      <c r="AC277" s="6"/>
      <c r="AD277" s="6"/>
      <c r="AE277" s="6"/>
      <c r="AF277" s="6"/>
      <c r="AG277" s="6"/>
      <c r="AH277" s="6"/>
      <c r="AI277" s="6"/>
      <c r="AJ277" s="6"/>
      <c r="AK277" s="6"/>
      <c r="AL277" s="56" t="s">
        <v>403</v>
      </c>
      <c r="AM277" s="56">
        <v>45552</v>
      </c>
      <c r="AN277" s="56" t="s">
        <v>53</v>
      </c>
      <c r="AO277" s="56" t="s">
        <v>17</v>
      </c>
      <c r="AP277" s="56" t="s">
        <v>21</v>
      </c>
      <c r="AQ277" s="56" t="s">
        <v>23</v>
      </c>
      <c r="AR277" s="56">
        <v>72</v>
      </c>
      <c r="AS277" s="56" t="s">
        <v>568</v>
      </c>
      <c r="AT277" s="56">
        <v>210</v>
      </c>
      <c r="AU277" s="56">
        <v>63</v>
      </c>
      <c r="AV277" s="56">
        <v>12</v>
      </c>
      <c r="AW277" s="56">
        <v>1703</v>
      </c>
      <c r="AX277" s="56">
        <v>2273</v>
      </c>
      <c r="AY277" s="56" t="e">
        <v>#VALUE!</v>
      </c>
      <c r="AZ277" s="56" t="s">
        <v>569</v>
      </c>
      <c r="BA277" s="56" t="s">
        <v>23</v>
      </c>
      <c r="BB277" s="56">
        <v>0</v>
      </c>
      <c r="BC277" s="56" t="s">
        <v>552</v>
      </c>
      <c r="BD277" s="56" t="s">
        <v>560</v>
      </c>
      <c r="BE277" s="56">
        <v>163656</v>
      </c>
    </row>
    <row r="278" spans="1:57" x14ac:dyDescent="0.3">
      <c r="A278" s="44" t="s">
        <v>504</v>
      </c>
      <c r="B278" s="45">
        <v>45509</v>
      </c>
      <c r="C278" s="44" t="s">
        <v>53</v>
      </c>
      <c r="D278" s="44" t="s">
        <v>20</v>
      </c>
      <c r="E278" s="44" t="s">
        <v>14</v>
      </c>
      <c r="F278" s="40">
        <v>116</v>
      </c>
      <c r="G278" s="44">
        <v>93</v>
      </c>
      <c r="H278" s="44">
        <f>IFERROR('Automated raw'!$F471+'Automated raw'!$G471,"-")</f>
        <v>77</v>
      </c>
      <c r="I278" s="44">
        <v>21</v>
      </c>
      <c r="J278" s="44">
        <v>36</v>
      </c>
      <c r="K278" s="44">
        <v>6</v>
      </c>
      <c r="L278" s="44">
        <v>1660</v>
      </c>
      <c r="M278" s="44">
        <v>2634</v>
      </c>
      <c r="N278" s="44">
        <f>'Automated raw'!$G471/'Automated raw'!$H471</f>
        <v>0.2857142857142857</v>
      </c>
      <c r="O278" s="46">
        <f>IFERROR('Automated raw'!$G471/'Automated raw'!$H471,"incomplete")</f>
        <v>0.2857142857142857</v>
      </c>
      <c r="P278" s="44">
        <f>'Automated raw'!$F471</f>
        <v>33</v>
      </c>
      <c r="Q278" s="47">
        <f>IFERROR('Automated raw'!$P471*'Automated raw'!$L471,0)</f>
        <v>136752</v>
      </c>
      <c r="R278" s="44" t="str">
        <f>IF('Automated raw'!$O471&gt;=60%,"High",IF('Automated raw'!$O471&gt;=30%,"Avg",IF('Automated raw'!$O471&lt;30%,"Dead Stock","Incomplete")))</f>
        <v>Avg</v>
      </c>
      <c r="S278" s="48" t="str">
        <f>TEXT('Automated raw'!$B471,"mmm")</f>
        <v>Oct</v>
      </c>
      <c r="T278" s="83">
        <f>'Automated raw'!$G471*'Automated raw'!$M471</f>
        <v>102872</v>
      </c>
      <c r="U278" s="6">
        <f>IFERROR((Table7[[#This Row],[Stock In(Total)]]+Table7[[#This Row],[In Stock or Remaining]])/2,"-")</f>
        <v>96.5</v>
      </c>
      <c r="V278" s="93">
        <f>IFERROR(Table7[[#This Row],[Stock_Out]]/Table7[[#This Row],[Avg Inventory]],"-")</f>
        <v>0.96373056994818651</v>
      </c>
      <c r="W278" s="6"/>
      <c r="X278" s="6"/>
      <c r="Y278" s="6"/>
      <c r="Z278" s="6"/>
      <c r="AA278" s="6"/>
      <c r="AB278" s="6"/>
      <c r="AC278" s="6"/>
      <c r="AD278" s="6"/>
      <c r="AE278" s="6"/>
      <c r="AF278" s="6"/>
      <c r="AG278" s="6"/>
      <c r="AH278" s="6"/>
      <c r="AI278" s="6"/>
      <c r="AJ278" s="6"/>
      <c r="AK278" s="6"/>
      <c r="AL278" s="57" t="s">
        <v>177</v>
      </c>
      <c r="AM278" s="57">
        <v>45421</v>
      </c>
      <c r="AN278" s="57" t="s">
        <v>30</v>
      </c>
      <c r="AO278" s="57" t="s">
        <v>20</v>
      </c>
      <c r="AP278" s="57" t="s">
        <v>21</v>
      </c>
      <c r="AQ278" s="57">
        <v>39</v>
      </c>
      <c r="AR278" s="57">
        <v>69</v>
      </c>
      <c r="AS278" s="57">
        <v>108</v>
      </c>
      <c r="AT278" s="57">
        <v>6</v>
      </c>
      <c r="AU278" s="57">
        <v>65</v>
      </c>
      <c r="AV278" s="57">
        <v>3</v>
      </c>
      <c r="AW278" s="57">
        <v>859</v>
      </c>
      <c r="AX278" s="57">
        <v>2351</v>
      </c>
      <c r="AY278" s="57">
        <v>0.63888888888888884</v>
      </c>
      <c r="AZ278" s="57">
        <v>0.63888888888888884</v>
      </c>
      <c r="BA278" s="57">
        <v>39</v>
      </c>
      <c r="BB278" s="57">
        <v>33501</v>
      </c>
      <c r="BC278" s="57" t="s">
        <v>552</v>
      </c>
      <c r="BD278" s="57" t="s">
        <v>561</v>
      </c>
      <c r="BE278" s="57">
        <v>162219</v>
      </c>
    </row>
    <row r="279" spans="1:57" x14ac:dyDescent="0.3">
      <c r="A279" s="38" t="s">
        <v>97</v>
      </c>
      <c r="B279" s="39">
        <v>45448</v>
      </c>
      <c r="C279" s="38" t="s">
        <v>19</v>
      </c>
      <c r="D279" s="38" t="s">
        <v>13</v>
      </c>
      <c r="E279" s="38" t="s">
        <v>21</v>
      </c>
      <c r="F279" s="40">
        <v>61</v>
      </c>
      <c r="G279" s="38">
        <v>49</v>
      </c>
      <c r="H279" s="38">
        <f>IFERROR('Automated raw'!$F70+'Automated raw'!$G70,"-")</f>
        <v>180</v>
      </c>
      <c r="I279" s="38">
        <v>18</v>
      </c>
      <c r="J279" s="38">
        <v>66</v>
      </c>
      <c r="K279" s="38">
        <v>10</v>
      </c>
      <c r="L279" s="38">
        <v>1761</v>
      </c>
      <c r="M279" s="38">
        <v>2872</v>
      </c>
      <c r="N279" s="38">
        <f>'Automated raw'!$G70/'Automated raw'!$H70</f>
        <v>0.34857142857142859</v>
      </c>
      <c r="O279" s="41">
        <f>IFERROR('Automated raw'!$G70/'Automated raw'!$H70,"incomplete")</f>
        <v>0.34857142857142859</v>
      </c>
      <c r="P279" s="38">
        <f>'Automated raw'!$F70</f>
        <v>119</v>
      </c>
      <c r="Q279" s="42">
        <f>IFERROR('Automated raw'!$P70*'Automated raw'!$L70,0)</f>
        <v>88008</v>
      </c>
      <c r="R279" s="38" t="str">
        <f>IF('Automated raw'!$O70&gt;=60%,"High",IF('Automated raw'!$O70&gt;=30%,"Avg",IF('Automated raw'!$O70&lt;30%,"Dead Stock","Incomplete")))</f>
        <v>Dead Stock</v>
      </c>
      <c r="S279" s="43" t="str">
        <f>TEXT('Automated raw'!$B70,"mmm")</f>
        <v>Jul</v>
      </c>
      <c r="T279" s="82">
        <f>'Automated raw'!$G70*'Automated raw'!$M70</f>
        <v>109190</v>
      </c>
      <c r="U279" s="6">
        <f>IFERROR((Table7[[#This Row],[Stock In(Total)]]+Table7[[#This Row],[In Stock or Remaining]])/2,"-")</f>
        <v>120.5</v>
      </c>
      <c r="V279" s="93">
        <f>IFERROR(Table7[[#This Row],[Stock_Out]]/Table7[[#This Row],[Avg Inventory]],"-")</f>
        <v>0.40663900414937759</v>
      </c>
      <c r="W279" s="6"/>
      <c r="X279" s="6"/>
      <c r="Y279" s="6"/>
      <c r="Z279" s="6"/>
      <c r="AA279" s="6"/>
      <c r="AB279" s="6"/>
      <c r="AC279" s="6"/>
      <c r="AD279" s="6"/>
      <c r="AE279" s="6"/>
      <c r="AF279" s="6"/>
      <c r="AG279" s="6"/>
      <c r="AH279" s="6"/>
      <c r="AI279" s="6"/>
      <c r="AJ279" s="6"/>
      <c r="AK279" s="6"/>
      <c r="AL279" s="57" t="s">
        <v>166</v>
      </c>
      <c r="AM279" s="57">
        <v>45307</v>
      </c>
      <c r="AN279" s="57" t="s">
        <v>53</v>
      </c>
      <c r="AO279" s="57" t="s">
        <v>20</v>
      </c>
      <c r="AP279" s="57" t="s">
        <v>21</v>
      </c>
      <c r="AQ279" s="57" t="s">
        <v>23</v>
      </c>
      <c r="AR279" s="57">
        <v>77</v>
      </c>
      <c r="AS279" s="57" t="s">
        <v>568</v>
      </c>
      <c r="AT279" s="57">
        <v>43</v>
      </c>
      <c r="AU279" s="57">
        <v>79</v>
      </c>
      <c r="AV279" s="57">
        <v>5</v>
      </c>
      <c r="AW279" s="57">
        <v>1605</v>
      </c>
      <c r="AX279" s="57">
        <v>2087</v>
      </c>
      <c r="AY279" s="57" t="e">
        <v>#VALUE!</v>
      </c>
      <c r="AZ279" s="57" t="s">
        <v>569</v>
      </c>
      <c r="BA279" s="57" t="s">
        <v>23</v>
      </c>
      <c r="BB279" s="57">
        <v>0</v>
      </c>
      <c r="BC279" s="57" t="s">
        <v>552</v>
      </c>
      <c r="BD279" s="57" t="s">
        <v>557</v>
      </c>
      <c r="BE279" s="57">
        <v>160699</v>
      </c>
    </row>
    <row r="280" spans="1:57" x14ac:dyDescent="0.3">
      <c r="A280" s="38" t="s">
        <v>312</v>
      </c>
      <c r="B280" s="39">
        <v>45635</v>
      </c>
      <c r="C280" s="38" t="s">
        <v>19</v>
      </c>
      <c r="D280" s="38" t="s">
        <v>20</v>
      </c>
      <c r="E280" s="38" t="s">
        <v>14</v>
      </c>
      <c r="F280" s="40">
        <v>120</v>
      </c>
      <c r="G280" s="38">
        <v>12</v>
      </c>
      <c r="H280" s="38">
        <f>IFERROR('Automated raw'!$F280+'Automated raw'!$G280,"-")</f>
        <v>132</v>
      </c>
      <c r="I280" s="38">
        <v>9</v>
      </c>
      <c r="J280" s="38">
        <v>42</v>
      </c>
      <c r="K280" s="38">
        <v>15</v>
      </c>
      <c r="L280" s="38">
        <v>994</v>
      </c>
      <c r="M280" s="38">
        <v>1861</v>
      </c>
      <c r="N280" s="38">
        <f>'Automated raw'!$G280/'Automated raw'!$H280</f>
        <v>9.0909090909090912E-2</v>
      </c>
      <c r="O280" s="41">
        <f>IFERROR('Automated raw'!$G280/'Automated raw'!$H280,"incomplete")</f>
        <v>9.0909090909090912E-2</v>
      </c>
      <c r="P280" s="38">
        <f>'Automated raw'!$F280</f>
        <v>120</v>
      </c>
      <c r="Q280" s="42">
        <f>IFERROR('Automated raw'!$P280*'Automated raw'!$L280,0)</f>
        <v>119280</v>
      </c>
      <c r="R280" s="38" t="str">
        <f>IF('Automated raw'!$O280&gt;=60%,"High",IF('Automated raw'!$O280&gt;=30%,"Avg",IF('Automated raw'!$O280&lt;30%,"Dead Stock","Incomplete")))</f>
        <v>Dead Stock</v>
      </c>
      <c r="S280" s="43" t="str">
        <f>TEXT('Automated raw'!$B280,"mmm")</f>
        <v>Dec</v>
      </c>
      <c r="T280" s="82">
        <f>'Automated raw'!$G280*'Automated raw'!$M280</f>
        <v>22332</v>
      </c>
      <c r="U280" s="6">
        <f>IFERROR((Table7[[#This Row],[Stock In(Total)]]+Table7[[#This Row],[In Stock or Remaining]])/2,"-")</f>
        <v>126</v>
      </c>
      <c r="V280" s="93">
        <f>IFERROR(Table7[[#This Row],[Stock_Out]]/Table7[[#This Row],[Avg Inventory]],"-")</f>
        <v>9.5238095238095233E-2</v>
      </c>
      <c r="W280" s="6"/>
      <c r="X280" s="6"/>
      <c r="Y280" s="6"/>
      <c r="Z280" s="6"/>
      <c r="AA280" s="6"/>
      <c r="AB280" s="6"/>
      <c r="AC280" s="6"/>
      <c r="AD280" s="6"/>
      <c r="AE280" s="6"/>
      <c r="AF280" s="6"/>
      <c r="AG280" s="6"/>
      <c r="AH280" s="6"/>
      <c r="AI280" s="6"/>
      <c r="AJ280" s="6"/>
      <c r="AK280" s="6"/>
      <c r="AL280" s="56" t="s">
        <v>131</v>
      </c>
      <c r="AM280" s="56">
        <v>45467</v>
      </c>
      <c r="AN280" s="56" t="s">
        <v>30</v>
      </c>
      <c r="AO280" s="56" t="s">
        <v>20</v>
      </c>
      <c r="AP280" s="56" t="s">
        <v>14</v>
      </c>
      <c r="AQ280" s="56">
        <v>13</v>
      </c>
      <c r="AR280" s="56">
        <v>71</v>
      </c>
      <c r="AS280" s="56">
        <v>84</v>
      </c>
      <c r="AT280" s="56">
        <v>187</v>
      </c>
      <c r="AU280" s="56">
        <v>48</v>
      </c>
      <c r="AV280" s="56">
        <v>2</v>
      </c>
      <c r="AW280" s="56">
        <v>1686</v>
      </c>
      <c r="AX280" s="56">
        <v>2263</v>
      </c>
      <c r="AY280" s="56">
        <v>0.84523809523809523</v>
      </c>
      <c r="AZ280" s="56">
        <v>0.84523809523809523</v>
      </c>
      <c r="BA280" s="56">
        <v>13</v>
      </c>
      <c r="BB280" s="56">
        <v>21918</v>
      </c>
      <c r="BC280" s="56" t="s">
        <v>552</v>
      </c>
      <c r="BD280" s="56" t="s">
        <v>559</v>
      </c>
      <c r="BE280" s="56">
        <v>160673</v>
      </c>
    </row>
    <row r="281" spans="1:57" x14ac:dyDescent="0.3">
      <c r="A281" s="44" t="s">
        <v>313</v>
      </c>
      <c r="B281" s="45">
        <v>45435</v>
      </c>
      <c r="C281" s="44" t="s">
        <v>53</v>
      </c>
      <c r="D281" s="44" t="s">
        <v>20</v>
      </c>
      <c r="E281" s="44" t="s">
        <v>33</v>
      </c>
      <c r="F281" s="40">
        <v>14</v>
      </c>
      <c r="G281" s="44">
        <v>91</v>
      </c>
      <c r="H281" s="44">
        <f>IFERROR('Automated raw'!$F281+'Automated raw'!$G281,"-")</f>
        <v>105</v>
      </c>
      <c r="I281" s="44">
        <v>220</v>
      </c>
      <c r="J281" s="44">
        <v>77</v>
      </c>
      <c r="K281" s="44">
        <v>6</v>
      </c>
      <c r="L281" s="44">
        <v>1730</v>
      </c>
      <c r="M281" s="44">
        <v>2116</v>
      </c>
      <c r="N281" s="44">
        <f>'Automated raw'!$G281/'Automated raw'!$H281</f>
        <v>0.8666666666666667</v>
      </c>
      <c r="O281" s="46">
        <f>IFERROR('Automated raw'!$G281/'Automated raw'!$H281,"incomplete")</f>
        <v>0.8666666666666667</v>
      </c>
      <c r="P281" s="44">
        <f>'Automated raw'!$F281</f>
        <v>14</v>
      </c>
      <c r="Q281" s="47">
        <f>IFERROR('Automated raw'!$P281*'Automated raw'!$L281,0)</f>
        <v>24220</v>
      </c>
      <c r="R281" s="44" t="str">
        <f>IF('Automated raw'!$O281&gt;=60%,"High",IF('Automated raw'!$O281&gt;=30%,"Avg",IF('Automated raw'!$O281&lt;30%,"Dead Stock","Incomplete")))</f>
        <v>High</v>
      </c>
      <c r="S281" s="48" t="str">
        <f>TEXT('Automated raw'!$B281,"mmm")</f>
        <v>May</v>
      </c>
      <c r="T281" s="83">
        <f>'Automated raw'!$G281*'Automated raw'!$M281</f>
        <v>192556</v>
      </c>
      <c r="U281" s="6">
        <f>IFERROR((Table7[[#This Row],[Stock In(Total)]]+Table7[[#This Row],[In Stock or Remaining]])/2,"-")</f>
        <v>59.5</v>
      </c>
      <c r="V281" s="93">
        <f>IFERROR(Table7[[#This Row],[Stock_Out]]/Table7[[#This Row],[Avg Inventory]],"-")</f>
        <v>1.5294117647058822</v>
      </c>
      <c r="W281" s="6"/>
      <c r="X281" s="6"/>
      <c r="Y281" s="6"/>
      <c r="Z281" s="6"/>
      <c r="AA281" s="6"/>
      <c r="AB281" s="6"/>
      <c r="AC281" s="6"/>
      <c r="AD281" s="6"/>
      <c r="AE281" s="6"/>
      <c r="AF281" s="6"/>
      <c r="AG281" s="6"/>
      <c r="AH281" s="6"/>
      <c r="AI281" s="6"/>
      <c r="AJ281" s="6"/>
      <c r="AK281" s="6"/>
      <c r="AL281" s="57" t="s">
        <v>73</v>
      </c>
      <c r="AM281" s="57">
        <v>45307</v>
      </c>
      <c r="AN281" s="57" t="s">
        <v>45</v>
      </c>
      <c r="AO281" s="57" t="s">
        <v>20</v>
      </c>
      <c r="AP281" s="57" t="s">
        <v>38</v>
      </c>
      <c r="AQ281" s="57">
        <v>56</v>
      </c>
      <c r="AR281" s="57">
        <v>95</v>
      </c>
      <c r="AS281" s="57">
        <v>151</v>
      </c>
      <c r="AT281" s="57">
        <v>141</v>
      </c>
      <c r="AU281" s="57">
        <v>75</v>
      </c>
      <c r="AV281" s="57">
        <v>4</v>
      </c>
      <c r="AW281" s="57">
        <v>898</v>
      </c>
      <c r="AX281" s="57">
        <v>1689</v>
      </c>
      <c r="AY281" s="57">
        <v>0.62913907284768211</v>
      </c>
      <c r="AZ281" s="57">
        <v>0.62913907284768211</v>
      </c>
      <c r="BA281" s="57">
        <v>56</v>
      </c>
      <c r="BB281" s="57">
        <v>50288</v>
      </c>
      <c r="BC281" s="57" t="s">
        <v>552</v>
      </c>
      <c r="BD281" s="57" t="s">
        <v>557</v>
      </c>
      <c r="BE281" s="57">
        <v>160455</v>
      </c>
    </row>
    <row r="282" spans="1:57" x14ac:dyDescent="0.3">
      <c r="A282" s="44" t="s">
        <v>340</v>
      </c>
      <c r="B282" s="45">
        <v>45645</v>
      </c>
      <c r="C282" s="44" t="s">
        <v>37</v>
      </c>
      <c r="D282" s="44" t="s">
        <v>13</v>
      </c>
      <c r="E282" s="44" t="s">
        <v>14</v>
      </c>
      <c r="F282" s="40">
        <v>117</v>
      </c>
      <c r="G282" s="44">
        <v>94</v>
      </c>
      <c r="H282" s="44">
        <f>IFERROR('Automated raw'!$F307+'Automated raw'!$G307,"-")</f>
        <v>244</v>
      </c>
      <c r="I282" s="44">
        <v>205</v>
      </c>
      <c r="J282" s="44">
        <v>42</v>
      </c>
      <c r="K282" s="44">
        <v>10</v>
      </c>
      <c r="L282" s="44">
        <v>1668</v>
      </c>
      <c r="M282" s="44">
        <v>2127</v>
      </c>
      <c r="N282" s="44">
        <f>'Automated raw'!$G307/'Automated raw'!$H307</f>
        <v>0.55721393034825872</v>
      </c>
      <c r="O282" s="46">
        <f>IFERROR('Automated raw'!$G307/'Automated raw'!$H307,"incomplete")</f>
        <v>0.55721393034825872</v>
      </c>
      <c r="P282" s="44">
        <f>'Automated raw'!$F307</f>
        <v>132</v>
      </c>
      <c r="Q282" s="47">
        <f>IFERROR('Automated raw'!$P307*'Automated raw'!$L307,0)</f>
        <v>43018</v>
      </c>
      <c r="R282" s="44" t="str">
        <f>IF('Automated raw'!$O307&gt;=60%,"High",IF('Automated raw'!$O307&gt;=30%,"Avg",IF('Automated raw'!$O307&lt;30%,"Dead Stock","Incomplete")))</f>
        <v>Avg</v>
      </c>
      <c r="S282" s="48" t="str">
        <f>TEXT('Automated raw'!$B307,"mmm")</f>
        <v>Nov</v>
      </c>
      <c r="T282" s="83">
        <f>'Automated raw'!$G307*'Automated raw'!$M307</f>
        <v>144928</v>
      </c>
      <c r="U282" s="6">
        <f>IFERROR((Table7[[#This Row],[Stock In(Total)]]+Table7[[#This Row],[In Stock or Remaining]])/2,"-")</f>
        <v>180.5</v>
      </c>
      <c r="V282" s="93">
        <f>IFERROR(Table7[[#This Row],[Stock_Out]]/Table7[[#This Row],[Avg Inventory]],"-")</f>
        <v>0.52077562326869808</v>
      </c>
      <c r="W282" s="6"/>
      <c r="X282" s="6"/>
      <c r="Y282" s="6"/>
      <c r="Z282" s="6"/>
      <c r="AA282" s="6"/>
      <c r="AB282" s="6"/>
      <c r="AC282" s="6"/>
      <c r="AD282" s="6"/>
      <c r="AE282" s="6"/>
      <c r="AF282" s="6"/>
      <c r="AG282" s="6"/>
      <c r="AH282" s="6"/>
      <c r="AI282" s="6"/>
      <c r="AJ282" s="6"/>
      <c r="AK282" s="6"/>
      <c r="AL282" s="56" t="s">
        <v>518</v>
      </c>
      <c r="AM282" s="56">
        <v>45512</v>
      </c>
      <c r="AN282" s="56" t="s">
        <v>19</v>
      </c>
      <c r="AO282" s="56" t="s">
        <v>17</v>
      </c>
      <c r="AP282" s="56" t="s">
        <v>21</v>
      </c>
      <c r="AQ282" s="56">
        <v>30</v>
      </c>
      <c r="AR282" s="56">
        <v>115</v>
      </c>
      <c r="AS282" s="56">
        <v>145</v>
      </c>
      <c r="AT282" s="56">
        <v>238</v>
      </c>
      <c r="AU282" s="56">
        <v>48</v>
      </c>
      <c r="AV282" s="56">
        <v>11</v>
      </c>
      <c r="AW282" s="56">
        <v>261</v>
      </c>
      <c r="AX282" s="56">
        <v>1391</v>
      </c>
      <c r="AY282" s="56">
        <v>0.7931034482758621</v>
      </c>
      <c r="AZ282" s="56">
        <v>0.7931034482758621</v>
      </c>
      <c r="BA282" s="56">
        <v>30</v>
      </c>
      <c r="BB282" s="56">
        <v>7830</v>
      </c>
      <c r="BC282" s="56" t="s">
        <v>552</v>
      </c>
      <c r="BD282" s="56" t="s">
        <v>554</v>
      </c>
      <c r="BE282" s="56">
        <v>159965</v>
      </c>
    </row>
    <row r="283" spans="1:57" x14ac:dyDescent="0.3">
      <c r="A283" s="44" t="s">
        <v>315</v>
      </c>
      <c r="B283" s="45">
        <v>45388</v>
      </c>
      <c r="C283" s="44" t="s">
        <v>37</v>
      </c>
      <c r="D283" s="44" t="s">
        <v>13</v>
      </c>
      <c r="E283" s="44" t="s">
        <v>21</v>
      </c>
      <c r="F283" s="40">
        <v>102</v>
      </c>
      <c r="G283" s="44">
        <v>34</v>
      </c>
      <c r="H283" s="44">
        <f>IFERROR('Automated raw'!$F283+'Automated raw'!$G283,"-")</f>
        <v>136</v>
      </c>
      <c r="I283" s="44">
        <v>4</v>
      </c>
      <c r="J283" s="44">
        <v>35</v>
      </c>
      <c r="K283" s="44">
        <v>10</v>
      </c>
      <c r="L283" s="44">
        <v>1115</v>
      </c>
      <c r="M283" s="44">
        <v>1908</v>
      </c>
      <c r="N283" s="44">
        <f>'Automated raw'!$G283/'Automated raw'!$H283</f>
        <v>0.25</v>
      </c>
      <c r="O283" s="46">
        <f>IFERROR('Automated raw'!$G283/'Automated raw'!$H283,"incomplete")</f>
        <v>0.25</v>
      </c>
      <c r="P283" s="44">
        <f>'Automated raw'!$F283</f>
        <v>102</v>
      </c>
      <c r="Q283" s="47">
        <f>IFERROR('Automated raw'!$P283*'Automated raw'!$L283,0)</f>
        <v>113730</v>
      </c>
      <c r="R283" s="44" t="str">
        <f>IF('Automated raw'!$O283&gt;=60%,"High",IF('Automated raw'!$O283&gt;=30%,"Avg",IF('Automated raw'!$O283&lt;30%,"Dead Stock","Incomplete")))</f>
        <v>Dead Stock</v>
      </c>
      <c r="S283" s="48" t="str">
        <f>TEXT('Automated raw'!$B283,"mmm")</f>
        <v>Apr</v>
      </c>
      <c r="T283" s="83">
        <f>'Automated raw'!$G283*'Automated raw'!$M283</f>
        <v>64872</v>
      </c>
      <c r="U283" s="6">
        <f>IFERROR((Table7[[#This Row],[Stock In(Total)]]+Table7[[#This Row],[In Stock or Remaining]])/2,"-")</f>
        <v>119</v>
      </c>
      <c r="V283" s="93">
        <f>IFERROR(Table7[[#This Row],[Stock_Out]]/Table7[[#This Row],[Avg Inventory]],"-")</f>
        <v>0.2857142857142857</v>
      </c>
      <c r="W283" s="6"/>
      <c r="X283" s="6"/>
      <c r="Y283" s="6"/>
      <c r="Z283" s="6"/>
      <c r="AA283" s="6"/>
      <c r="AB283" s="6"/>
      <c r="AC283" s="6"/>
      <c r="AD283" s="6"/>
      <c r="AE283" s="6"/>
      <c r="AF283" s="6"/>
      <c r="AG283" s="6"/>
      <c r="AH283" s="6"/>
      <c r="AI283" s="6"/>
      <c r="AJ283" s="6"/>
      <c r="AK283" s="6"/>
      <c r="AL283" s="56" t="s">
        <v>41</v>
      </c>
      <c r="AM283" s="56">
        <v>45557</v>
      </c>
      <c r="AN283" s="56" t="s">
        <v>19</v>
      </c>
      <c r="AO283" s="56" t="s">
        <v>20</v>
      </c>
      <c r="AP283" s="56" t="s">
        <v>33</v>
      </c>
      <c r="AQ283" s="56">
        <v>29</v>
      </c>
      <c r="AR283" s="56">
        <v>83</v>
      </c>
      <c r="AS283" s="56">
        <v>112</v>
      </c>
      <c r="AT283" s="56">
        <v>112</v>
      </c>
      <c r="AU283" s="56">
        <v>59</v>
      </c>
      <c r="AV283" s="56">
        <v>5</v>
      </c>
      <c r="AW283" s="56">
        <v>1464</v>
      </c>
      <c r="AX283" s="56">
        <v>1895</v>
      </c>
      <c r="AY283" s="56">
        <v>0.7410714285714286</v>
      </c>
      <c r="AZ283" s="56">
        <v>0.7410714285714286</v>
      </c>
      <c r="BA283" s="56">
        <v>29</v>
      </c>
      <c r="BB283" s="56">
        <v>42456</v>
      </c>
      <c r="BC283" s="56" t="s">
        <v>552</v>
      </c>
      <c r="BD283" s="56" t="s">
        <v>560</v>
      </c>
      <c r="BE283" s="56">
        <v>157285</v>
      </c>
    </row>
    <row r="284" spans="1:57" x14ac:dyDescent="0.3">
      <c r="A284" s="44" t="s">
        <v>350</v>
      </c>
      <c r="B284" s="45">
        <v>45645</v>
      </c>
      <c r="C284" s="44" t="s">
        <v>16</v>
      </c>
      <c r="D284" s="44" t="s">
        <v>13</v>
      </c>
      <c r="E284" s="44" t="s">
        <v>33</v>
      </c>
      <c r="F284" s="40">
        <v>102</v>
      </c>
      <c r="G284" s="44">
        <v>82</v>
      </c>
      <c r="H284" s="44">
        <f>IFERROR('Automated raw'!$F317+'Automated raw'!$G317,"-")</f>
        <v>104</v>
      </c>
      <c r="I284" s="44">
        <v>51</v>
      </c>
      <c r="J284" s="44">
        <v>34</v>
      </c>
      <c r="K284" s="44">
        <v>9</v>
      </c>
      <c r="L284" s="44">
        <v>700</v>
      </c>
      <c r="M284" s="44">
        <v>1962</v>
      </c>
      <c r="N284" s="44">
        <f>'Automated raw'!$G317/'Automated raw'!$H317</f>
        <v>0.23645320197044334</v>
      </c>
      <c r="O284" s="46">
        <f>IFERROR('Automated raw'!$G317/'Automated raw'!$H317,"incomplete")</f>
        <v>0.23645320197044334</v>
      </c>
      <c r="P284" s="44">
        <f>'Automated raw'!$F317</f>
        <v>56</v>
      </c>
      <c r="Q284" s="47">
        <f>IFERROR('Automated raw'!$P317*'Automated raw'!$L317,0)</f>
        <v>172725</v>
      </c>
      <c r="R284" s="44" t="str">
        <f>IF('Automated raw'!$O317&gt;=60%,"High",IF('Automated raw'!$O317&gt;=30%,"Avg",IF('Automated raw'!$O317&lt;30%,"Dead Stock","Incomplete")))</f>
        <v>High</v>
      </c>
      <c r="S284" s="48" t="str">
        <f>TEXT('Automated raw'!$B317,"mmm")</f>
        <v>Apr</v>
      </c>
      <c r="T284" s="83">
        <f>'Automated raw'!$G317*'Automated raw'!$M317</f>
        <v>135264</v>
      </c>
      <c r="U284" s="6">
        <f>IFERROR((Table7[[#This Row],[Stock In(Total)]]+Table7[[#This Row],[In Stock or Remaining]])/2,"-")</f>
        <v>103</v>
      </c>
      <c r="V284" s="93">
        <f>IFERROR(Table7[[#This Row],[Stock_Out]]/Table7[[#This Row],[Avg Inventory]],"-")</f>
        <v>0.79611650485436891</v>
      </c>
      <c r="W284" s="6"/>
      <c r="X284" s="6"/>
      <c r="Y284" s="6"/>
      <c r="Z284" s="6"/>
      <c r="AA284" s="6"/>
      <c r="AB284" s="6"/>
      <c r="AC284" s="6"/>
      <c r="AD284" s="6"/>
      <c r="AE284" s="6"/>
      <c r="AF284" s="6"/>
      <c r="AG284" s="6"/>
      <c r="AH284" s="6"/>
      <c r="AI284" s="6"/>
      <c r="AJ284" s="6"/>
      <c r="AK284" s="6"/>
      <c r="AL284" s="57" t="s">
        <v>481</v>
      </c>
      <c r="AM284" s="57">
        <v>45444</v>
      </c>
      <c r="AN284" s="57" t="s">
        <v>12</v>
      </c>
      <c r="AO284" s="57" t="s">
        <v>17</v>
      </c>
      <c r="AP284" s="57" t="s">
        <v>33</v>
      </c>
      <c r="AQ284" s="57" t="s">
        <v>23</v>
      </c>
      <c r="AR284" s="57">
        <v>65</v>
      </c>
      <c r="AS284" s="57" t="s">
        <v>568</v>
      </c>
      <c r="AT284" s="57">
        <v>214</v>
      </c>
      <c r="AU284" s="57">
        <v>59</v>
      </c>
      <c r="AV284" s="57">
        <v>13</v>
      </c>
      <c r="AW284" s="57">
        <v>1556</v>
      </c>
      <c r="AX284" s="57">
        <v>2404</v>
      </c>
      <c r="AY284" s="57" t="e">
        <v>#VALUE!</v>
      </c>
      <c r="AZ284" s="57" t="s">
        <v>569</v>
      </c>
      <c r="BA284" s="57" t="s">
        <v>23</v>
      </c>
      <c r="BB284" s="57">
        <v>0</v>
      </c>
      <c r="BC284" s="57" t="s">
        <v>552</v>
      </c>
      <c r="BD284" s="57" t="s">
        <v>559</v>
      </c>
      <c r="BE284" s="57">
        <v>156260</v>
      </c>
    </row>
    <row r="285" spans="1:57" x14ac:dyDescent="0.3">
      <c r="A285" s="44" t="s">
        <v>260</v>
      </c>
      <c r="B285" s="45">
        <v>45305</v>
      </c>
      <c r="C285" s="44" t="s">
        <v>53</v>
      </c>
      <c r="D285" s="44" t="s">
        <v>13</v>
      </c>
      <c r="E285" s="44" t="s">
        <v>38</v>
      </c>
      <c r="F285" s="40">
        <v>146</v>
      </c>
      <c r="G285" s="44">
        <v>118</v>
      </c>
      <c r="H285" s="44">
        <f>IFERROR('Automated raw'!$F229+'Automated raw'!$G229,"-")</f>
        <v>244</v>
      </c>
      <c r="I285" s="44">
        <v>155</v>
      </c>
      <c r="J285" s="44">
        <v>78</v>
      </c>
      <c r="K285" s="44">
        <v>8</v>
      </c>
      <c r="L285" s="44">
        <v>699</v>
      </c>
      <c r="M285" s="44">
        <v>1388</v>
      </c>
      <c r="N285" s="44">
        <f>'Automated raw'!$G229/'Automated raw'!$H229</f>
        <v>5.4210526315789478</v>
      </c>
      <c r="O285" s="46">
        <f>IFERROR('Automated raw'!$G229/'Automated raw'!$H229,"incomplete")</f>
        <v>5.4210526315789478</v>
      </c>
      <c r="P285" s="44">
        <f>'Automated raw'!$F229</f>
        <v>141</v>
      </c>
      <c r="Q285" s="47">
        <f>IFERROR('Automated raw'!$P229*'Automated raw'!$L229,0)</f>
        <v>9873</v>
      </c>
      <c r="R285" s="44" t="str">
        <f>IF('Automated raw'!$O229&gt;=60%,"High",IF('Automated raw'!$O229&gt;=30%,"Avg",IF('Automated raw'!$O229&lt;30%,"Dead Stock","Incomplete")))</f>
        <v>Dead Stock</v>
      </c>
      <c r="S285" s="48" t="str">
        <f>TEXT('Automated raw'!$B229,"mmm")</f>
        <v>Mar</v>
      </c>
      <c r="T285" s="83">
        <f>'Automated raw'!$G229*'Automated raw'!$M229</f>
        <v>138329</v>
      </c>
      <c r="U285" s="6">
        <f>IFERROR((Table7[[#This Row],[Stock In(Total)]]+Table7[[#This Row],[In Stock or Remaining]])/2,"-")</f>
        <v>195</v>
      </c>
      <c r="V285" s="93">
        <f>IFERROR(Table7[[#This Row],[Stock_Out]]/Table7[[#This Row],[Avg Inventory]],"-")</f>
        <v>0.60512820512820509</v>
      </c>
      <c r="W285" s="6"/>
      <c r="X285" s="6"/>
      <c r="Y285" s="6"/>
      <c r="Z285" s="6"/>
      <c r="AA285" s="6"/>
      <c r="AB285" s="6"/>
      <c r="AC285" s="6"/>
      <c r="AD285" s="6"/>
      <c r="AE285" s="6"/>
      <c r="AF285" s="6"/>
      <c r="AG285" s="6"/>
      <c r="AH285" s="6"/>
      <c r="AI285" s="6"/>
      <c r="AJ285" s="6"/>
      <c r="AK285" s="6"/>
      <c r="AL285" s="57" t="s">
        <v>129</v>
      </c>
      <c r="AM285" s="57">
        <v>45499</v>
      </c>
      <c r="AN285" s="57" t="s">
        <v>30</v>
      </c>
      <c r="AO285" s="57" t="s">
        <v>17</v>
      </c>
      <c r="AP285" s="57" t="s">
        <v>38</v>
      </c>
      <c r="AQ285" s="57">
        <v>27</v>
      </c>
      <c r="AR285" s="57">
        <v>89</v>
      </c>
      <c r="AS285" s="57">
        <v>116</v>
      </c>
      <c r="AT285" s="57">
        <v>54</v>
      </c>
      <c r="AU285" s="57">
        <v>72</v>
      </c>
      <c r="AV285" s="57">
        <v>11</v>
      </c>
      <c r="AW285" s="57">
        <v>1122</v>
      </c>
      <c r="AX285" s="57">
        <v>1755</v>
      </c>
      <c r="AY285" s="57">
        <v>0.76724137931034486</v>
      </c>
      <c r="AZ285" s="57">
        <v>0.76724137931034486</v>
      </c>
      <c r="BA285" s="57">
        <v>27</v>
      </c>
      <c r="BB285" s="57">
        <v>30294</v>
      </c>
      <c r="BC285" s="57" t="s">
        <v>552</v>
      </c>
      <c r="BD285" s="57" t="s">
        <v>556</v>
      </c>
      <c r="BE285" s="57">
        <v>156195</v>
      </c>
    </row>
    <row r="286" spans="1:57" x14ac:dyDescent="0.3">
      <c r="A286" s="38" t="s">
        <v>318</v>
      </c>
      <c r="B286" s="39">
        <v>45536</v>
      </c>
      <c r="C286" s="38" t="s">
        <v>12</v>
      </c>
      <c r="D286" s="38" t="s">
        <v>13</v>
      </c>
      <c r="E286" s="38" t="s">
        <v>33</v>
      </c>
      <c r="F286" s="40">
        <v>96</v>
      </c>
      <c r="G286" s="38">
        <v>39</v>
      </c>
      <c r="H286" s="38">
        <f>IFERROR('Automated raw'!$F286+'Automated raw'!$G286,"-")</f>
        <v>135</v>
      </c>
      <c r="I286" s="38">
        <v>132</v>
      </c>
      <c r="J286" s="38">
        <v>65</v>
      </c>
      <c r="K286" s="38">
        <v>13</v>
      </c>
      <c r="L286" s="38">
        <v>378</v>
      </c>
      <c r="M286" s="38">
        <v>1195</v>
      </c>
      <c r="N286" s="38">
        <f>'Automated raw'!$G286/'Automated raw'!$H286</f>
        <v>0.28888888888888886</v>
      </c>
      <c r="O286" s="41">
        <f>IFERROR('Automated raw'!$G286/'Automated raw'!$H286,"incomplete")</f>
        <v>0.28888888888888886</v>
      </c>
      <c r="P286" s="38">
        <f>'Automated raw'!$F286</f>
        <v>96</v>
      </c>
      <c r="Q286" s="42">
        <f>IFERROR('Automated raw'!$P286*'Automated raw'!$L286,0)</f>
        <v>36288</v>
      </c>
      <c r="R286" s="38" t="str">
        <f>IF('Automated raw'!$O286&gt;=60%,"High",IF('Automated raw'!$O286&gt;=30%,"Avg",IF('Automated raw'!$O286&lt;30%,"Dead Stock","Incomplete")))</f>
        <v>Dead Stock</v>
      </c>
      <c r="S286" s="43" t="str">
        <f>TEXT('Automated raw'!$B286,"mmm")</f>
        <v>Sep</v>
      </c>
      <c r="T286" s="82">
        <f>'Automated raw'!$G286*'Automated raw'!$M286</f>
        <v>46605</v>
      </c>
      <c r="U286" s="6">
        <f>IFERROR((Table7[[#This Row],[Stock In(Total)]]+Table7[[#This Row],[In Stock or Remaining]])/2,"-")</f>
        <v>115.5</v>
      </c>
      <c r="V286" s="93">
        <f>IFERROR(Table7[[#This Row],[Stock_Out]]/Table7[[#This Row],[Avg Inventory]],"-")</f>
        <v>0.33766233766233766</v>
      </c>
      <c r="W286" s="6"/>
      <c r="X286" s="6"/>
      <c r="Y286" s="6"/>
      <c r="Z286" s="6"/>
      <c r="AA286" s="6"/>
      <c r="AB286" s="6"/>
      <c r="AC286" s="6"/>
      <c r="AD286" s="6"/>
      <c r="AE286" s="6"/>
      <c r="AF286" s="6"/>
      <c r="AG286" s="6"/>
      <c r="AH286" s="6"/>
      <c r="AI286" s="6"/>
      <c r="AJ286" s="6"/>
      <c r="AK286" s="6"/>
      <c r="AL286" s="56" t="s">
        <v>380</v>
      </c>
      <c r="AM286" s="56">
        <v>45644</v>
      </c>
      <c r="AN286" s="56" t="s">
        <v>16</v>
      </c>
      <c r="AO286" s="56" t="s">
        <v>17</v>
      </c>
      <c r="AP286" s="56" t="s">
        <v>38</v>
      </c>
      <c r="AQ286" s="56">
        <v>9</v>
      </c>
      <c r="AR286" s="56">
        <v>62</v>
      </c>
      <c r="AS286" s="56">
        <v>71</v>
      </c>
      <c r="AT286" s="56">
        <v>99</v>
      </c>
      <c r="AU286" s="56">
        <v>37</v>
      </c>
      <c r="AV286" s="56">
        <v>8</v>
      </c>
      <c r="AW286" s="56">
        <v>1284</v>
      </c>
      <c r="AX286" s="56">
        <v>2402</v>
      </c>
      <c r="AY286" s="56">
        <v>0.87323943661971826</v>
      </c>
      <c r="AZ286" s="56">
        <v>0.87323943661971826</v>
      </c>
      <c r="BA286" s="56">
        <v>9</v>
      </c>
      <c r="BB286" s="56">
        <v>11556</v>
      </c>
      <c r="BC286" s="56" t="s">
        <v>552</v>
      </c>
      <c r="BD286" s="56" t="s">
        <v>563</v>
      </c>
      <c r="BE286" s="56">
        <v>148924</v>
      </c>
    </row>
    <row r="287" spans="1:57" x14ac:dyDescent="0.3">
      <c r="A287" s="44" t="s">
        <v>319</v>
      </c>
      <c r="B287" s="45">
        <v>45380</v>
      </c>
      <c r="C287" s="44" t="s">
        <v>30</v>
      </c>
      <c r="D287" s="44" t="s">
        <v>17</v>
      </c>
      <c r="E287" s="44" t="s">
        <v>38</v>
      </c>
      <c r="F287" s="40">
        <v>127</v>
      </c>
      <c r="G287" s="44">
        <v>15</v>
      </c>
      <c r="H287" s="44">
        <f>IFERROR('Automated raw'!$F287+'Automated raw'!$G287,"-")</f>
        <v>142</v>
      </c>
      <c r="I287" s="44">
        <v>83</v>
      </c>
      <c r="J287" s="44">
        <v>64</v>
      </c>
      <c r="K287" s="44">
        <v>13</v>
      </c>
      <c r="L287" s="44">
        <v>991</v>
      </c>
      <c r="M287" s="44">
        <v>2331</v>
      </c>
      <c r="N287" s="44">
        <f>'Automated raw'!$G287/'Automated raw'!$H287</f>
        <v>0.10563380281690141</v>
      </c>
      <c r="O287" s="46">
        <f>IFERROR('Automated raw'!$G287/'Automated raw'!$H287,"incomplete")</f>
        <v>0.10563380281690141</v>
      </c>
      <c r="P287" s="44">
        <f>'Automated raw'!$F287</f>
        <v>127</v>
      </c>
      <c r="Q287" s="47">
        <f>IFERROR('Automated raw'!$P287*'Automated raw'!$L287,0)</f>
        <v>125857</v>
      </c>
      <c r="R287" s="44" t="str">
        <f>IF('Automated raw'!$O287&gt;=60%,"High",IF('Automated raw'!$O287&gt;=30%,"Avg",IF('Automated raw'!$O287&lt;30%,"Dead Stock","Incomplete")))</f>
        <v>Dead Stock</v>
      </c>
      <c r="S287" s="48" t="str">
        <f>TEXT('Automated raw'!$B287,"mmm")</f>
        <v>Mar</v>
      </c>
      <c r="T287" s="83">
        <f>'Automated raw'!$G287*'Automated raw'!$M287</f>
        <v>34965</v>
      </c>
      <c r="U287" s="6">
        <f>IFERROR((Table7[[#This Row],[Stock In(Total)]]+Table7[[#This Row],[In Stock or Remaining]])/2,"-")</f>
        <v>134.5</v>
      </c>
      <c r="V287" s="93">
        <f>IFERROR(Table7[[#This Row],[Stock_Out]]/Table7[[#This Row],[Avg Inventory]],"-")</f>
        <v>0.11152416356877323</v>
      </c>
      <c r="W287" s="6"/>
      <c r="X287" s="6"/>
      <c r="Y287" s="6"/>
      <c r="Z287" s="6"/>
      <c r="AA287" s="6"/>
      <c r="AB287" s="6"/>
      <c r="AC287" s="6"/>
      <c r="AD287" s="6"/>
      <c r="AE287" s="6"/>
      <c r="AF287" s="6"/>
      <c r="AG287" s="6"/>
      <c r="AH287" s="6"/>
      <c r="AI287" s="6"/>
      <c r="AJ287" s="6"/>
      <c r="AK287" s="6"/>
      <c r="AL287" s="57" t="s">
        <v>122</v>
      </c>
      <c r="AM287" s="57">
        <v>45488</v>
      </c>
      <c r="AN287" s="57" t="s">
        <v>37</v>
      </c>
      <c r="AO287" s="57" t="s">
        <v>20</v>
      </c>
      <c r="AP287" s="57" t="s">
        <v>21</v>
      </c>
      <c r="AQ287" s="57">
        <v>28</v>
      </c>
      <c r="AR287" s="57">
        <v>74</v>
      </c>
      <c r="AS287" s="57">
        <v>102</v>
      </c>
      <c r="AT287" s="57">
        <v>2</v>
      </c>
      <c r="AU287" s="57">
        <v>45</v>
      </c>
      <c r="AV287" s="57">
        <v>11</v>
      </c>
      <c r="AW287" s="57">
        <v>600</v>
      </c>
      <c r="AX287" s="57">
        <v>1986</v>
      </c>
      <c r="AY287" s="57">
        <v>0.72549019607843135</v>
      </c>
      <c r="AZ287" s="57">
        <v>0.72549019607843135</v>
      </c>
      <c r="BA287" s="57">
        <v>28</v>
      </c>
      <c r="BB287" s="57">
        <v>16800</v>
      </c>
      <c r="BC287" s="57" t="s">
        <v>552</v>
      </c>
      <c r="BD287" s="57" t="s">
        <v>556</v>
      </c>
      <c r="BE287" s="57">
        <v>146964</v>
      </c>
    </row>
    <row r="288" spans="1:57" x14ac:dyDescent="0.3">
      <c r="A288" s="38" t="s">
        <v>236</v>
      </c>
      <c r="B288" s="39">
        <v>45570</v>
      </c>
      <c r="C288" s="38" t="s">
        <v>53</v>
      </c>
      <c r="D288" s="38" t="s">
        <v>17</v>
      </c>
      <c r="E288" s="38" t="s">
        <v>33</v>
      </c>
      <c r="F288" s="40">
        <v>147</v>
      </c>
      <c r="G288" s="38">
        <v>119</v>
      </c>
      <c r="H288" s="38">
        <f>IFERROR('Automated raw'!$F206+'Automated raw'!$G206,"-")</f>
        <v>229</v>
      </c>
      <c r="I288" s="38">
        <v>157</v>
      </c>
      <c r="J288" s="38">
        <v>71</v>
      </c>
      <c r="K288" s="38">
        <v>4</v>
      </c>
      <c r="L288" s="38">
        <v>1608</v>
      </c>
      <c r="M288" s="38">
        <v>3042</v>
      </c>
      <c r="N288" s="38">
        <f>'Automated raw'!$G206/'Automated raw'!$H206</f>
        <v>0.51396648044692739</v>
      </c>
      <c r="O288" s="41">
        <f>IFERROR('Automated raw'!$G206/'Automated raw'!$H206,"incomplete")</f>
        <v>0.51396648044692739</v>
      </c>
      <c r="P288" s="38">
        <f>'Automated raw'!$F206</f>
        <v>137</v>
      </c>
      <c r="Q288" s="42">
        <f>IFERROR('Automated raw'!$P206*'Automated raw'!$L206,0)</f>
        <v>64977</v>
      </c>
      <c r="R288" s="38" t="str">
        <f>IF('Automated raw'!$O206&gt;=60%,"High",IF('Automated raw'!$O206&gt;=30%,"Avg",IF('Automated raw'!$O206&lt;30%,"Dead Stock","Incomplete")))</f>
        <v>Dead Stock</v>
      </c>
      <c r="S288" s="43" t="str">
        <f>TEXT('Automated raw'!$B206,"mmm")</f>
        <v>Mar</v>
      </c>
      <c r="T288" s="82">
        <f>'Automated raw'!$G206*'Automated raw'!$M206</f>
        <v>175260</v>
      </c>
      <c r="U288" s="6">
        <f>IFERROR((Table7[[#This Row],[Stock In(Total)]]+Table7[[#This Row],[In Stock or Remaining]])/2,"-")</f>
        <v>188</v>
      </c>
      <c r="V288" s="93">
        <f>IFERROR(Table7[[#This Row],[Stock_Out]]/Table7[[#This Row],[Avg Inventory]],"-")</f>
        <v>0.63297872340425532</v>
      </c>
      <c r="W288" s="6"/>
      <c r="X288" s="6"/>
      <c r="Y288" s="6"/>
      <c r="Z288" s="6"/>
      <c r="AA288" s="6"/>
      <c r="AB288" s="6"/>
      <c r="AC288" s="6"/>
      <c r="AD288" s="6"/>
      <c r="AE288" s="6"/>
      <c r="AF288" s="6"/>
      <c r="AG288" s="6"/>
      <c r="AH288" s="6"/>
      <c r="AI288" s="6"/>
      <c r="AJ288" s="6"/>
      <c r="AK288" s="6"/>
      <c r="AL288" s="56" t="s">
        <v>483</v>
      </c>
      <c r="AM288" s="56">
        <v>45647</v>
      </c>
      <c r="AN288" s="56" t="s">
        <v>12</v>
      </c>
      <c r="AO288" s="56" t="s">
        <v>13</v>
      </c>
      <c r="AP288" s="56" t="s">
        <v>38</v>
      </c>
      <c r="AQ288" s="56">
        <v>48</v>
      </c>
      <c r="AR288" s="56">
        <v>77</v>
      </c>
      <c r="AS288" s="56">
        <v>125</v>
      </c>
      <c r="AT288" s="56">
        <v>267</v>
      </c>
      <c r="AU288" s="56">
        <v>68</v>
      </c>
      <c r="AV288" s="56">
        <v>8</v>
      </c>
      <c r="AW288" s="56">
        <v>865</v>
      </c>
      <c r="AX288" s="56">
        <v>1878</v>
      </c>
      <c r="AY288" s="56">
        <v>0.61599999999999999</v>
      </c>
      <c r="AZ288" s="56">
        <v>0.61599999999999999</v>
      </c>
      <c r="BA288" s="56">
        <v>48</v>
      </c>
      <c r="BB288" s="56">
        <v>41520</v>
      </c>
      <c r="BC288" s="56" t="s">
        <v>552</v>
      </c>
      <c r="BD288" s="56" t="s">
        <v>563</v>
      </c>
      <c r="BE288" s="56">
        <v>144606</v>
      </c>
    </row>
    <row r="289" spans="1:57" x14ac:dyDescent="0.3">
      <c r="A289" s="44" t="s">
        <v>332</v>
      </c>
      <c r="B289" s="45">
        <v>45653</v>
      </c>
      <c r="C289" s="44" t="s">
        <v>16</v>
      </c>
      <c r="D289" s="44" t="s">
        <v>20</v>
      </c>
      <c r="E289" s="44" t="s">
        <v>38</v>
      </c>
      <c r="F289" s="40">
        <v>93</v>
      </c>
      <c r="G289" s="44">
        <v>76</v>
      </c>
      <c r="H289" s="44">
        <f>IFERROR('Automated raw'!$F299+'Automated raw'!$G299,"-")</f>
        <v>51</v>
      </c>
      <c r="I289" s="44">
        <v>242</v>
      </c>
      <c r="J289" s="44">
        <v>56</v>
      </c>
      <c r="K289" s="44">
        <v>4</v>
      </c>
      <c r="L289" s="44">
        <v>1981</v>
      </c>
      <c r="M289" s="44">
        <v>3243</v>
      </c>
      <c r="N289" s="44">
        <f>'Automated raw'!$G299/'Automated raw'!$H299</f>
        <v>9.9567099567099568E-2</v>
      </c>
      <c r="O289" s="46">
        <f>IFERROR('Automated raw'!$G299/'Automated raw'!$H299,"incomplete")</f>
        <v>9.9567099567099568E-2</v>
      </c>
      <c r="P289" s="44">
        <f>'Automated raw'!$F299</f>
        <v>28</v>
      </c>
      <c r="Q289" s="47">
        <f>IFERROR('Automated raw'!$P299*'Automated raw'!$L299,0)</f>
        <v>30744</v>
      </c>
      <c r="R289" s="44" t="str">
        <f>IF('Automated raw'!$O299&gt;=60%,"High",IF('Automated raw'!$O299&gt;=30%,"Avg",IF('Automated raw'!$O299&lt;30%,"Dead Stock","Incomplete")))</f>
        <v>High</v>
      </c>
      <c r="S289" s="48" t="str">
        <f>TEXT('Automated raw'!$B299,"mmm")</f>
        <v>Feb</v>
      </c>
      <c r="T289" s="83">
        <f>'Automated raw'!$G299*'Automated raw'!$M299</f>
        <v>31395</v>
      </c>
      <c r="U289" s="6">
        <f>IFERROR((Table7[[#This Row],[Stock In(Total)]]+Table7[[#This Row],[In Stock or Remaining]])/2,"-")</f>
        <v>72</v>
      </c>
      <c r="V289" s="93">
        <f>IFERROR(Table7[[#This Row],[Stock_Out]]/Table7[[#This Row],[Avg Inventory]],"-")</f>
        <v>1.0555555555555556</v>
      </c>
      <c r="W289" s="6"/>
      <c r="X289" s="6"/>
      <c r="Y289" s="6"/>
      <c r="Z289" s="6"/>
      <c r="AA289" s="6"/>
      <c r="AB289" s="6"/>
      <c r="AC289" s="6"/>
      <c r="AD289" s="6"/>
      <c r="AE289" s="6"/>
      <c r="AF289" s="6"/>
      <c r="AG289" s="6"/>
      <c r="AH289" s="6"/>
      <c r="AI289" s="6"/>
      <c r="AJ289" s="6"/>
      <c r="AK289" s="6"/>
      <c r="AL289" s="56" t="s">
        <v>140</v>
      </c>
      <c r="AM289" s="56">
        <v>45599</v>
      </c>
      <c r="AN289" s="56" t="s">
        <v>19</v>
      </c>
      <c r="AO289" s="56" t="s">
        <v>17</v>
      </c>
      <c r="AP289" s="56" t="s">
        <v>38</v>
      </c>
      <c r="AQ289" s="56">
        <v>20</v>
      </c>
      <c r="AR289" s="56">
        <v>88</v>
      </c>
      <c r="AS289" s="56">
        <v>108</v>
      </c>
      <c r="AT289" s="56">
        <v>166</v>
      </c>
      <c r="AU289" s="56">
        <v>68</v>
      </c>
      <c r="AV289" s="56">
        <v>3</v>
      </c>
      <c r="AW289" s="56">
        <v>1207</v>
      </c>
      <c r="AX289" s="56">
        <v>1635</v>
      </c>
      <c r="AY289" s="56">
        <v>0.81481481481481477</v>
      </c>
      <c r="AZ289" s="56">
        <v>0.81481481481481477</v>
      </c>
      <c r="BA289" s="56">
        <v>20</v>
      </c>
      <c r="BB289" s="56">
        <v>24140</v>
      </c>
      <c r="BC289" s="56" t="s">
        <v>552</v>
      </c>
      <c r="BD289" s="56" t="s">
        <v>564</v>
      </c>
      <c r="BE289" s="56">
        <v>143880</v>
      </c>
    </row>
    <row r="290" spans="1:57" x14ac:dyDescent="0.3">
      <c r="A290" s="38" t="s">
        <v>527</v>
      </c>
      <c r="B290" s="39">
        <v>45295</v>
      </c>
      <c r="C290" s="38" t="s">
        <v>45</v>
      </c>
      <c r="D290" s="38" t="s">
        <v>13</v>
      </c>
      <c r="E290" s="38" t="s">
        <v>14</v>
      </c>
      <c r="F290" s="40">
        <v>137</v>
      </c>
      <c r="G290" s="38">
        <v>112</v>
      </c>
      <c r="H290" s="38">
        <f>IFERROR('Automated raw'!$F494+'Automated raw'!$G494,"-")</f>
        <v>125</v>
      </c>
      <c r="I290" s="38">
        <v>4</v>
      </c>
      <c r="J290" s="38">
        <v>72</v>
      </c>
      <c r="K290" s="38">
        <v>13</v>
      </c>
      <c r="L290" s="38">
        <v>1540</v>
      </c>
      <c r="M290" s="38">
        <v>2889</v>
      </c>
      <c r="N290" s="38">
        <f>'Automated raw'!$G494/'Automated raw'!$H494</f>
        <v>0.92500000000000004</v>
      </c>
      <c r="O290" s="41">
        <f>IFERROR('Automated raw'!$G494/'Automated raw'!$H494,"incomplete")</f>
        <v>0.92500000000000004</v>
      </c>
      <c r="P290" s="38">
        <f>'Automated raw'!$F494</f>
        <v>51</v>
      </c>
      <c r="Q290" s="42">
        <f>IFERROR('Automated raw'!$P494*'Automated raw'!$L494,0)</f>
        <v>11172</v>
      </c>
      <c r="R290" s="38" t="str">
        <f>IF('Automated raw'!$O494&gt;=60%,"High",IF('Automated raw'!$O494&gt;=30%,"Avg",IF('Automated raw'!$O494&lt;30%,"Dead Stock","Incomplete")))</f>
        <v>Dead Stock</v>
      </c>
      <c r="S290" s="43" t="str">
        <f>TEXT('Automated raw'!$B494,"mmm")</f>
        <v>Nov</v>
      </c>
      <c r="T290" s="82">
        <f>'Automated raw'!$G494*'Automated raw'!$M494</f>
        <v>102342</v>
      </c>
      <c r="U290" s="6">
        <f>IFERROR((Table7[[#This Row],[Stock In(Total)]]+Table7[[#This Row],[In Stock or Remaining]])/2,"-")</f>
        <v>131</v>
      </c>
      <c r="V290" s="93">
        <f>IFERROR(Table7[[#This Row],[Stock_Out]]/Table7[[#This Row],[Avg Inventory]],"-")</f>
        <v>0.85496183206106868</v>
      </c>
      <c r="W290" s="6"/>
      <c r="X290" s="6"/>
      <c r="Y290" s="6"/>
      <c r="Z290" s="6"/>
      <c r="AA290" s="6"/>
      <c r="AB290" s="6"/>
      <c r="AC290" s="6"/>
      <c r="AD290" s="6"/>
      <c r="AE290" s="6"/>
      <c r="AF290" s="6"/>
      <c r="AG290" s="6"/>
      <c r="AH290" s="6"/>
      <c r="AI290" s="6"/>
      <c r="AJ290" s="6"/>
      <c r="AK290" s="6"/>
      <c r="AL290" s="56" t="s">
        <v>47</v>
      </c>
      <c r="AM290" s="56">
        <v>45323</v>
      </c>
      <c r="AN290" s="56" t="s">
        <v>16</v>
      </c>
      <c r="AO290" s="56" t="s">
        <v>20</v>
      </c>
      <c r="AP290" s="56" t="s">
        <v>33</v>
      </c>
      <c r="AQ290" s="56">
        <v>64</v>
      </c>
      <c r="AR290" s="56">
        <v>96</v>
      </c>
      <c r="AS290" s="56">
        <v>160</v>
      </c>
      <c r="AT290" s="56">
        <v>119</v>
      </c>
      <c r="AU290" s="56">
        <v>50</v>
      </c>
      <c r="AV290" s="56">
        <v>12</v>
      </c>
      <c r="AW290" s="56">
        <v>1098</v>
      </c>
      <c r="AX290" s="56">
        <v>1479</v>
      </c>
      <c r="AY290" s="56">
        <v>0.6</v>
      </c>
      <c r="AZ290" s="56">
        <v>0.6</v>
      </c>
      <c r="BA290" s="56">
        <v>64</v>
      </c>
      <c r="BB290" s="56">
        <v>70272</v>
      </c>
      <c r="BC290" s="56" t="s">
        <v>552</v>
      </c>
      <c r="BD290" s="56" t="s">
        <v>555</v>
      </c>
      <c r="BE290" s="56">
        <v>141984</v>
      </c>
    </row>
    <row r="291" spans="1:57" x14ac:dyDescent="0.3">
      <c r="A291" s="44" t="s">
        <v>323</v>
      </c>
      <c r="B291" s="45">
        <v>45508</v>
      </c>
      <c r="C291" s="44" t="s">
        <v>37</v>
      </c>
      <c r="D291" s="44" t="s">
        <v>17</v>
      </c>
      <c r="E291" s="44" t="s">
        <v>33</v>
      </c>
      <c r="F291" s="40">
        <v>32</v>
      </c>
      <c r="G291" s="44">
        <v>116</v>
      </c>
      <c r="H291" s="44">
        <f>IFERROR('Automated raw'!$F291+'Automated raw'!$G291,"-")</f>
        <v>148</v>
      </c>
      <c r="I291" s="44">
        <v>62</v>
      </c>
      <c r="J291" s="44">
        <v>40</v>
      </c>
      <c r="K291" s="44">
        <v>11</v>
      </c>
      <c r="L291" s="44">
        <v>1576</v>
      </c>
      <c r="M291" s="44">
        <v>2774</v>
      </c>
      <c r="N291" s="44">
        <f>'Automated raw'!$G291/'Automated raw'!$H291</f>
        <v>0.78378378378378377</v>
      </c>
      <c r="O291" s="46">
        <f>IFERROR('Automated raw'!$G291/'Automated raw'!$H291,"incomplete")</f>
        <v>0.78378378378378377</v>
      </c>
      <c r="P291" s="44">
        <f>'Automated raw'!$F291</f>
        <v>32</v>
      </c>
      <c r="Q291" s="47">
        <f>IFERROR('Automated raw'!$P291*'Automated raw'!$L291,0)</f>
        <v>50432</v>
      </c>
      <c r="R291" s="44" t="str">
        <f>IF('Automated raw'!$O291&gt;=60%,"High",IF('Automated raw'!$O291&gt;=30%,"Avg",IF('Automated raw'!$O291&lt;30%,"Dead Stock","Incomplete")))</f>
        <v>High</v>
      </c>
      <c r="S291" s="48" t="str">
        <f>TEXT('Automated raw'!$B291,"mmm")</f>
        <v>Aug</v>
      </c>
      <c r="T291" s="83">
        <f>'Automated raw'!$G291*'Automated raw'!$M291</f>
        <v>321784</v>
      </c>
      <c r="U291" s="6">
        <f>IFERROR((Table7[[#This Row],[Stock In(Total)]]+Table7[[#This Row],[In Stock or Remaining]])/2,"-")</f>
        <v>90</v>
      </c>
      <c r="V291" s="93">
        <f>IFERROR(Table7[[#This Row],[Stock_Out]]/Table7[[#This Row],[Avg Inventory]],"-")</f>
        <v>1.288888888888889</v>
      </c>
      <c r="W291" s="6"/>
      <c r="X291" s="6"/>
      <c r="Y291" s="6"/>
      <c r="Z291" s="6"/>
      <c r="AA291" s="6"/>
      <c r="AB291" s="6"/>
      <c r="AC291" s="6"/>
      <c r="AD291" s="6"/>
      <c r="AE291" s="6"/>
      <c r="AF291" s="6"/>
      <c r="AG291" s="6"/>
      <c r="AH291" s="6"/>
      <c r="AI291" s="6"/>
      <c r="AJ291" s="6"/>
      <c r="AK291" s="6"/>
      <c r="AL291" s="57" t="s">
        <v>216</v>
      </c>
      <c r="AM291" s="57">
        <v>45513</v>
      </c>
      <c r="AN291" s="57" t="s">
        <v>26</v>
      </c>
      <c r="AO291" s="57" t="s">
        <v>13</v>
      </c>
      <c r="AP291" s="57" t="s">
        <v>14</v>
      </c>
      <c r="AQ291" s="57" t="s">
        <v>23</v>
      </c>
      <c r="AR291" s="57">
        <v>47</v>
      </c>
      <c r="AS291" s="57" t="s">
        <v>568</v>
      </c>
      <c r="AT291" s="57">
        <v>89</v>
      </c>
      <c r="AU291" s="57">
        <v>41</v>
      </c>
      <c r="AV291" s="57">
        <v>12</v>
      </c>
      <c r="AW291" s="57">
        <v>1695</v>
      </c>
      <c r="AX291" s="57">
        <v>3017</v>
      </c>
      <c r="AY291" s="57" t="e">
        <v>#VALUE!</v>
      </c>
      <c r="AZ291" s="57" t="s">
        <v>569</v>
      </c>
      <c r="BA291" s="57" t="s">
        <v>23</v>
      </c>
      <c r="BB291" s="57">
        <v>0</v>
      </c>
      <c r="BC291" s="57" t="s">
        <v>552</v>
      </c>
      <c r="BD291" s="57" t="s">
        <v>554</v>
      </c>
      <c r="BE291" s="57">
        <v>141799</v>
      </c>
    </row>
    <row r="292" spans="1:57" x14ac:dyDescent="0.3">
      <c r="A292" s="38" t="s">
        <v>324</v>
      </c>
      <c r="B292" s="39">
        <v>45527</v>
      </c>
      <c r="C292" s="38" t="s">
        <v>45</v>
      </c>
      <c r="D292" s="38" t="s">
        <v>17</v>
      </c>
      <c r="E292" s="38" t="s">
        <v>21</v>
      </c>
      <c r="F292" s="40">
        <v>131</v>
      </c>
      <c r="G292" s="38">
        <v>21</v>
      </c>
      <c r="H292" s="38">
        <f>IFERROR('Automated raw'!$F292+'Automated raw'!$G292,"-")</f>
        <v>152</v>
      </c>
      <c r="I292" s="38">
        <v>1</v>
      </c>
      <c r="J292" s="38">
        <v>58</v>
      </c>
      <c r="K292" s="38">
        <v>9</v>
      </c>
      <c r="L292" s="38">
        <v>591</v>
      </c>
      <c r="M292" s="38">
        <v>1121</v>
      </c>
      <c r="N292" s="38">
        <f>'Automated raw'!$G292/'Automated raw'!$H292</f>
        <v>0.13815789473684212</v>
      </c>
      <c r="O292" s="41">
        <f>IFERROR('Automated raw'!$G292/'Automated raw'!$H292,"incomplete")</f>
        <v>0.13815789473684212</v>
      </c>
      <c r="P292" s="38">
        <f>'Automated raw'!$F292</f>
        <v>131</v>
      </c>
      <c r="Q292" s="42">
        <f>IFERROR('Automated raw'!$P292*'Automated raw'!$L292,0)</f>
        <v>77421</v>
      </c>
      <c r="R292" s="38" t="str">
        <f>IF('Automated raw'!$O292&gt;=60%,"High",IF('Automated raw'!$O292&gt;=30%,"Avg",IF('Automated raw'!$O292&lt;30%,"Dead Stock","Incomplete")))</f>
        <v>Dead Stock</v>
      </c>
      <c r="S292" s="43" t="str">
        <f>TEXT('Automated raw'!$B292,"mmm")</f>
        <v>Aug</v>
      </c>
      <c r="T292" s="82">
        <f>'Automated raw'!$G292*'Automated raw'!$M292</f>
        <v>23541</v>
      </c>
      <c r="U292" s="6">
        <f>IFERROR((Table7[[#This Row],[Stock In(Total)]]+Table7[[#This Row],[In Stock or Remaining]])/2,"-")</f>
        <v>141.5</v>
      </c>
      <c r="V292" s="93">
        <f>IFERROR(Table7[[#This Row],[Stock_Out]]/Table7[[#This Row],[Avg Inventory]],"-")</f>
        <v>0.14840989399293286</v>
      </c>
      <c r="W292" s="6"/>
      <c r="X292" s="6"/>
      <c r="Y292" s="6"/>
      <c r="Z292" s="6"/>
      <c r="AA292" s="6"/>
      <c r="AB292" s="6"/>
      <c r="AC292" s="6"/>
      <c r="AD292" s="6"/>
      <c r="AE292" s="6"/>
      <c r="AF292" s="6"/>
      <c r="AG292" s="6"/>
      <c r="AH292" s="6"/>
      <c r="AI292" s="6"/>
      <c r="AJ292" s="6"/>
      <c r="AK292" s="6"/>
      <c r="AL292" s="57" t="s">
        <v>467</v>
      </c>
      <c r="AM292" s="57">
        <v>45385</v>
      </c>
      <c r="AN292" s="57" t="s">
        <v>30</v>
      </c>
      <c r="AO292" s="57" t="s">
        <v>17</v>
      </c>
      <c r="AP292" s="57" t="s">
        <v>14</v>
      </c>
      <c r="AQ292" s="57">
        <v>22</v>
      </c>
      <c r="AR292" s="57">
        <v>47</v>
      </c>
      <c r="AS292" s="57">
        <v>69</v>
      </c>
      <c r="AT292" s="57">
        <v>51</v>
      </c>
      <c r="AU292" s="57">
        <v>73</v>
      </c>
      <c r="AV292" s="57">
        <v>12</v>
      </c>
      <c r="AW292" s="57">
        <v>1779</v>
      </c>
      <c r="AX292" s="57">
        <v>2952</v>
      </c>
      <c r="AY292" s="57">
        <v>0.6811594202898551</v>
      </c>
      <c r="AZ292" s="57">
        <v>0.6811594202898551</v>
      </c>
      <c r="BA292" s="57">
        <v>22</v>
      </c>
      <c r="BB292" s="57">
        <v>39138</v>
      </c>
      <c r="BC292" s="57" t="s">
        <v>552</v>
      </c>
      <c r="BD292" s="57" t="s">
        <v>558</v>
      </c>
      <c r="BE292" s="57">
        <v>138744</v>
      </c>
    </row>
    <row r="293" spans="1:57" x14ac:dyDescent="0.3">
      <c r="A293" s="44" t="s">
        <v>325</v>
      </c>
      <c r="B293" s="45">
        <v>45504</v>
      </c>
      <c r="C293" s="44" t="s">
        <v>19</v>
      </c>
      <c r="D293" s="44" t="s">
        <v>20</v>
      </c>
      <c r="E293" s="44" t="s">
        <v>38</v>
      </c>
      <c r="F293" s="40">
        <v>82</v>
      </c>
      <c r="G293" s="44">
        <v>23</v>
      </c>
      <c r="H293" s="44">
        <f>IFERROR('Automated raw'!$F293+'Automated raw'!$G293,"-")</f>
        <v>105</v>
      </c>
      <c r="I293" s="44">
        <v>285</v>
      </c>
      <c r="J293" s="44">
        <v>52</v>
      </c>
      <c r="K293" s="44">
        <v>8</v>
      </c>
      <c r="L293" s="44">
        <v>604</v>
      </c>
      <c r="M293" s="44">
        <v>719</v>
      </c>
      <c r="N293" s="44">
        <f>'Automated raw'!$G293/'Automated raw'!$H293</f>
        <v>0.21904761904761905</v>
      </c>
      <c r="O293" s="46">
        <f>IFERROR('Automated raw'!$G293/'Automated raw'!$H293,"incomplete")</f>
        <v>0.21904761904761905</v>
      </c>
      <c r="P293" s="44">
        <f>'Automated raw'!$F293</f>
        <v>82</v>
      </c>
      <c r="Q293" s="47">
        <f>IFERROR('Automated raw'!$P293*'Automated raw'!$L293,0)</f>
        <v>49528</v>
      </c>
      <c r="R293" s="44" t="str">
        <f>IF('Automated raw'!$O293&gt;=60%,"High",IF('Automated raw'!$O293&gt;=30%,"Avg",IF('Automated raw'!$O293&lt;30%,"Dead Stock","Incomplete")))</f>
        <v>Dead Stock</v>
      </c>
      <c r="S293" s="48" t="str">
        <f>TEXT('Automated raw'!$B293,"mmm")</f>
        <v>Jul</v>
      </c>
      <c r="T293" s="83">
        <f>'Automated raw'!$G293*'Automated raw'!$M293</f>
        <v>16537</v>
      </c>
      <c r="U293" s="6">
        <f>IFERROR((Table7[[#This Row],[Stock In(Total)]]+Table7[[#This Row],[In Stock or Remaining]])/2,"-")</f>
        <v>93.5</v>
      </c>
      <c r="V293" s="93">
        <f>IFERROR(Table7[[#This Row],[Stock_Out]]/Table7[[#This Row],[Avg Inventory]],"-")</f>
        <v>0.24598930481283424</v>
      </c>
      <c r="W293" s="6"/>
      <c r="X293" s="6"/>
      <c r="Y293" s="6"/>
      <c r="Z293" s="6"/>
      <c r="AA293" s="6"/>
      <c r="AB293" s="6"/>
      <c r="AC293" s="6"/>
      <c r="AD293" s="6"/>
      <c r="AE293" s="6"/>
      <c r="AF293" s="6"/>
      <c r="AG293" s="6"/>
      <c r="AH293" s="6"/>
      <c r="AI293" s="6"/>
      <c r="AJ293" s="6"/>
      <c r="AK293" s="6"/>
      <c r="AL293" s="56" t="s">
        <v>191</v>
      </c>
      <c r="AM293" s="56">
        <v>45592</v>
      </c>
      <c r="AN293" s="56" t="s">
        <v>26</v>
      </c>
      <c r="AO293" s="56" t="s">
        <v>17</v>
      </c>
      <c r="AP293" s="56" t="s">
        <v>21</v>
      </c>
      <c r="AQ293" s="56">
        <v>18</v>
      </c>
      <c r="AR293" s="56">
        <v>95</v>
      </c>
      <c r="AS293" s="56">
        <v>113</v>
      </c>
      <c r="AT293" s="56">
        <v>197</v>
      </c>
      <c r="AU293" s="56">
        <v>61</v>
      </c>
      <c r="AV293" s="56">
        <v>9</v>
      </c>
      <c r="AW293" s="56">
        <v>228</v>
      </c>
      <c r="AX293" s="56">
        <v>1395</v>
      </c>
      <c r="AY293" s="56">
        <v>0.84070796460176989</v>
      </c>
      <c r="AZ293" s="56">
        <v>0.84070796460176989</v>
      </c>
      <c r="BA293" s="56">
        <v>18</v>
      </c>
      <c r="BB293" s="56">
        <v>4104</v>
      </c>
      <c r="BC293" s="56" t="s">
        <v>552</v>
      </c>
      <c r="BD293" s="56" t="s">
        <v>565</v>
      </c>
      <c r="BE293" s="56">
        <v>132525</v>
      </c>
    </row>
    <row r="294" spans="1:57" x14ac:dyDescent="0.3">
      <c r="A294" s="38" t="s">
        <v>326</v>
      </c>
      <c r="B294" s="39">
        <v>45520</v>
      </c>
      <c r="C294" s="38" t="s">
        <v>37</v>
      </c>
      <c r="D294" s="38" t="s">
        <v>13</v>
      </c>
      <c r="E294" s="38" t="s">
        <v>38</v>
      </c>
      <c r="F294" s="40">
        <v>106</v>
      </c>
      <c r="G294" s="38">
        <v>41</v>
      </c>
      <c r="H294" s="38">
        <f>IFERROR('Automated raw'!$F294+'Automated raw'!$G294,"-")</f>
        <v>147</v>
      </c>
      <c r="I294" s="38">
        <v>37</v>
      </c>
      <c r="J294" s="38">
        <v>70</v>
      </c>
      <c r="K294" s="38">
        <v>6</v>
      </c>
      <c r="L294" s="38">
        <v>1527</v>
      </c>
      <c r="M294" s="38">
        <v>1671</v>
      </c>
      <c r="N294" s="38">
        <f>'Automated raw'!$G294/'Automated raw'!$H294</f>
        <v>0.27891156462585032</v>
      </c>
      <c r="O294" s="41">
        <f>IFERROR('Automated raw'!$G294/'Automated raw'!$H294,"incomplete")</f>
        <v>0.27891156462585032</v>
      </c>
      <c r="P294" s="38">
        <f>'Automated raw'!$F294</f>
        <v>106</v>
      </c>
      <c r="Q294" s="42">
        <f>IFERROR('Automated raw'!$P294*'Automated raw'!$L294,0)</f>
        <v>161862</v>
      </c>
      <c r="R294" s="38" t="str">
        <f>IF('Automated raw'!$O294&gt;=60%,"High",IF('Automated raw'!$O294&gt;=30%,"Avg",IF('Automated raw'!$O294&lt;30%,"Dead Stock","Incomplete")))</f>
        <v>Dead Stock</v>
      </c>
      <c r="S294" s="43" t="str">
        <f>TEXT('Automated raw'!$B294,"mmm")</f>
        <v>Aug</v>
      </c>
      <c r="T294" s="82">
        <f>'Automated raw'!$G294*'Automated raw'!$M294</f>
        <v>68511</v>
      </c>
      <c r="U294" s="6">
        <f>IFERROR((Table7[[#This Row],[Stock In(Total)]]+Table7[[#This Row],[In Stock or Remaining]])/2,"-")</f>
        <v>126.5</v>
      </c>
      <c r="V294" s="93">
        <f>IFERROR(Table7[[#This Row],[Stock_Out]]/Table7[[#This Row],[Avg Inventory]],"-")</f>
        <v>0.32411067193675891</v>
      </c>
      <c r="W294" s="6"/>
      <c r="X294" s="6"/>
      <c r="Y294" s="6"/>
      <c r="Z294" s="6"/>
      <c r="AA294" s="6"/>
      <c r="AB294" s="6"/>
      <c r="AC294" s="6"/>
      <c r="AD294" s="6"/>
      <c r="AE294" s="6"/>
      <c r="AF294" s="6"/>
      <c r="AG294" s="6"/>
      <c r="AH294" s="6"/>
      <c r="AI294" s="6"/>
      <c r="AJ294" s="6"/>
      <c r="AK294" s="6"/>
      <c r="AL294" s="56" t="s">
        <v>509</v>
      </c>
      <c r="AM294" s="56">
        <v>45489</v>
      </c>
      <c r="AN294" s="56" t="s">
        <v>53</v>
      </c>
      <c r="AO294" s="56" t="s">
        <v>20</v>
      </c>
      <c r="AP294" s="56" t="s">
        <v>38</v>
      </c>
      <c r="AQ294" s="56">
        <v>7</v>
      </c>
      <c r="AR294" s="56">
        <v>85</v>
      </c>
      <c r="AS294" s="56">
        <v>92</v>
      </c>
      <c r="AT294" s="56">
        <v>232</v>
      </c>
      <c r="AU294" s="56">
        <v>70</v>
      </c>
      <c r="AV294" s="56">
        <v>13</v>
      </c>
      <c r="AW294" s="56">
        <v>845</v>
      </c>
      <c r="AX294" s="56">
        <v>1532</v>
      </c>
      <c r="AY294" s="56">
        <v>0.92391304347826086</v>
      </c>
      <c r="AZ294" s="56">
        <v>0.92391304347826086</v>
      </c>
      <c r="BA294" s="56">
        <v>7</v>
      </c>
      <c r="BB294" s="56">
        <v>5915</v>
      </c>
      <c r="BC294" s="56" t="s">
        <v>552</v>
      </c>
      <c r="BD294" s="56" t="s">
        <v>556</v>
      </c>
      <c r="BE294" s="56">
        <v>130220</v>
      </c>
    </row>
    <row r="295" spans="1:57" x14ac:dyDescent="0.3">
      <c r="A295" s="38" t="s">
        <v>83</v>
      </c>
      <c r="B295" s="39">
        <v>45450</v>
      </c>
      <c r="C295" s="38" t="s">
        <v>53</v>
      </c>
      <c r="D295" s="38" t="s">
        <v>13</v>
      </c>
      <c r="E295" s="38" t="s">
        <v>33</v>
      </c>
      <c r="F295" s="40">
        <v>145</v>
      </c>
      <c r="G295" s="38">
        <v>119</v>
      </c>
      <c r="H295" s="38">
        <f>IFERROR('Automated raw'!$F56+'Automated raw'!$G56,"-")</f>
        <v>136</v>
      </c>
      <c r="I295" s="38">
        <v>297</v>
      </c>
      <c r="J295" s="38">
        <v>56</v>
      </c>
      <c r="K295" s="38">
        <v>6</v>
      </c>
      <c r="L295" s="38">
        <v>1281</v>
      </c>
      <c r="M295" s="38">
        <v>2431</v>
      </c>
      <c r="N295" s="38">
        <f>'Automated raw'!$G56/'Automated raw'!$H56</f>
        <v>0.42307692307692307</v>
      </c>
      <c r="O295" s="41">
        <f>IFERROR('Automated raw'!$G56/'Automated raw'!$H56,"incomplete")</f>
        <v>0.42307692307692307</v>
      </c>
      <c r="P295" s="38">
        <f>'Automated raw'!$F56</f>
        <v>92</v>
      </c>
      <c r="Q295" s="42">
        <f>IFERROR('Automated raw'!$P56*'Automated raw'!$L56,0)</f>
        <v>119007</v>
      </c>
      <c r="R295" s="38" t="str">
        <f>IF('Automated raw'!$O56&gt;=60%,"High",IF('Automated raw'!$O56&gt;=30%,"Avg",IF('Automated raw'!$O56&lt;30%,"Dead Stock","Incomplete")))</f>
        <v>Dead Stock</v>
      </c>
      <c r="S295" s="43" t="str">
        <f>TEXT('Automated raw'!$B56,"mmm")</f>
        <v>Dec</v>
      </c>
      <c r="T295" s="82">
        <f>'Automated raw'!$G56*'Automated raw'!$M56</f>
        <v>103576</v>
      </c>
      <c r="U295" s="6">
        <f>IFERROR((Table7[[#This Row],[Stock In(Total)]]+Table7[[#This Row],[In Stock or Remaining]])/2,"-")</f>
        <v>140.5</v>
      </c>
      <c r="V295" s="93">
        <f>IFERROR(Table7[[#This Row],[Stock_Out]]/Table7[[#This Row],[Avg Inventory]],"-")</f>
        <v>0.84697508896797158</v>
      </c>
      <c r="W295" s="6"/>
      <c r="X295" s="6"/>
      <c r="Y295" s="6"/>
      <c r="Z295" s="6"/>
      <c r="AA295" s="6"/>
      <c r="AB295" s="6"/>
      <c r="AC295" s="6"/>
      <c r="AD295" s="6"/>
      <c r="AE295" s="6"/>
      <c r="AF295" s="6"/>
      <c r="AG295" s="6"/>
      <c r="AH295" s="6"/>
      <c r="AI295" s="6"/>
      <c r="AJ295" s="6"/>
      <c r="AK295" s="6"/>
      <c r="AL295" s="56" t="s">
        <v>160</v>
      </c>
      <c r="AM295" s="56">
        <v>45467</v>
      </c>
      <c r="AN295" s="56" t="s">
        <v>12</v>
      </c>
      <c r="AO295" s="56" t="s">
        <v>17</v>
      </c>
      <c r="AP295" s="56" t="s">
        <v>33</v>
      </c>
      <c r="AQ295" s="56">
        <v>14</v>
      </c>
      <c r="AR295" s="56">
        <v>77</v>
      </c>
      <c r="AS295" s="56">
        <v>91</v>
      </c>
      <c r="AT295" s="56">
        <v>106</v>
      </c>
      <c r="AU295" s="56">
        <v>74</v>
      </c>
      <c r="AV295" s="56">
        <v>6</v>
      </c>
      <c r="AW295" s="56">
        <v>420</v>
      </c>
      <c r="AX295" s="56">
        <v>1659</v>
      </c>
      <c r="AY295" s="56">
        <v>0.84615384615384615</v>
      </c>
      <c r="AZ295" s="56">
        <v>0.84615384615384615</v>
      </c>
      <c r="BA295" s="56">
        <v>14</v>
      </c>
      <c r="BB295" s="56">
        <v>5880</v>
      </c>
      <c r="BC295" s="56" t="s">
        <v>552</v>
      </c>
      <c r="BD295" s="56" t="s">
        <v>559</v>
      </c>
      <c r="BE295" s="56">
        <v>127743</v>
      </c>
    </row>
    <row r="296" spans="1:57" x14ac:dyDescent="0.3">
      <c r="A296" s="38" t="s">
        <v>328</v>
      </c>
      <c r="B296" s="39">
        <v>45451</v>
      </c>
      <c r="C296" s="38" t="s">
        <v>329</v>
      </c>
      <c r="D296" s="38" t="s">
        <v>20</v>
      </c>
      <c r="E296" s="38" t="s">
        <v>14</v>
      </c>
      <c r="F296" s="40">
        <v>33</v>
      </c>
      <c r="G296" s="38">
        <v>77</v>
      </c>
      <c r="H296" s="38">
        <f>IFERROR('Automated raw'!$F296+'Automated raw'!$G296,"-")</f>
        <v>110</v>
      </c>
      <c r="I296" s="38">
        <v>264</v>
      </c>
      <c r="J296" s="38">
        <v>72</v>
      </c>
      <c r="K296" s="38">
        <v>15</v>
      </c>
      <c r="L296" s="38">
        <v>1954</v>
      </c>
      <c r="M296" s="38">
        <v>2210</v>
      </c>
      <c r="N296" s="38">
        <f>'Automated raw'!$G296/'Automated raw'!$H296</f>
        <v>0.7</v>
      </c>
      <c r="O296" s="41">
        <f>IFERROR('Automated raw'!$G296/'Automated raw'!$H296,"incomplete")</f>
        <v>0.7</v>
      </c>
      <c r="P296" s="38">
        <f>'Automated raw'!$F296</f>
        <v>33</v>
      </c>
      <c r="Q296" s="42">
        <f>IFERROR('Automated raw'!$P296*'Automated raw'!$L296,0)</f>
        <v>64482</v>
      </c>
      <c r="R296" s="38" t="str">
        <f>IF('Automated raw'!$O296&gt;=60%,"High",IF('Automated raw'!$O296&gt;=30%,"Avg",IF('Automated raw'!$O296&lt;30%,"Dead Stock","Incomplete")))</f>
        <v>High</v>
      </c>
      <c r="S296" s="43" t="str">
        <f>TEXT('Automated raw'!$B296,"mmm")</f>
        <v>Jun</v>
      </c>
      <c r="T296" s="82">
        <f>'Automated raw'!$G296*'Automated raw'!$M296</f>
        <v>170170</v>
      </c>
      <c r="U296" s="6">
        <f>IFERROR((Table7[[#This Row],[Stock In(Total)]]+Table7[[#This Row],[In Stock or Remaining]])/2,"-")</f>
        <v>71.5</v>
      </c>
      <c r="V296" s="93">
        <f>IFERROR(Table7[[#This Row],[Stock_Out]]/Table7[[#This Row],[Avg Inventory]],"-")</f>
        <v>1.0769230769230769</v>
      </c>
      <c r="W296" s="6"/>
      <c r="X296" s="6"/>
      <c r="Y296" s="6"/>
      <c r="Z296" s="6"/>
      <c r="AA296" s="6"/>
      <c r="AB296" s="6"/>
      <c r="AC296" s="6"/>
      <c r="AD296" s="6"/>
      <c r="AE296" s="6"/>
      <c r="AF296" s="6"/>
      <c r="AG296" s="6"/>
      <c r="AH296" s="6"/>
      <c r="AI296" s="6"/>
      <c r="AJ296" s="6"/>
      <c r="AK296" s="6"/>
      <c r="AL296" s="56" t="s">
        <v>369</v>
      </c>
      <c r="AM296" s="56">
        <v>45355</v>
      </c>
      <c r="AN296" s="56" t="s">
        <v>19</v>
      </c>
      <c r="AO296" s="56" t="s">
        <v>20</v>
      </c>
      <c r="AP296" s="56" t="s">
        <v>38</v>
      </c>
      <c r="AQ296" s="56">
        <v>17</v>
      </c>
      <c r="AR296" s="56">
        <v>66</v>
      </c>
      <c r="AS296" s="56">
        <v>83</v>
      </c>
      <c r="AT296" s="56">
        <v>239</v>
      </c>
      <c r="AU296" s="56">
        <v>33</v>
      </c>
      <c r="AV296" s="56">
        <v>7</v>
      </c>
      <c r="AW296" s="56">
        <v>685</v>
      </c>
      <c r="AX296" s="56">
        <v>1918</v>
      </c>
      <c r="AY296" s="56">
        <v>0.79518072289156627</v>
      </c>
      <c r="AZ296" s="56">
        <v>0.79518072289156627</v>
      </c>
      <c r="BA296" s="56">
        <v>17</v>
      </c>
      <c r="BB296" s="56">
        <v>11645</v>
      </c>
      <c r="BC296" s="56" t="s">
        <v>552</v>
      </c>
      <c r="BD296" s="56" t="s">
        <v>562</v>
      </c>
      <c r="BE296" s="56">
        <v>126588</v>
      </c>
    </row>
    <row r="297" spans="1:57" x14ac:dyDescent="0.3">
      <c r="A297" s="44" t="s">
        <v>330</v>
      </c>
      <c r="B297" s="45">
        <v>45311</v>
      </c>
      <c r="C297" s="44" t="s">
        <v>16</v>
      </c>
      <c r="D297" s="44" t="s">
        <v>17</v>
      </c>
      <c r="E297" s="44" t="s">
        <v>14</v>
      </c>
      <c r="F297" s="40">
        <v>22</v>
      </c>
      <c r="G297" s="44">
        <v>58</v>
      </c>
      <c r="H297" s="44">
        <f>IFERROR('Automated raw'!$F297+'Automated raw'!$G297,"-")</f>
        <v>80</v>
      </c>
      <c r="I297" s="44">
        <v>258</v>
      </c>
      <c r="J297" s="44">
        <v>30</v>
      </c>
      <c r="K297" s="44">
        <v>2</v>
      </c>
      <c r="L297" s="44">
        <v>676</v>
      </c>
      <c r="M297" s="44">
        <v>1456</v>
      </c>
      <c r="N297" s="44">
        <f>'Automated raw'!$G297/'Automated raw'!$H297</f>
        <v>0.72499999999999998</v>
      </c>
      <c r="O297" s="46">
        <f>IFERROR('Automated raw'!$G297/'Automated raw'!$H297,"incomplete")</f>
        <v>0.72499999999999998</v>
      </c>
      <c r="P297" s="44">
        <f>'Automated raw'!$F297</f>
        <v>22</v>
      </c>
      <c r="Q297" s="47">
        <f>IFERROR('Automated raw'!$P297*'Automated raw'!$L297,0)</f>
        <v>14872</v>
      </c>
      <c r="R297" s="44" t="str">
        <f>IF('Automated raw'!$O297&gt;=60%,"High",IF('Automated raw'!$O297&gt;=30%,"Avg",IF('Automated raw'!$O297&lt;30%,"Dead Stock","Incomplete")))</f>
        <v>High</v>
      </c>
      <c r="S297" s="48" t="str">
        <f>TEXT('Automated raw'!$B297,"mmm")</f>
        <v>Jan</v>
      </c>
      <c r="T297" s="83">
        <f>'Automated raw'!$G297*'Automated raw'!$M297</f>
        <v>84448</v>
      </c>
      <c r="U297" s="6">
        <f>IFERROR((Table7[[#This Row],[Stock In(Total)]]+Table7[[#This Row],[In Stock or Remaining]])/2,"-")</f>
        <v>51</v>
      </c>
      <c r="V297" s="93">
        <f>IFERROR(Table7[[#This Row],[Stock_Out]]/Table7[[#This Row],[Avg Inventory]],"-")</f>
        <v>1.1372549019607843</v>
      </c>
      <c r="W297" s="6"/>
      <c r="X297" s="6"/>
      <c r="Y297" s="6"/>
      <c r="Z297" s="6"/>
      <c r="AA297" s="6"/>
      <c r="AB297" s="6"/>
      <c r="AC297" s="6"/>
      <c r="AD297" s="6"/>
      <c r="AE297" s="6"/>
      <c r="AF297" s="6"/>
      <c r="AG297" s="6"/>
      <c r="AH297" s="6"/>
      <c r="AI297" s="6"/>
      <c r="AJ297" s="6"/>
      <c r="AK297" s="6"/>
      <c r="AL297" s="57" t="s">
        <v>145</v>
      </c>
      <c r="AM297" s="57">
        <v>45416</v>
      </c>
      <c r="AN297" s="57" t="s">
        <v>146</v>
      </c>
      <c r="AO297" s="57" t="s">
        <v>17</v>
      </c>
      <c r="AP297" s="57" t="s">
        <v>21</v>
      </c>
      <c r="AQ297" s="57">
        <v>28</v>
      </c>
      <c r="AR297" s="57">
        <v>92</v>
      </c>
      <c r="AS297" s="57">
        <v>120</v>
      </c>
      <c r="AT297" s="57">
        <v>131</v>
      </c>
      <c r="AU297" s="57">
        <v>39</v>
      </c>
      <c r="AV297" s="57">
        <v>9</v>
      </c>
      <c r="AW297" s="57">
        <v>1193</v>
      </c>
      <c r="AX297" s="57">
        <v>1349</v>
      </c>
      <c r="AY297" s="57">
        <v>0.76666666666666672</v>
      </c>
      <c r="AZ297" s="57">
        <v>0.76666666666666672</v>
      </c>
      <c r="BA297" s="57">
        <v>28</v>
      </c>
      <c r="BB297" s="57">
        <v>33404</v>
      </c>
      <c r="BC297" s="57" t="s">
        <v>552</v>
      </c>
      <c r="BD297" s="57" t="s">
        <v>561</v>
      </c>
      <c r="BE297" s="57">
        <v>124108</v>
      </c>
    </row>
    <row r="298" spans="1:57" x14ac:dyDescent="0.3">
      <c r="A298" s="44" t="s">
        <v>51</v>
      </c>
      <c r="B298" s="45">
        <v>45620</v>
      </c>
      <c r="C298" s="44" t="s">
        <v>16</v>
      </c>
      <c r="D298" s="44" t="s">
        <v>20</v>
      </c>
      <c r="E298" s="44" t="s">
        <v>14</v>
      </c>
      <c r="F298" s="40">
        <v>140</v>
      </c>
      <c r="G298" s="44">
        <v>115</v>
      </c>
      <c r="H298" s="44">
        <f>IFERROR('Automated raw'!$F25+'Automated raw'!$G25,"-")</f>
        <v>158</v>
      </c>
      <c r="I298" s="44">
        <v>255</v>
      </c>
      <c r="J298" s="44">
        <v>44</v>
      </c>
      <c r="K298" s="44">
        <v>6</v>
      </c>
      <c r="L298" s="44">
        <v>373</v>
      </c>
      <c r="M298" s="44">
        <v>858</v>
      </c>
      <c r="N298" s="44">
        <f>'Automated raw'!$G25/'Automated raw'!$H25</f>
        <v>0.52127659574468088</v>
      </c>
      <c r="O298" s="46">
        <f>IFERROR('Automated raw'!$G25/'Automated raw'!$H25,"incomplete")</f>
        <v>0.52127659574468088</v>
      </c>
      <c r="P298" s="44">
        <f>'Automated raw'!$F25</f>
        <v>109</v>
      </c>
      <c r="Q298" s="47">
        <f>IFERROR('Automated raw'!$P25*'Automated raw'!$L25,0)</f>
        <v>64043</v>
      </c>
      <c r="R298" s="44" t="str">
        <f>IF('Automated raw'!$O25&gt;=60%,"High",IF('Automated raw'!$O25&gt;=30%,"Avg",IF('Automated raw'!$O25&lt;30%,"Dead Stock","Incomplete")))</f>
        <v>Avg</v>
      </c>
      <c r="S298" s="48" t="str">
        <f>TEXT('Automated raw'!$B25,"mmm")</f>
        <v>Aug</v>
      </c>
      <c r="T298" s="83">
        <f>'Automated raw'!$G25*'Automated raw'!$M25</f>
        <v>88690</v>
      </c>
      <c r="U298" s="6">
        <f>IFERROR((Table7[[#This Row],[Stock In(Total)]]+Table7[[#This Row],[In Stock or Remaining]])/2,"-")</f>
        <v>149</v>
      </c>
      <c r="V298" s="93">
        <f>IFERROR(Table7[[#This Row],[Stock_Out]]/Table7[[#This Row],[Avg Inventory]],"-")</f>
        <v>0.77181208053691275</v>
      </c>
      <c r="W298" s="6"/>
      <c r="X298" s="6"/>
      <c r="Y298" s="6"/>
      <c r="Z298" s="6"/>
      <c r="AA298" s="6"/>
      <c r="AB298" s="6"/>
      <c r="AC298" s="6"/>
      <c r="AD298" s="6"/>
      <c r="AE298" s="6"/>
      <c r="AF298" s="6"/>
      <c r="AG298" s="6"/>
      <c r="AH298" s="6"/>
      <c r="AI298" s="6"/>
      <c r="AJ298" s="6"/>
      <c r="AK298" s="6"/>
      <c r="AL298" s="57" t="s">
        <v>198</v>
      </c>
      <c r="AM298" s="57">
        <v>45300</v>
      </c>
      <c r="AN298" s="57" t="s">
        <v>26</v>
      </c>
      <c r="AO298" s="57" t="s">
        <v>17</v>
      </c>
      <c r="AP298" s="57" t="s">
        <v>38</v>
      </c>
      <c r="AQ298" s="57">
        <v>21</v>
      </c>
      <c r="AR298" s="57">
        <v>48</v>
      </c>
      <c r="AS298" s="57">
        <v>69</v>
      </c>
      <c r="AT298" s="57">
        <v>263</v>
      </c>
      <c r="AU298" s="57">
        <v>79</v>
      </c>
      <c r="AV298" s="57">
        <v>15</v>
      </c>
      <c r="AW298" s="57">
        <v>1803</v>
      </c>
      <c r="AX298" s="57">
        <v>2558</v>
      </c>
      <c r="AY298" s="57">
        <v>0.69565217391304346</v>
      </c>
      <c r="AZ298" s="57">
        <v>0.69565217391304346</v>
      </c>
      <c r="BA298" s="57">
        <v>21</v>
      </c>
      <c r="BB298" s="57">
        <v>37863</v>
      </c>
      <c r="BC298" s="57" t="s">
        <v>552</v>
      </c>
      <c r="BD298" s="57" t="s">
        <v>557</v>
      </c>
      <c r="BE298" s="57">
        <v>122784</v>
      </c>
    </row>
    <row r="299" spans="1:57" x14ac:dyDescent="0.3">
      <c r="A299" s="38" t="s">
        <v>337</v>
      </c>
      <c r="B299" s="39">
        <v>45341</v>
      </c>
      <c r="C299" s="38" t="s">
        <v>12</v>
      </c>
      <c r="D299" s="38" t="s">
        <v>13</v>
      </c>
      <c r="E299" s="38" t="s">
        <v>14</v>
      </c>
      <c r="F299" s="40">
        <v>28</v>
      </c>
      <c r="G299" s="38">
        <v>23</v>
      </c>
      <c r="H299" s="38">
        <f>IFERROR('Automated raw'!$F304+'Automated raw'!$G304,"-")</f>
        <v>231</v>
      </c>
      <c r="I299" s="38">
        <v>97</v>
      </c>
      <c r="J299" s="38">
        <v>67</v>
      </c>
      <c r="K299" s="38">
        <v>15</v>
      </c>
      <c r="L299" s="38">
        <v>244</v>
      </c>
      <c r="M299" s="38">
        <v>1365</v>
      </c>
      <c r="N299" s="38">
        <f>'Automated raw'!$G304/'Automated raw'!$H304</f>
        <v>1.5909090909090908</v>
      </c>
      <c r="O299" s="41">
        <f>IFERROR('Automated raw'!$G304/'Automated raw'!$H304,"incomplete")</f>
        <v>1.5909090909090908</v>
      </c>
      <c r="P299" s="38">
        <f>'Automated raw'!$F304</f>
        <v>126</v>
      </c>
      <c r="Q299" s="42">
        <f>IFERROR('Automated raw'!$P304*'Automated raw'!$L304,0)</f>
        <v>25156</v>
      </c>
      <c r="R299" s="38" t="str">
        <f>IF('Automated raw'!$O304&gt;=60%,"High",IF('Automated raw'!$O304&gt;=30%,"Avg",IF('Automated raw'!$O304&lt;30%,"Dead Stock","Incomplete")))</f>
        <v>Avg</v>
      </c>
      <c r="S299" s="43" t="str">
        <f>TEXT('Automated raw'!$B304,"mmm")</f>
        <v>Apr</v>
      </c>
      <c r="T299" s="82">
        <f>'Automated raw'!$G304*'Automated raw'!$M304</f>
        <v>180915</v>
      </c>
      <c r="U299" s="6">
        <f>IFERROR((Table7[[#This Row],[Stock In(Total)]]+Table7[[#This Row],[In Stock or Remaining]])/2,"-")</f>
        <v>129.5</v>
      </c>
      <c r="V299" s="93">
        <f>IFERROR(Table7[[#This Row],[Stock_Out]]/Table7[[#This Row],[Avg Inventory]],"-")</f>
        <v>0.17760617760617761</v>
      </c>
      <c r="W299" s="6"/>
      <c r="X299" s="6"/>
      <c r="Y299" s="6"/>
      <c r="Z299" s="6"/>
      <c r="AA299" s="6"/>
      <c r="AB299" s="6"/>
      <c r="AC299" s="6"/>
      <c r="AD299" s="6"/>
      <c r="AE299" s="6"/>
      <c r="AF299" s="6"/>
      <c r="AG299" s="6"/>
      <c r="AH299" s="6"/>
      <c r="AI299" s="6"/>
      <c r="AJ299" s="6"/>
      <c r="AK299" s="6"/>
      <c r="AL299" s="56" t="s">
        <v>451</v>
      </c>
      <c r="AM299" s="56">
        <v>45600</v>
      </c>
      <c r="AN299" s="56" t="s">
        <v>37</v>
      </c>
      <c r="AO299" s="56" t="s">
        <v>20</v>
      </c>
      <c r="AP299" s="56" t="s">
        <v>33</v>
      </c>
      <c r="AQ299" s="56">
        <v>44</v>
      </c>
      <c r="AR299" s="56">
        <v>110</v>
      </c>
      <c r="AS299" s="56">
        <v>154</v>
      </c>
      <c r="AT299" s="56">
        <v>105</v>
      </c>
      <c r="AU299" s="56">
        <v>66</v>
      </c>
      <c r="AV299" s="56">
        <v>2</v>
      </c>
      <c r="AW299" s="56">
        <v>425</v>
      </c>
      <c r="AX299" s="56">
        <v>1099</v>
      </c>
      <c r="AY299" s="56">
        <v>0.7142857142857143</v>
      </c>
      <c r="AZ299" s="56">
        <v>0.7142857142857143</v>
      </c>
      <c r="BA299" s="56">
        <v>44</v>
      </c>
      <c r="BB299" s="56">
        <v>18700</v>
      </c>
      <c r="BC299" s="56" t="s">
        <v>552</v>
      </c>
      <c r="BD299" s="56" t="s">
        <v>564</v>
      </c>
      <c r="BE299" s="56">
        <v>120890</v>
      </c>
    </row>
    <row r="300" spans="1:57" x14ac:dyDescent="0.3">
      <c r="A300" s="38" t="s">
        <v>333</v>
      </c>
      <c r="B300" s="39">
        <v>45552</v>
      </c>
      <c r="C300" s="38" t="s">
        <v>45</v>
      </c>
      <c r="D300" s="38" t="s">
        <v>13</v>
      </c>
      <c r="E300" s="38" t="s">
        <v>21</v>
      </c>
      <c r="F300" s="40">
        <v>110</v>
      </c>
      <c r="G300" s="38">
        <v>7</v>
      </c>
      <c r="H300" s="38">
        <f>IFERROR('Automated raw'!$F300+'Automated raw'!$G300,"-")</f>
        <v>117</v>
      </c>
      <c r="I300" s="38">
        <v>84</v>
      </c>
      <c r="J300" s="38">
        <v>59</v>
      </c>
      <c r="K300" s="38">
        <v>14</v>
      </c>
      <c r="L300" s="38">
        <v>528</v>
      </c>
      <c r="M300" s="38">
        <v>847</v>
      </c>
      <c r="N300" s="38">
        <f>'Automated raw'!$G300/'Automated raw'!$H300</f>
        <v>5.9829059829059832E-2</v>
      </c>
      <c r="O300" s="41">
        <f>IFERROR('Automated raw'!$G300/'Automated raw'!$H300,"incomplete")</f>
        <v>5.9829059829059832E-2</v>
      </c>
      <c r="P300" s="38">
        <f>'Automated raw'!$F300</f>
        <v>110</v>
      </c>
      <c r="Q300" s="42">
        <f>IFERROR('Automated raw'!$P300*'Automated raw'!$L300,0)</f>
        <v>58080</v>
      </c>
      <c r="R300" s="38" t="str">
        <f>IF('Automated raw'!$O300&gt;=60%,"High",IF('Automated raw'!$O300&gt;=30%,"Avg",IF('Automated raw'!$O300&lt;30%,"Dead Stock","Incomplete")))</f>
        <v>Dead Stock</v>
      </c>
      <c r="S300" s="43" t="str">
        <f>TEXT('Automated raw'!$B300,"mmm")</f>
        <v>Sep</v>
      </c>
      <c r="T300" s="82">
        <f>'Automated raw'!$G300*'Automated raw'!$M300</f>
        <v>5929</v>
      </c>
      <c r="U300" s="6">
        <f>IFERROR((Table7[[#This Row],[Stock In(Total)]]+Table7[[#This Row],[In Stock or Remaining]])/2,"-")</f>
        <v>113.5</v>
      </c>
      <c r="V300" s="93">
        <f>IFERROR(Table7[[#This Row],[Stock_Out]]/Table7[[#This Row],[Avg Inventory]],"-")</f>
        <v>6.1674008810572688E-2</v>
      </c>
      <c r="W300" s="6"/>
      <c r="X300" s="6"/>
      <c r="Y300" s="6"/>
      <c r="Z300" s="6"/>
      <c r="AA300" s="6"/>
      <c r="AB300" s="6"/>
      <c r="AC300" s="6"/>
      <c r="AD300" s="6"/>
      <c r="AE300" s="6"/>
      <c r="AF300" s="6"/>
      <c r="AG300" s="6"/>
      <c r="AH300" s="6"/>
      <c r="AI300" s="6"/>
      <c r="AJ300" s="6"/>
      <c r="AK300" s="6"/>
      <c r="AL300" s="57" t="s">
        <v>507</v>
      </c>
      <c r="AM300" s="57">
        <v>45331</v>
      </c>
      <c r="AN300" s="57" t="s">
        <v>53</v>
      </c>
      <c r="AO300" s="57" t="s">
        <v>13</v>
      </c>
      <c r="AP300" s="57" t="s">
        <v>38</v>
      </c>
      <c r="AQ300" s="57" t="s">
        <v>23</v>
      </c>
      <c r="AR300" s="57">
        <v>103</v>
      </c>
      <c r="AS300" s="57" t="s">
        <v>568</v>
      </c>
      <c r="AT300" s="57">
        <v>197</v>
      </c>
      <c r="AU300" s="57">
        <v>39</v>
      </c>
      <c r="AV300" s="57">
        <v>12</v>
      </c>
      <c r="AW300" s="57">
        <v>857</v>
      </c>
      <c r="AX300" s="57">
        <v>1147</v>
      </c>
      <c r="AY300" s="57" t="e">
        <v>#VALUE!</v>
      </c>
      <c r="AZ300" s="57" t="s">
        <v>569</v>
      </c>
      <c r="BA300" s="57" t="s">
        <v>23</v>
      </c>
      <c r="BB300" s="57">
        <v>0</v>
      </c>
      <c r="BC300" s="57" t="s">
        <v>552</v>
      </c>
      <c r="BD300" s="57" t="s">
        <v>555</v>
      </c>
      <c r="BE300" s="57">
        <v>118141</v>
      </c>
    </row>
    <row r="301" spans="1:57" x14ac:dyDescent="0.3">
      <c r="A301" s="38" t="s">
        <v>493</v>
      </c>
      <c r="B301" s="39">
        <v>45494</v>
      </c>
      <c r="C301" s="38" t="s">
        <v>16</v>
      </c>
      <c r="D301" s="38" t="s">
        <v>17</v>
      </c>
      <c r="E301" s="38" t="s">
        <v>38</v>
      </c>
      <c r="F301" s="40">
        <v>107</v>
      </c>
      <c r="G301" s="38">
        <v>88</v>
      </c>
      <c r="H301" s="38">
        <f>IFERROR('Automated raw'!$F460+'Automated raw'!$G460,"-")</f>
        <v>150</v>
      </c>
      <c r="I301" s="38">
        <v>20</v>
      </c>
      <c r="J301" s="38">
        <v>44</v>
      </c>
      <c r="K301" s="38">
        <v>8</v>
      </c>
      <c r="L301" s="38">
        <v>361</v>
      </c>
      <c r="M301" s="38">
        <v>855</v>
      </c>
      <c r="N301" s="38">
        <f>'Automated raw'!$G460/'Automated raw'!$H460</f>
        <v>0.3925233644859813</v>
      </c>
      <c r="O301" s="41">
        <f>IFERROR('Automated raw'!$G460/'Automated raw'!$H460,"incomplete")</f>
        <v>0.3925233644859813</v>
      </c>
      <c r="P301" s="38">
        <f>'Automated raw'!$F460</f>
        <v>66</v>
      </c>
      <c r="Q301" s="42">
        <f>IFERROR('Automated raw'!$P460*'Automated raw'!$L460,0)</f>
        <v>162558</v>
      </c>
      <c r="R301" s="38" t="str">
        <f>IF('Automated raw'!$O460&gt;=60%,"High",IF('Automated raw'!$O460&gt;=30%,"Avg",IF('Automated raw'!$O460&lt;30%,"Dead Stock","Incomplete")))</f>
        <v>High</v>
      </c>
      <c r="S301" s="43" t="str">
        <f>TEXT('Automated raw'!$B460,"mmm")</f>
        <v>Sep</v>
      </c>
      <c r="T301" s="82">
        <f>'Automated raw'!$G460*'Automated raw'!$M460</f>
        <v>153300</v>
      </c>
      <c r="U301" s="6">
        <f>IFERROR((Table7[[#This Row],[Stock In(Total)]]+Table7[[#This Row],[In Stock or Remaining]])/2,"-")</f>
        <v>128.5</v>
      </c>
      <c r="V301" s="93">
        <f>IFERROR(Table7[[#This Row],[Stock_Out]]/Table7[[#This Row],[Avg Inventory]],"-")</f>
        <v>0.68482490272373542</v>
      </c>
      <c r="W301" s="6"/>
      <c r="X301" s="6"/>
      <c r="Y301" s="6"/>
      <c r="Z301" s="6"/>
      <c r="AA301" s="6"/>
      <c r="AB301" s="6"/>
      <c r="AC301" s="6"/>
      <c r="AD301" s="6"/>
      <c r="AE301" s="6"/>
      <c r="AF301" s="6"/>
      <c r="AG301" s="6"/>
      <c r="AH301" s="6"/>
      <c r="AI301" s="6"/>
      <c r="AJ301" s="6"/>
      <c r="AK301" s="6"/>
      <c r="AL301" s="57" t="s">
        <v>307</v>
      </c>
      <c r="AM301" s="57">
        <v>45565</v>
      </c>
      <c r="AN301" s="57" t="s">
        <v>37</v>
      </c>
      <c r="AO301" s="57" t="s">
        <v>20</v>
      </c>
      <c r="AP301" s="57" t="s">
        <v>38</v>
      </c>
      <c r="AQ301" s="57">
        <v>48</v>
      </c>
      <c r="AR301" s="57">
        <v>96</v>
      </c>
      <c r="AS301" s="57">
        <v>144</v>
      </c>
      <c r="AT301" s="57">
        <v>75</v>
      </c>
      <c r="AU301" s="57">
        <v>57</v>
      </c>
      <c r="AV301" s="57">
        <v>5</v>
      </c>
      <c r="AW301" s="57">
        <v>885</v>
      </c>
      <c r="AX301" s="57">
        <v>1210</v>
      </c>
      <c r="AY301" s="57">
        <v>0.66666666666666663</v>
      </c>
      <c r="AZ301" s="57">
        <v>0.66666666666666663</v>
      </c>
      <c r="BA301" s="57">
        <v>48</v>
      </c>
      <c r="BB301" s="57">
        <v>42480</v>
      </c>
      <c r="BC301" s="57" t="s">
        <v>552</v>
      </c>
      <c r="BD301" s="57" t="s">
        <v>560</v>
      </c>
      <c r="BE301" s="57">
        <v>116160</v>
      </c>
    </row>
    <row r="302" spans="1:57" x14ac:dyDescent="0.3">
      <c r="A302" s="44" t="s">
        <v>438</v>
      </c>
      <c r="B302" s="45">
        <v>45655</v>
      </c>
      <c r="C302" s="44" t="s">
        <v>45</v>
      </c>
      <c r="D302" s="44" t="s">
        <v>13</v>
      </c>
      <c r="E302" s="44" t="s">
        <v>21</v>
      </c>
      <c r="F302" s="40">
        <v>75</v>
      </c>
      <c r="G302" s="44">
        <v>62</v>
      </c>
      <c r="H302" s="44">
        <f>IFERROR('Automated raw'!$F405+'Automated raw'!$G405,"-")</f>
        <v>76</v>
      </c>
      <c r="I302" s="44">
        <v>79</v>
      </c>
      <c r="J302" s="44">
        <v>49</v>
      </c>
      <c r="K302" s="44">
        <v>6</v>
      </c>
      <c r="L302" s="44">
        <v>692</v>
      </c>
      <c r="M302" s="44">
        <v>1737</v>
      </c>
      <c r="N302" s="44">
        <f>'Automated raw'!$G405/'Automated raw'!$H405</f>
        <v>0.25490196078431371</v>
      </c>
      <c r="O302" s="46">
        <f>IFERROR('Automated raw'!$G405/'Automated raw'!$H405,"incomplete")</f>
        <v>0.25490196078431371</v>
      </c>
      <c r="P302" s="44">
        <f>'Automated raw'!$F405</f>
        <v>37</v>
      </c>
      <c r="Q302" s="47">
        <f>IFERROR('Automated raw'!$P405*'Automated raw'!$L405,0)</f>
        <v>61250</v>
      </c>
      <c r="R302" s="44" t="str">
        <f>IF('Automated raw'!$O405&gt;=60%,"High",IF('Automated raw'!$O405&gt;=30%,"Avg",IF('Automated raw'!$O405&lt;30%,"Dead Stock","Incomplete")))</f>
        <v>Avg</v>
      </c>
      <c r="S302" s="48" t="str">
        <f>TEXT('Automated raw'!$B405,"mmm")</f>
        <v>Dec</v>
      </c>
      <c r="T302" s="83">
        <f>'Automated raw'!$G405*'Automated raw'!$M405</f>
        <v>53547</v>
      </c>
      <c r="U302" s="6">
        <f>IFERROR((Table7[[#This Row],[Stock In(Total)]]+Table7[[#This Row],[In Stock or Remaining]])/2,"-")</f>
        <v>75.5</v>
      </c>
      <c r="V302" s="93">
        <f>IFERROR(Table7[[#This Row],[Stock_Out]]/Table7[[#This Row],[Avg Inventory]],"-")</f>
        <v>0.82119205298013243</v>
      </c>
      <c r="W302" s="6"/>
      <c r="X302" s="6"/>
      <c r="Y302" s="6"/>
      <c r="Z302" s="6"/>
      <c r="AA302" s="6"/>
      <c r="AB302" s="6"/>
      <c r="AC302" s="6"/>
      <c r="AD302" s="6"/>
      <c r="AE302" s="6"/>
      <c r="AF302" s="6"/>
      <c r="AG302" s="6"/>
      <c r="AH302" s="6"/>
      <c r="AI302" s="6"/>
      <c r="AJ302" s="6"/>
      <c r="AK302" s="6"/>
      <c r="AL302" s="57" t="s">
        <v>511</v>
      </c>
      <c r="AM302" s="57">
        <v>45450</v>
      </c>
      <c r="AN302" s="57" t="s">
        <v>45</v>
      </c>
      <c r="AO302" s="57" t="s">
        <v>13</v>
      </c>
      <c r="AP302" s="57" t="s">
        <v>23</v>
      </c>
      <c r="AQ302" s="57">
        <v>30</v>
      </c>
      <c r="AR302" s="57">
        <v>115</v>
      </c>
      <c r="AS302" s="57">
        <v>145</v>
      </c>
      <c r="AT302" s="57">
        <v>234</v>
      </c>
      <c r="AU302" s="57">
        <v>34</v>
      </c>
      <c r="AV302" s="57">
        <v>6</v>
      </c>
      <c r="AW302" s="57">
        <v>254</v>
      </c>
      <c r="AX302" s="57">
        <v>1001</v>
      </c>
      <c r="AY302" s="57">
        <v>0.7931034482758621</v>
      </c>
      <c r="AZ302" s="57">
        <v>0.7931034482758621</v>
      </c>
      <c r="BA302" s="57">
        <v>30</v>
      </c>
      <c r="BB302" s="57">
        <v>7620</v>
      </c>
      <c r="BC302" s="57" t="s">
        <v>552</v>
      </c>
      <c r="BD302" s="57" t="s">
        <v>559</v>
      </c>
      <c r="BE302" s="57">
        <v>115115</v>
      </c>
    </row>
    <row r="303" spans="1:57" x14ac:dyDescent="0.3">
      <c r="A303" s="38" t="s">
        <v>168</v>
      </c>
      <c r="B303" s="39">
        <v>45412</v>
      </c>
      <c r="C303" s="38" t="s">
        <v>37</v>
      </c>
      <c r="D303" s="38" t="s">
        <v>13</v>
      </c>
      <c r="E303" s="38" t="s">
        <v>38</v>
      </c>
      <c r="F303" s="40">
        <v>71</v>
      </c>
      <c r="G303" s="38">
        <v>59</v>
      </c>
      <c r="H303" s="38">
        <f>IFERROR('Automated raw'!$F138+'Automated raw'!$G138,"-")</f>
        <v>152</v>
      </c>
      <c r="I303" s="38">
        <v>180</v>
      </c>
      <c r="J303" s="38">
        <v>55</v>
      </c>
      <c r="K303" s="38">
        <v>4</v>
      </c>
      <c r="L303" s="38">
        <v>409</v>
      </c>
      <c r="M303" s="38">
        <v>878</v>
      </c>
      <c r="N303" s="38">
        <f>'Automated raw'!$G138/'Automated raw'!$H138</f>
        <v>0.6588235294117647</v>
      </c>
      <c r="O303" s="41">
        <f>IFERROR('Automated raw'!$G138/'Automated raw'!$H138,"incomplete")</f>
        <v>0.6588235294117647</v>
      </c>
      <c r="P303" s="38">
        <f>'Automated raw'!$F138</f>
        <v>96</v>
      </c>
      <c r="Q303" s="42">
        <f>IFERROR('Automated raw'!$P138*'Automated raw'!$L138,0)</f>
        <v>77088</v>
      </c>
      <c r="R303" s="38" t="str">
        <f>IF('Automated raw'!$O138&gt;=60%,"High",IF('Automated raw'!$O138&gt;=30%,"Avg",IF('Automated raw'!$O138&lt;30%,"Dead Stock","Incomplete")))</f>
        <v>Avg</v>
      </c>
      <c r="S303" s="43" t="str">
        <f>TEXT('Automated raw'!$B138,"mmm")</f>
        <v>Feb</v>
      </c>
      <c r="T303" s="82">
        <f>'Automated raw'!$G138*'Automated raw'!$M138</f>
        <v>170912</v>
      </c>
      <c r="U303" s="6">
        <f>IFERROR((Table7[[#This Row],[Stock In(Total)]]+Table7[[#This Row],[In Stock or Remaining]])/2,"-")</f>
        <v>111.5</v>
      </c>
      <c r="V303" s="93">
        <f>IFERROR(Table7[[#This Row],[Stock_Out]]/Table7[[#This Row],[Avg Inventory]],"-")</f>
        <v>0.52914798206278024</v>
      </c>
      <c r="W303" s="6"/>
      <c r="X303" s="6"/>
      <c r="Y303" s="6"/>
      <c r="Z303" s="6"/>
      <c r="AA303" s="6"/>
      <c r="AB303" s="6"/>
      <c r="AC303" s="6"/>
      <c r="AD303" s="6"/>
      <c r="AE303" s="6"/>
      <c r="AF303" s="6"/>
      <c r="AG303" s="6"/>
      <c r="AH303" s="6"/>
      <c r="AI303" s="6"/>
      <c r="AJ303" s="6"/>
      <c r="AK303" s="6"/>
      <c r="AL303" s="56" t="s">
        <v>415</v>
      </c>
      <c r="AM303" s="56">
        <v>45305</v>
      </c>
      <c r="AN303" s="56" t="s">
        <v>16</v>
      </c>
      <c r="AO303" s="56" t="s">
        <v>20</v>
      </c>
      <c r="AP303" s="56" t="s">
        <v>23</v>
      </c>
      <c r="AQ303" s="56">
        <v>15</v>
      </c>
      <c r="AR303" s="56">
        <v>81</v>
      </c>
      <c r="AS303" s="56">
        <v>96</v>
      </c>
      <c r="AT303" s="56">
        <v>261</v>
      </c>
      <c r="AU303" s="56">
        <v>44</v>
      </c>
      <c r="AV303" s="56">
        <v>3</v>
      </c>
      <c r="AW303" s="56">
        <v>598</v>
      </c>
      <c r="AX303" s="56">
        <v>1359</v>
      </c>
      <c r="AY303" s="56">
        <v>0.84375</v>
      </c>
      <c r="AZ303" s="56">
        <v>0.84375</v>
      </c>
      <c r="BA303" s="56">
        <v>15</v>
      </c>
      <c r="BB303" s="56">
        <v>8970</v>
      </c>
      <c r="BC303" s="56" t="s">
        <v>552</v>
      </c>
      <c r="BD303" s="56" t="s">
        <v>557</v>
      </c>
      <c r="BE303" s="56">
        <v>110079</v>
      </c>
    </row>
    <row r="304" spans="1:57" x14ac:dyDescent="0.3">
      <c r="A304" s="38" t="s">
        <v>267</v>
      </c>
      <c r="B304" s="39">
        <v>45406</v>
      </c>
      <c r="C304" s="38" t="s">
        <v>16</v>
      </c>
      <c r="D304" s="38" t="s">
        <v>20</v>
      </c>
      <c r="E304" s="38" t="s">
        <v>38</v>
      </c>
      <c r="F304" s="40">
        <v>126</v>
      </c>
      <c r="G304" s="38">
        <v>105</v>
      </c>
      <c r="H304" s="38">
        <f>IFERROR('Automated raw'!$F236+'Automated raw'!$G236,"-")</f>
        <v>66</v>
      </c>
      <c r="I304" s="38">
        <v>45</v>
      </c>
      <c r="J304" s="38">
        <v>63</v>
      </c>
      <c r="K304" s="38">
        <v>4</v>
      </c>
      <c r="L304" s="38">
        <v>662</v>
      </c>
      <c r="M304" s="38">
        <v>1723</v>
      </c>
      <c r="N304" s="38">
        <f>'Automated raw'!$G236/'Automated raw'!$H236</f>
        <v>0.37333333333333335</v>
      </c>
      <c r="O304" s="41">
        <f>IFERROR('Automated raw'!$G236/'Automated raw'!$H236,"incomplete")</f>
        <v>0.37333333333333335</v>
      </c>
      <c r="P304" s="38">
        <f>'Automated raw'!$F236</f>
        <v>38</v>
      </c>
      <c r="Q304" s="42">
        <f>IFERROR('Automated raw'!$P236*'Automated raw'!$L236,0)</f>
        <v>49966</v>
      </c>
      <c r="R304" s="38" t="str">
        <f>IF('Automated raw'!$O236&gt;=60%,"High",IF('Automated raw'!$O236&gt;=30%,"Avg",IF('Automated raw'!$O236&lt;30%,"Dead Stock","Incomplete")))</f>
        <v>Dead Stock</v>
      </c>
      <c r="S304" s="43" t="str">
        <f>TEXT('Automated raw'!$B236,"mmm")</f>
        <v>Jun</v>
      </c>
      <c r="T304" s="82">
        <f>'Automated raw'!$G236*'Automated raw'!$M236</f>
        <v>42588</v>
      </c>
      <c r="U304" s="6">
        <f>IFERROR((Table7[[#This Row],[Stock In(Total)]]+Table7[[#This Row],[In Stock or Remaining]])/2,"-")</f>
        <v>96</v>
      </c>
      <c r="V304" s="93">
        <f>IFERROR(Table7[[#This Row],[Stock_Out]]/Table7[[#This Row],[Avg Inventory]],"-")</f>
        <v>1.09375</v>
      </c>
      <c r="W304" s="6"/>
      <c r="X304" s="6"/>
      <c r="Y304" s="6"/>
      <c r="Z304" s="6"/>
      <c r="AA304" s="6"/>
      <c r="AB304" s="6"/>
      <c r="AC304" s="6"/>
      <c r="AD304" s="6"/>
      <c r="AE304" s="6"/>
      <c r="AF304" s="6"/>
      <c r="AG304" s="6"/>
      <c r="AH304" s="6"/>
      <c r="AI304" s="6"/>
      <c r="AJ304" s="6"/>
      <c r="AK304" s="6"/>
      <c r="AL304" s="57" t="s">
        <v>48</v>
      </c>
      <c r="AM304" s="57">
        <v>45501</v>
      </c>
      <c r="AN304" s="57" t="s">
        <v>45</v>
      </c>
      <c r="AO304" s="57" t="s">
        <v>13</v>
      </c>
      <c r="AP304" s="57" t="s">
        <v>38</v>
      </c>
      <c r="AQ304" s="57">
        <v>70</v>
      </c>
      <c r="AR304" s="57">
        <v>114</v>
      </c>
      <c r="AS304" s="57">
        <v>184</v>
      </c>
      <c r="AT304" s="57">
        <v>94</v>
      </c>
      <c r="AU304" s="57">
        <v>37</v>
      </c>
      <c r="AV304" s="57">
        <v>11</v>
      </c>
      <c r="AW304" s="57">
        <v>481</v>
      </c>
      <c r="AX304" s="57">
        <v>960</v>
      </c>
      <c r="AY304" s="57">
        <v>0.61956521739130432</v>
      </c>
      <c r="AZ304" s="57">
        <v>0.61956521739130432</v>
      </c>
      <c r="BA304" s="57">
        <v>70</v>
      </c>
      <c r="BB304" s="57">
        <v>33670</v>
      </c>
      <c r="BC304" s="57" t="s">
        <v>552</v>
      </c>
      <c r="BD304" s="57" t="s">
        <v>556</v>
      </c>
      <c r="BE304" s="57">
        <v>109440</v>
      </c>
    </row>
    <row r="305" spans="1:57" x14ac:dyDescent="0.3">
      <c r="A305" s="44" t="s">
        <v>338</v>
      </c>
      <c r="B305" s="45">
        <v>45417</v>
      </c>
      <c r="C305" s="44" t="s">
        <v>30</v>
      </c>
      <c r="D305" s="44" t="s">
        <v>13</v>
      </c>
      <c r="E305" s="44" t="s">
        <v>38</v>
      </c>
      <c r="F305" s="40">
        <v>62</v>
      </c>
      <c r="G305" s="44">
        <v>114</v>
      </c>
      <c r="H305" s="44">
        <f>IFERROR('Automated raw'!$F305+'Automated raw'!$G305,"-")</f>
        <v>176</v>
      </c>
      <c r="I305" s="44">
        <v>27</v>
      </c>
      <c r="J305" s="44">
        <v>79</v>
      </c>
      <c r="K305" s="44">
        <v>15</v>
      </c>
      <c r="L305" s="44">
        <v>871</v>
      </c>
      <c r="M305" s="44">
        <v>1599</v>
      </c>
      <c r="N305" s="44">
        <f>'Automated raw'!$G305/'Automated raw'!$H305</f>
        <v>0.64772727272727271</v>
      </c>
      <c r="O305" s="46">
        <f>IFERROR('Automated raw'!$G305/'Automated raw'!$H305,"incomplete")</f>
        <v>0.64772727272727271</v>
      </c>
      <c r="P305" s="44">
        <f>'Automated raw'!$F305</f>
        <v>62</v>
      </c>
      <c r="Q305" s="47">
        <f>IFERROR('Automated raw'!$P305*'Automated raw'!$L305,0)</f>
        <v>54002</v>
      </c>
      <c r="R305" s="44" t="str">
        <f>IF('Automated raw'!$O305&gt;=60%,"High",IF('Automated raw'!$O305&gt;=30%,"Avg",IF('Automated raw'!$O305&lt;30%,"Dead Stock","Incomplete")))</f>
        <v>High</v>
      </c>
      <c r="S305" s="48" t="str">
        <f>TEXT('Automated raw'!$B305,"mmm")</f>
        <v>May</v>
      </c>
      <c r="T305" s="83">
        <f>'Automated raw'!$G305*'Automated raw'!$M305</f>
        <v>182286</v>
      </c>
      <c r="U305" s="6">
        <f>IFERROR((Table7[[#This Row],[Stock In(Total)]]+Table7[[#This Row],[In Stock or Remaining]])/2,"-")</f>
        <v>119</v>
      </c>
      <c r="V305" s="93">
        <f>IFERROR(Table7[[#This Row],[Stock_Out]]/Table7[[#This Row],[Avg Inventory]],"-")</f>
        <v>0.95798319327731096</v>
      </c>
      <c r="W305" s="6"/>
      <c r="X305" s="6"/>
      <c r="Y305" s="6"/>
      <c r="Z305" s="6"/>
      <c r="AA305" s="6"/>
      <c r="AB305" s="6"/>
      <c r="AC305" s="6"/>
      <c r="AD305" s="6"/>
      <c r="AE305" s="6"/>
      <c r="AF305" s="6"/>
      <c r="AG305" s="6"/>
      <c r="AH305" s="6"/>
      <c r="AI305" s="6"/>
      <c r="AJ305" s="6"/>
      <c r="AK305" s="6"/>
      <c r="AL305" s="57" t="s">
        <v>174</v>
      </c>
      <c r="AM305" s="57">
        <v>45454</v>
      </c>
      <c r="AN305" s="57" t="s">
        <v>26</v>
      </c>
      <c r="AO305" s="57" t="s">
        <v>13</v>
      </c>
      <c r="AP305" s="57" t="s">
        <v>14</v>
      </c>
      <c r="AQ305" s="57">
        <v>27</v>
      </c>
      <c r="AR305" s="57">
        <v>44</v>
      </c>
      <c r="AS305" s="57">
        <v>71</v>
      </c>
      <c r="AT305" s="57">
        <v>233</v>
      </c>
      <c r="AU305" s="57">
        <v>56</v>
      </c>
      <c r="AV305" s="57">
        <v>4</v>
      </c>
      <c r="AW305" s="57">
        <v>1734</v>
      </c>
      <c r="AX305" s="57">
        <v>2468</v>
      </c>
      <c r="AY305" s="57">
        <v>0.61971830985915488</v>
      </c>
      <c r="AZ305" s="57">
        <v>0.61971830985915488</v>
      </c>
      <c r="BA305" s="57">
        <v>27</v>
      </c>
      <c r="BB305" s="57">
        <v>46818</v>
      </c>
      <c r="BC305" s="57" t="s">
        <v>552</v>
      </c>
      <c r="BD305" s="57" t="s">
        <v>559</v>
      </c>
      <c r="BE305" s="57">
        <v>108592</v>
      </c>
    </row>
    <row r="306" spans="1:57" x14ac:dyDescent="0.3">
      <c r="A306" s="38" t="s">
        <v>345</v>
      </c>
      <c r="B306" s="39">
        <v>45602</v>
      </c>
      <c r="C306" s="38" t="s">
        <v>45</v>
      </c>
      <c r="D306" s="38" t="s">
        <v>20</v>
      </c>
      <c r="E306" s="38" t="s">
        <v>33</v>
      </c>
      <c r="F306" s="40">
        <v>99</v>
      </c>
      <c r="G306" s="38">
        <v>83</v>
      </c>
      <c r="H306" s="38">
        <f>IFERROR('Automated raw'!$F312+'Automated raw'!$G312,"-")</f>
        <v>161</v>
      </c>
      <c r="I306" s="38">
        <v>289</v>
      </c>
      <c r="J306" s="38">
        <v>36</v>
      </c>
      <c r="K306" s="38">
        <v>4</v>
      </c>
      <c r="L306" s="38">
        <v>484</v>
      </c>
      <c r="M306" s="38">
        <v>1141</v>
      </c>
      <c r="N306" s="38">
        <f>'Automated raw'!$G312/'Automated raw'!$H312</f>
        <v>0.43023255813953487</v>
      </c>
      <c r="O306" s="41">
        <f>IFERROR('Automated raw'!$G312/'Automated raw'!$H312,"incomplete")</f>
        <v>0.43023255813953487</v>
      </c>
      <c r="P306" s="38">
        <f>'Automated raw'!$F312</f>
        <v>87</v>
      </c>
      <c r="Q306" s="42">
        <f>IFERROR('Automated raw'!$P312*'Automated raw'!$L312,0)</f>
        <v>78588</v>
      </c>
      <c r="R306" s="38" t="str">
        <f>IF('Automated raw'!$O312&gt;=60%,"High",IF('Automated raw'!$O312&gt;=30%,"Avg",IF('Automated raw'!$O312&lt;30%,"Dead Stock","Incomplete")))</f>
        <v>Avg</v>
      </c>
      <c r="S306" s="43" t="str">
        <f>TEXT('Automated raw'!$B312,"mmm")</f>
        <v>Mar</v>
      </c>
      <c r="T306" s="82">
        <f>'Automated raw'!$G312*'Automated raw'!$M312</f>
        <v>107818</v>
      </c>
      <c r="U306" s="6">
        <f>IFERROR((Table7[[#This Row],[Stock In(Total)]]+Table7[[#This Row],[In Stock or Remaining]])/2,"-")</f>
        <v>130</v>
      </c>
      <c r="V306" s="93">
        <f>IFERROR(Table7[[#This Row],[Stock_Out]]/Table7[[#This Row],[Avg Inventory]],"-")</f>
        <v>0.63846153846153841</v>
      </c>
      <c r="W306" s="6"/>
      <c r="X306" s="6"/>
      <c r="Y306" s="6"/>
      <c r="Z306" s="6"/>
      <c r="AA306" s="6"/>
      <c r="AB306" s="6"/>
      <c r="AC306" s="6"/>
      <c r="AD306" s="6"/>
      <c r="AE306" s="6"/>
      <c r="AF306" s="6"/>
      <c r="AG306" s="6"/>
      <c r="AH306" s="6"/>
      <c r="AI306" s="6"/>
      <c r="AJ306" s="6"/>
      <c r="AK306" s="6"/>
      <c r="AL306" s="56" t="s">
        <v>153</v>
      </c>
      <c r="AM306" s="56">
        <v>45397</v>
      </c>
      <c r="AN306" s="56" t="s">
        <v>53</v>
      </c>
      <c r="AO306" s="56" t="s">
        <v>13</v>
      </c>
      <c r="AP306" s="56" t="s">
        <v>14</v>
      </c>
      <c r="AQ306" s="56" t="s">
        <v>23</v>
      </c>
      <c r="AR306" s="56">
        <v>111</v>
      </c>
      <c r="AS306" s="56" t="s">
        <v>568</v>
      </c>
      <c r="AT306" s="56">
        <v>69</v>
      </c>
      <c r="AU306" s="56">
        <v>70</v>
      </c>
      <c r="AV306" s="56">
        <v>11</v>
      </c>
      <c r="AW306" s="56">
        <v>232</v>
      </c>
      <c r="AX306" s="56">
        <v>976</v>
      </c>
      <c r="AY306" s="56" t="e">
        <v>#VALUE!</v>
      </c>
      <c r="AZ306" s="56" t="s">
        <v>569</v>
      </c>
      <c r="BA306" s="56" t="s">
        <v>23</v>
      </c>
      <c r="BB306" s="56">
        <v>0</v>
      </c>
      <c r="BC306" s="56" t="s">
        <v>552</v>
      </c>
      <c r="BD306" s="56" t="s">
        <v>558</v>
      </c>
      <c r="BE306" s="56">
        <v>108336</v>
      </c>
    </row>
    <row r="307" spans="1:57" x14ac:dyDescent="0.3">
      <c r="A307" s="44" t="s">
        <v>76</v>
      </c>
      <c r="B307" s="45">
        <v>45601</v>
      </c>
      <c r="C307" s="44" t="s">
        <v>30</v>
      </c>
      <c r="D307" s="44" t="s">
        <v>20</v>
      </c>
      <c r="E307" s="44" t="s">
        <v>14</v>
      </c>
      <c r="F307" s="40">
        <v>132</v>
      </c>
      <c r="G307" s="44">
        <v>112</v>
      </c>
      <c r="H307" s="44">
        <f>IFERROR('Automated raw'!$F49+'Automated raw'!$G49,"-")</f>
        <v>201</v>
      </c>
      <c r="I307" s="44">
        <v>42</v>
      </c>
      <c r="J307" s="44">
        <v>57</v>
      </c>
      <c r="K307" s="44">
        <v>14</v>
      </c>
      <c r="L307" s="44">
        <v>314</v>
      </c>
      <c r="M307" s="44">
        <v>1294</v>
      </c>
      <c r="N307" s="44">
        <f>'Automated raw'!$G49/'Automated raw'!$H49</f>
        <v>0.30331753554502372</v>
      </c>
      <c r="O307" s="46">
        <f>IFERROR('Automated raw'!$G49/'Automated raw'!$H49,"incomplete")</f>
        <v>0.30331753554502372</v>
      </c>
      <c r="P307" s="44">
        <f>'Automated raw'!$F49</f>
        <v>137</v>
      </c>
      <c r="Q307" s="47">
        <f>IFERROR('Automated raw'!$P49*'Automated raw'!$L49,0)</f>
        <v>45261</v>
      </c>
      <c r="R307" s="44" t="str">
        <f>IF('Automated raw'!$O49&gt;=60%,"High",IF('Automated raw'!$O49&gt;=30%,"Avg",IF('Automated raw'!$O49&lt;30%,"Dead Stock","Incomplete")))</f>
        <v>High</v>
      </c>
      <c r="S307" s="48" t="str">
        <f>TEXT('Automated raw'!$B49,"mmm")</f>
        <v>Jul</v>
      </c>
      <c r="T307" s="83">
        <f>'Automated raw'!$G49*'Automated raw'!$M49</f>
        <v>41600</v>
      </c>
      <c r="U307" s="6">
        <f>IFERROR((Table7[[#This Row],[Stock In(Total)]]+Table7[[#This Row],[In Stock or Remaining]])/2,"-")</f>
        <v>166.5</v>
      </c>
      <c r="V307" s="93">
        <f>IFERROR(Table7[[#This Row],[Stock_Out]]/Table7[[#This Row],[Avg Inventory]],"-")</f>
        <v>0.67267267267267272</v>
      </c>
      <c r="W307" s="6"/>
      <c r="X307" s="6"/>
      <c r="Y307" s="6"/>
      <c r="Z307" s="6"/>
      <c r="AA307" s="6"/>
      <c r="AB307" s="6"/>
      <c r="AC307" s="6"/>
      <c r="AD307" s="6"/>
      <c r="AE307" s="6"/>
      <c r="AF307" s="6"/>
      <c r="AG307" s="6"/>
      <c r="AH307" s="6"/>
      <c r="AI307" s="6"/>
      <c r="AJ307" s="6"/>
      <c r="AK307" s="6"/>
      <c r="AL307" s="56" t="s">
        <v>108</v>
      </c>
      <c r="AM307" s="56">
        <v>45367</v>
      </c>
      <c r="AN307" s="56" t="s">
        <v>16</v>
      </c>
      <c r="AO307" s="56" t="s">
        <v>20</v>
      </c>
      <c r="AP307" s="56" t="s">
        <v>33</v>
      </c>
      <c r="AQ307" s="56">
        <v>12</v>
      </c>
      <c r="AR307" s="56">
        <v>66</v>
      </c>
      <c r="AS307" s="56">
        <v>78</v>
      </c>
      <c r="AT307" s="56">
        <v>33</v>
      </c>
      <c r="AU307" s="56">
        <v>38</v>
      </c>
      <c r="AV307" s="56">
        <v>3</v>
      </c>
      <c r="AW307" s="56">
        <v>767</v>
      </c>
      <c r="AX307" s="56">
        <v>1627</v>
      </c>
      <c r="AY307" s="56">
        <v>0.84615384615384615</v>
      </c>
      <c r="AZ307" s="56">
        <v>0.84615384615384615</v>
      </c>
      <c r="BA307" s="56">
        <v>12</v>
      </c>
      <c r="BB307" s="56">
        <v>9204</v>
      </c>
      <c r="BC307" s="56" t="s">
        <v>552</v>
      </c>
      <c r="BD307" s="56" t="s">
        <v>562</v>
      </c>
      <c r="BE307" s="56">
        <v>107382</v>
      </c>
    </row>
    <row r="308" spans="1:57" x14ac:dyDescent="0.3">
      <c r="A308" s="38" t="s">
        <v>341</v>
      </c>
      <c r="B308" s="39">
        <v>45560</v>
      </c>
      <c r="C308" s="38" t="s">
        <v>12</v>
      </c>
      <c r="D308" s="38" t="s">
        <v>13</v>
      </c>
      <c r="E308" s="38" t="s">
        <v>38</v>
      </c>
      <c r="F308" s="40">
        <v>51</v>
      </c>
      <c r="G308" s="38">
        <v>3</v>
      </c>
      <c r="H308" s="38">
        <f>IFERROR('Automated raw'!$F308+'Automated raw'!$G308,"-")</f>
        <v>54</v>
      </c>
      <c r="I308" s="38">
        <v>253</v>
      </c>
      <c r="J308" s="38">
        <v>52</v>
      </c>
      <c r="K308" s="38">
        <v>3</v>
      </c>
      <c r="L308" s="38">
        <v>1145</v>
      </c>
      <c r="M308" s="38">
        <v>2439</v>
      </c>
      <c r="N308" s="38">
        <f>'Automated raw'!$G308/'Automated raw'!$H308</f>
        <v>5.5555555555555552E-2</v>
      </c>
      <c r="O308" s="41">
        <f>IFERROR('Automated raw'!$G308/'Automated raw'!$H308,"incomplete")</f>
        <v>5.5555555555555552E-2</v>
      </c>
      <c r="P308" s="38">
        <f>'Automated raw'!$F308</f>
        <v>51</v>
      </c>
      <c r="Q308" s="42">
        <f>IFERROR('Automated raw'!$P308*'Automated raw'!$L308,0)</f>
        <v>58395</v>
      </c>
      <c r="R308" s="38" t="str">
        <f>IF('Automated raw'!$O308&gt;=60%,"High",IF('Automated raw'!$O308&gt;=30%,"Avg",IF('Automated raw'!$O308&lt;30%,"Dead Stock","Incomplete")))</f>
        <v>Dead Stock</v>
      </c>
      <c r="S308" s="43" t="str">
        <f>TEXT('Automated raw'!$B308,"mmm")</f>
        <v>Sep</v>
      </c>
      <c r="T308" s="82">
        <f>'Automated raw'!$G308*'Automated raw'!$M308</f>
        <v>7317</v>
      </c>
      <c r="U308" s="6">
        <f>IFERROR((Table7[[#This Row],[Stock In(Total)]]+Table7[[#This Row],[In Stock or Remaining]])/2,"-")</f>
        <v>52.5</v>
      </c>
      <c r="V308" s="93">
        <f>IFERROR(Table7[[#This Row],[Stock_Out]]/Table7[[#This Row],[Avg Inventory]],"-")</f>
        <v>5.7142857142857141E-2</v>
      </c>
      <c r="W308" s="6"/>
      <c r="X308" s="6"/>
      <c r="Y308" s="6"/>
      <c r="Z308" s="6"/>
      <c r="AA308" s="6"/>
      <c r="AB308" s="6"/>
      <c r="AC308" s="6"/>
      <c r="AD308" s="6"/>
      <c r="AE308" s="6"/>
      <c r="AF308" s="6"/>
      <c r="AG308" s="6"/>
      <c r="AH308" s="6"/>
      <c r="AI308" s="6"/>
      <c r="AJ308" s="6"/>
      <c r="AK308" s="6"/>
      <c r="AL308" s="56" t="s">
        <v>69</v>
      </c>
      <c r="AM308" s="56">
        <v>45351</v>
      </c>
      <c r="AN308" s="56" t="s">
        <v>16</v>
      </c>
      <c r="AO308" s="56" t="s">
        <v>17</v>
      </c>
      <c r="AP308" s="56" t="s">
        <v>33</v>
      </c>
      <c r="AQ308" s="56">
        <v>34</v>
      </c>
      <c r="AR308" s="56">
        <v>85</v>
      </c>
      <c r="AS308" s="56">
        <v>119</v>
      </c>
      <c r="AT308" s="56">
        <v>187</v>
      </c>
      <c r="AU308" s="56">
        <v>78</v>
      </c>
      <c r="AV308" s="56">
        <v>12</v>
      </c>
      <c r="AW308" s="56">
        <v>678</v>
      </c>
      <c r="AX308" s="56">
        <v>1220</v>
      </c>
      <c r="AY308" s="56">
        <v>0.7142857142857143</v>
      </c>
      <c r="AZ308" s="56">
        <v>0.7142857142857143</v>
      </c>
      <c r="BA308" s="56">
        <v>34</v>
      </c>
      <c r="BB308" s="56">
        <v>23052</v>
      </c>
      <c r="BC308" s="56" t="s">
        <v>552</v>
      </c>
      <c r="BD308" s="56" t="s">
        <v>555</v>
      </c>
      <c r="BE308" s="56">
        <v>103700</v>
      </c>
    </row>
    <row r="309" spans="1:57" x14ac:dyDescent="0.3">
      <c r="A309" s="38" t="s">
        <v>407</v>
      </c>
      <c r="B309" s="39">
        <v>45576</v>
      </c>
      <c r="C309" s="38" t="s">
        <v>45</v>
      </c>
      <c r="D309" s="38" t="s">
        <v>20</v>
      </c>
      <c r="E309" s="38" t="s">
        <v>23</v>
      </c>
      <c r="F309" s="40">
        <v>126</v>
      </c>
      <c r="G309" s="38">
        <v>107</v>
      </c>
      <c r="H309" s="38">
        <f>IFERROR('Automated raw'!$F374+'Automated raw'!$G374,"-")</f>
        <v>95</v>
      </c>
      <c r="I309" s="38">
        <v>275</v>
      </c>
      <c r="J309" s="38">
        <v>45</v>
      </c>
      <c r="K309" s="38">
        <v>14</v>
      </c>
      <c r="L309" s="38">
        <v>1379</v>
      </c>
      <c r="M309" s="38">
        <v>1966</v>
      </c>
      <c r="N309" s="38">
        <f>'Automated raw'!$G374/'Automated raw'!$H374</f>
        <v>0.27485380116959063</v>
      </c>
      <c r="O309" s="41">
        <f>IFERROR('Automated raw'!$G374/'Automated raw'!$H374,"incomplete")</f>
        <v>0.27485380116959063</v>
      </c>
      <c r="P309" s="38">
        <f>'Automated raw'!$F374</f>
        <v>48</v>
      </c>
      <c r="Q309" s="42">
        <f>IFERROR('Automated raw'!$P374*'Automated raw'!$L374,0)</f>
        <v>109158</v>
      </c>
      <c r="R309" s="38" t="str">
        <f>IF('Automated raw'!$O374&gt;=60%,"High",IF('Automated raw'!$O374&gt;=30%,"Avg",IF('Automated raw'!$O374&lt;30%,"Dead Stock","Incomplete")))</f>
        <v>Avg</v>
      </c>
      <c r="S309" s="43" t="str">
        <f>TEXT('Automated raw'!$B374,"mmm")</f>
        <v>Mar</v>
      </c>
      <c r="T309" s="82">
        <f>'Automated raw'!$G374*'Automated raw'!$M374</f>
        <v>58985</v>
      </c>
      <c r="U309" s="6">
        <f>IFERROR((Table7[[#This Row],[Stock In(Total)]]+Table7[[#This Row],[In Stock or Remaining]])/2,"-")</f>
        <v>110.5</v>
      </c>
      <c r="V309" s="93">
        <f>IFERROR(Table7[[#This Row],[Stock_Out]]/Table7[[#This Row],[Avg Inventory]],"-")</f>
        <v>0.96832579185520362</v>
      </c>
      <c r="W309" s="6"/>
      <c r="X309" s="6"/>
      <c r="Y309" s="6"/>
      <c r="Z309" s="6"/>
      <c r="AA309" s="6"/>
      <c r="AB309" s="6"/>
      <c r="AC309" s="6"/>
      <c r="AD309" s="6"/>
      <c r="AE309" s="6"/>
      <c r="AF309" s="6"/>
      <c r="AG309" s="6"/>
      <c r="AH309" s="6"/>
      <c r="AI309" s="6"/>
      <c r="AJ309" s="6"/>
      <c r="AK309" s="6"/>
      <c r="AL309" s="56" t="s">
        <v>164</v>
      </c>
      <c r="AM309" s="56">
        <v>45403</v>
      </c>
      <c r="AN309" s="56" t="s">
        <v>16</v>
      </c>
      <c r="AO309" s="56" t="s">
        <v>20</v>
      </c>
      <c r="AP309" s="56" t="s">
        <v>38</v>
      </c>
      <c r="AQ309" s="56" t="s">
        <v>23</v>
      </c>
      <c r="AR309" s="56">
        <v>54</v>
      </c>
      <c r="AS309" s="56" t="s">
        <v>568</v>
      </c>
      <c r="AT309" s="56">
        <v>273</v>
      </c>
      <c r="AU309" s="56">
        <v>32</v>
      </c>
      <c r="AV309" s="56">
        <v>4</v>
      </c>
      <c r="AW309" s="56">
        <v>1728</v>
      </c>
      <c r="AX309" s="56">
        <v>1885</v>
      </c>
      <c r="AY309" s="56" t="e">
        <v>#VALUE!</v>
      </c>
      <c r="AZ309" s="56" t="s">
        <v>569</v>
      </c>
      <c r="BA309" s="56" t="s">
        <v>23</v>
      </c>
      <c r="BB309" s="56">
        <v>0</v>
      </c>
      <c r="BC309" s="56" t="s">
        <v>552</v>
      </c>
      <c r="BD309" s="56" t="s">
        <v>558</v>
      </c>
      <c r="BE309" s="56">
        <v>101790</v>
      </c>
    </row>
    <row r="310" spans="1:57" x14ac:dyDescent="0.3">
      <c r="A310" s="38" t="s">
        <v>343</v>
      </c>
      <c r="B310" s="39">
        <v>45494</v>
      </c>
      <c r="C310" s="38" t="s">
        <v>53</v>
      </c>
      <c r="D310" s="38" t="s">
        <v>17</v>
      </c>
      <c r="E310" s="38" t="s">
        <v>38</v>
      </c>
      <c r="F310" s="40">
        <v>45</v>
      </c>
      <c r="G310" s="38">
        <v>84</v>
      </c>
      <c r="H310" s="38">
        <f>IFERROR('Automated raw'!$F310+'Automated raw'!$G310,"-")</f>
        <v>129</v>
      </c>
      <c r="I310" s="38">
        <v>192</v>
      </c>
      <c r="J310" s="38">
        <v>39</v>
      </c>
      <c r="K310" s="38">
        <v>10</v>
      </c>
      <c r="L310" s="38">
        <v>968</v>
      </c>
      <c r="M310" s="38">
        <v>2276</v>
      </c>
      <c r="N310" s="38">
        <f>'Automated raw'!$G310/'Automated raw'!$H310</f>
        <v>0.65116279069767447</v>
      </c>
      <c r="O310" s="41">
        <f>IFERROR('Automated raw'!$G310/'Automated raw'!$H310,"incomplete")</f>
        <v>0.65116279069767447</v>
      </c>
      <c r="P310" s="38">
        <f>'Automated raw'!$F310</f>
        <v>45</v>
      </c>
      <c r="Q310" s="42">
        <f>IFERROR('Automated raw'!$P310*'Automated raw'!$L310,0)</f>
        <v>43560</v>
      </c>
      <c r="R310" s="38" t="str">
        <f>IF('Automated raw'!$O310&gt;=60%,"High",IF('Automated raw'!$O310&gt;=30%,"Avg",IF('Automated raw'!$O310&lt;30%,"Dead Stock","Incomplete")))</f>
        <v>High</v>
      </c>
      <c r="S310" s="43" t="str">
        <f>TEXT('Automated raw'!$B310,"mmm")</f>
        <v>Jul</v>
      </c>
      <c r="T310" s="82">
        <f>'Automated raw'!$G310*'Automated raw'!$M310</f>
        <v>191184</v>
      </c>
      <c r="U310" s="6">
        <f>IFERROR((Table7[[#This Row],[Stock In(Total)]]+Table7[[#This Row],[In Stock or Remaining]])/2,"-")</f>
        <v>87</v>
      </c>
      <c r="V310" s="93">
        <f>IFERROR(Table7[[#This Row],[Stock_Out]]/Table7[[#This Row],[Avg Inventory]],"-")</f>
        <v>0.96551724137931039</v>
      </c>
      <c r="W310" s="6"/>
      <c r="X310" s="6"/>
      <c r="Y310" s="6"/>
      <c r="Z310" s="6"/>
      <c r="AA310" s="6"/>
      <c r="AB310" s="6"/>
      <c r="AC310" s="6"/>
      <c r="AD310" s="6"/>
      <c r="AE310" s="6"/>
      <c r="AF310" s="6"/>
      <c r="AG310" s="6"/>
      <c r="AH310" s="6"/>
      <c r="AI310" s="6"/>
      <c r="AJ310" s="6"/>
      <c r="AK310" s="6"/>
      <c r="AL310" s="57" t="s">
        <v>134</v>
      </c>
      <c r="AM310" s="57">
        <v>45604</v>
      </c>
      <c r="AN310" s="57" t="s">
        <v>12</v>
      </c>
      <c r="AO310" s="57" t="s">
        <v>17</v>
      </c>
      <c r="AP310" s="57" t="s">
        <v>33</v>
      </c>
      <c r="AQ310" s="57">
        <v>28</v>
      </c>
      <c r="AR310" s="57">
        <v>111</v>
      </c>
      <c r="AS310" s="57">
        <v>139</v>
      </c>
      <c r="AT310" s="57">
        <v>185</v>
      </c>
      <c r="AU310" s="57">
        <v>45</v>
      </c>
      <c r="AV310" s="57">
        <v>8</v>
      </c>
      <c r="AW310" s="57">
        <v>272</v>
      </c>
      <c r="AX310" s="57">
        <v>907</v>
      </c>
      <c r="AY310" s="57">
        <v>0.79856115107913672</v>
      </c>
      <c r="AZ310" s="57">
        <v>0.79856115107913672</v>
      </c>
      <c r="BA310" s="57">
        <v>28</v>
      </c>
      <c r="BB310" s="57">
        <v>7616</v>
      </c>
      <c r="BC310" s="57" t="s">
        <v>552</v>
      </c>
      <c r="BD310" s="57" t="s">
        <v>564</v>
      </c>
      <c r="BE310" s="57">
        <v>100677</v>
      </c>
    </row>
    <row r="311" spans="1:57" x14ac:dyDescent="0.3">
      <c r="A311" s="44" t="s">
        <v>344</v>
      </c>
      <c r="B311" s="45">
        <v>45646</v>
      </c>
      <c r="C311" s="44" t="s">
        <v>12</v>
      </c>
      <c r="D311" s="44" t="s">
        <v>13</v>
      </c>
      <c r="E311" s="44" t="s">
        <v>21</v>
      </c>
      <c r="F311" s="40">
        <v>11</v>
      </c>
      <c r="G311" s="44">
        <v>56</v>
      </c>
      <c r="H311" s="44">
        <f>IFERROR('Automated raw'!$F311+'Automated raw'!$G311,"-")</f>
        <v>67</v>
      </c>
      <c r="I311" s="44">
        <v>285</v>
      </c>
      <c r="J311" s="44">
        <v>71</v>
      </c>
      <c r="K311" s="44">
        <v>9</v>
      </c>
      <c r="L311" s="44">
        <v>594</v>
      </c>
      <c r="M311" s="44">
        <v>767</v>
      </c>
      <c r="N311" s="44">
        <f>'Automated raw'!$G311/'Automated raw'!$H311</f>
        <v>0.83582089552238803</v>
      </c>
      <c r="O311" s="46">
        <f>IFERROR('Automated raw'!$G311/'Automated raw'!$H311,"incomplete")</f>
        <v>0.83582089552238803</v>
      </c>
      <c r="P311" s="44">
        <f>'Automated raw'!$F311</f>
        <v>11</v>
      </c>
      <c r="Q311" s="47">
        <f>IFERROR('Automated raw'!$P311*'Automated raw'!$L311,0)</f>
        <v>6534</v>
      </c>
      <c r="R311" s="44" t="str">
        <f>IF('Automated raw'!$O311&gt;=60%,"High",IF('Automated raw'!$O311&gt;=30%,"Avg",IF('Automated raw'!$O311&lt;30%,"Dead Stock","Incomplete")))</f>
        <v>High</v>
      </c>
      <c r="S311" s="48" t="str">
        <f>TEXT('Automated raw'!$B311,"mmm")</f>
        <v>Dec</v>
      </c>
      <c r="T311" s="83">
        <f>'Automated raw'!$G311*'Automated raw'!$M311</f>
        <v>42952</v>
      </c>
      <c r="U311" s="6">
        <f>IFERROR((Table7[[#This Row],[Stock In(Total)]]+Table7[[#This Row],[In Stock or Remaining]])/2,"-")</f>
        <v>39</v>
      </c>
      <c r="V311" s="93">
        <f>IFERROR(Table7[[#This Row],[Stock_Out]]/Table7[[#This Row],[Avg Inventory]],"-")</f>
        <v>1.4358974358974359</v>
      </c>
      <c r="W311" s="6"/>
      <c r="X311" s="6"/>
      <c r="Y311" s="6"/>
      <c r="Z311" s="6"/>
      <c r="AA311" s="6"/>
      <c r="AB311" s="6"/>
      <c r="AC311" s="6"/>
      <c r="AD311" s="6"/>
      <c r="AE311" s="6"/>
      <c r="AF311" s="6"/>
      <c r="AG311" s="6"/>
      <c r="AH311" s="6"/>
      <c r="AI311" s="6"/>
      <c r="AJ311" s="6"/>
      <c r="AK311" s="6"/>
      <c r="AL311" s="57" t="s">
        <v>24</v>
      </c>
      <c r="AM311" s="57">
        <v>45529</v>
      </c>
      <c r="AN311" s="57" t="s">
        <v>16</v>
      </c>
      <c r="AO311" s="57" t="s">
        <v>13</v>
      </c>
      <c r="AP311" s="57" t="s">
        <v>21</v>
      </c>
      <c r="AQ311" s="57" t="s">
        <v>23</v>
      </c>
      <c r="AR311" s="57">
        <v>65</v>
      </c>
      <c r="AS311" s="57" t="s">
        <v>568</v>
      </c>
      <c r="AT311" s="57">
        <v>183</v>
      </c>
      <c r="AU311" s="57">
        <v>58</v>
      </c>
      <c r="AV311" s="57">
        <v>4</v>
      </c>
      <c r="AW311" s="57">
        <v>575</v>
      </c>
      <c r="AX311" s="57">
        <v>1541</v>
      </c>
      <c r="AY311" s="57" t="e">
        <v>#VALUE!</v>
      </c>
      <c r="AZ311" s="57" t="s">
        <v>569</v>
      </c>
      <c r="BA311" s="57" t="s">
        <v>23</v>
      </c>
      <c r="BB311" s="57">
        <v>0</v>
      </c>
      <c r="BC311" s="57" t="s">
        <v>552</v>
      </c>
      <c r="BD311" s="57" t="s">
        <v>554</v>
      </c>
      <c r="BE311" s="57">
        <v>100165</v>
      </c>
    </row>
    <row r="312" spans="1:57" x14ac:dyDescent="0.3">
      <c r="A312" s="44" t="s">
        <v>56</v>
      </c>
      <c r="B312" s="45">
        <v>45360</v>
      </c>
      <c r="C312" s="44" t="s">
        <v>30</v>
      </c>
      <c r="D312" s="44" t="s">
        <v>13</v>
      </c>
      <c r="E312" s="44" t="s">
        <v>21</v>
      </c>
      <c r="F312" s="40">
        <v>87</v>
      </c>
      <c r="G312" s="44">
        <v>74</v>
      </c>
      <c r="H312" s="44">
        <f>IFERROR('Automated raw'!$F29+'Automated raw'!$G29,"-")</f>
        <v>172</v>
      </c>
      <c r="I312" s="44">
        <v>128</v>
      </c>
      <c r="J312" s="44">
        <v>56</v>
      </c>
      <c r="K312" s="44">
        <v>13</v>
      </c>
      <c r="L312" s="44">
        <v>666</v>
      </c>
      <c r="M312" s="44">
        <v>1457</v>
      </c>
      <c r="N312" s="44">
        <f>'Automated raw'!$G29/'Automated raw'!$H29</f>
        <v>0.41538461538461541</v>
      </c>
      <c r="O312" s="46">
        <f>IFERROR('Automated raw'!$G29/'Automated raw'!$H29,"incomplete")</f>
        <v>0.41538461538461541</v>
      </c>
      <c r="P312" s="44">
        <f>'Automated raw'!$F29</f>
        <v>118</v>
      </c>
      <c r="Q312" s="47">
        <f>IFERROR('Automated raw'!$P29*'Automated raw'!$L29,0)</f>
        <v>85697</v>
      </c>
      <c r="R312" s="44" t="str">
        <f>IF('Automated raw'!$O29&gt;=60%,"High",IF('Automated raw'!$O29&gt;=30%,"Avg",IF('Automated raw'!$O29&lt;30%,"Dead Stock","Incomplete")))</f>
        <v>Avg</v>
      </c>
      <c r="S312" s="48" t="str">
        <f>TEXT('Automated raw'!$B29,"mmm")</f>
        <v>Jan</v>
      </c>
      <c r="T312" s="83">
        <f>'Automated raw'!$G29*'Automated raw'!$M29</f>
        <v>99198</v>
      </c>
      <c r="U312" s="6">
        <f>IFERROR((Table7[[#This Row],[Stock In(Total)]]+Table7[[#This Row],[In Stock or Remaining]])/2,"-")</f>
        <v>129.5</v>
      </c>
      <c r="V312" s="93">
        <f>IFERROR(Table7[[#This Row],[Stock_Out]]/Table7[[#This Row],[Avg Inventory]],"-")</f>
        <v>0.5714285714285714</v>
      </c>
      <c r="W312" s="6"/>
      <c r="X312" s="6"/>
      <c r="Y312" s="6"/>
      <c r="Z312" s="6"/>
      <c r="AA312" s="6"/>
      <c r="AB312" s="6"/>
      <c r="AC312" s="6"/>
      <c r="AD312" s="6"/>
      <c r="AE312" s="6"/>
      <c r="AF312" s="6"/>
      <c r="AG312" s="6"/>
      <c r="AH312" s="6"/>
      <c r="AI312" s="6"/>
      <c r="AJ312" s="6"/>
      <c r="AK312" s="6"/>
      <c r="AL312" s="56" t="s">
        <v>100</v>
      </c>
      <c r="AM312" s="56">
        <v>45301</v>
      </c>
      <c r="AN312" s="56" t="s">
        <v>53</v>
      </c>
      <c r="AO312" s="56" t="s">
        <v>17</v>
      </c>
      <c r="AP312" s="56" t="s">
        <v>33</v>
      </c>
      <c r="AQ312" s="56">
        <v>34</v>
      </c>
      <c r="AR312" s="56">
        <v>74</v>
      </c>
      <c r="AS312" s="56">
        <v>108</v>
      </c>
      <c r="AT312" s="56">
        <v>265</v>
      </c>
      <c r="AU312" s="56">
        <v>48</v>
      </c>
      <c r="AV312" s="56">
        <v>12</v>
      </c>
      <c r="AW312" s="56">
        <v>660</v>
      </c>
      <c r="AX312" s="56">
        <v>1348</v>
      </c>
      <c r="AY312" s="56">
        <v>0.68518518518518523</v>
      </c>
      <c r="AZ312" s="56">
        <v>0.68518518518518523</v>
      </c>
      <c r="BA312" s="56">
        <v>34</v>
      </c>
      <c r="BB312" s="56">
        <v>22440</v>
      </c>
      <c r="BC312" s="56" t="s">
        <v>552</v>
      </c>
      <c r="BD312" s="56" t="s">
        <v>557</v>
      </c>
      <c r="BE312" s="56">
        <v>99752</v>
      </c>
    </row>
    <row r="313" spans="1:57" x14ac:dyDescent="0.3">
      <c r="A313" s="38" t="s">
        <v>101</v>
      </c>
      <c r="B313" s="39">
        <v>45314</v>
      </c>
      <c r="C313" s="38" t="s">
        <v>45</v>
      </c>
      <c r="D313" s="38" t="s">
        <v>17</v>
      </c>
      <c r="E313" s="38" t="s">
        <v>21</v>
      </c>
      <c r="F313" s="40">
        <v>112</v>
      </c>
      <c r="G313" s="38">
        <v>96</v>
      </c>
      <c r="H313" s="38">
        <f>IFERROR('Automated raw'!$F74+'Automated raw'!$G74,"-")</f>
        <v>135</v>
      </c>
      <c r="I313" s="38">
        <v>193</v>
      </c>
      <c r="J313" s="38">
        <v>56</v>
      </c>
      <c r="K313" s="38">
        <v>8</v>
      </c>
      <c r="L313" s="38">
        <v>1026</v>
      </c>
      <c r="M313" s="38">
        <v>2049</v>
      </c>
      <c r="N313" s="38">
        <f>'Automated raw'!$G74/'Automated raw'!$H74</f>
        <v>0.20353982300884957</v>
      </c>
      <c r="O313" s="41">
        <f>IFERROR('Automated raw'!$G74/'Automated raw'!$H74,"incomplete")</f>
        <v>0.20353982300884957</v>
      </c>
      <c r="P313" s="38">
        <f>'Automated raw'!$F74</f>
        <v>89</v>
      </c>
      <c r="Q313" s="42">
        <f>IFERROR('Automated raw'!$P74*'Automated raw'!$L74,0)</f>
        <v>89436</v>
      </c>
      <c r="R313" s="38" t="str">
        <f>IF('Automated raw'!$O74&gt;=60%,"High",IF('Automated raw'!$O74&gt;=30%,"Avg",IF('Automated raw'!$O74&lt;30%,"Dead Stock","Incomplete")))</f>
        <v>High</v>
      </c>
      <c r="S313" s="43" t="str">
        <f>TEXT('Automated raw'!$B74,"mmm")</f>
        <v>Oct</v>
      </c>
      <c r="T313" s="82">
        <f>'Automated raw'!$G74*'Automated raw'!$M74</f>
        <v>48622</v>
      </c>
      <c r="U313" s="6">
        <f>IFERROR((Table7[[#This Row],[Stock In(Total)]]+Table7[[#This Row],[In Stock or Remaining]])/2,"-")</f>
        <v>123.5</v>
      </c>
      <c r="V313" s="93">
        <f>IFERROR(Table7[[#This Row],[Stock_Out]]/Table7[[#This Row],[Avg Inventory]],"-")</f>
        <v>0.77732793522267207</v>
      </c>
      <c r="W313" s="6"/>
      <c r="X313" s="6"/>
      <c r="Y313" s="6"/>
      <c r="Z313" s="6"/>
      <c r="AA313" s="6"/>
      <c r="AB313" s="6"/>
      <c r="AC313" s="6"/>
      <c r="AD313" s="6"/>
      <c r="AE313" s="6"/>
      <c r="AF313" s="6"/>
      <c r="AG313" s="6"/>
      <c r="AH313" s="6"/>
      <c r="AI313" s="6"/>
      <c r="AJ313" s="6"/>
      <c r="AK313" s="6"/>
      <c r="AL313" s="57" t="s">
        <v>437</v>
      </c>
      <c r="AM313" s="57">
        <v>45656</v>
      </c>
      <c r="AN313" s="57" t="s">
        <v>53</v>
      </c>
      <c r="AO313" s="57" t="s">
        <v>13</v>
      </c>
      <c r="AP313" s="57" t="s">
        <v>38</v>
      </c>
      <c r="AQ313" s="57">
        <v>13</v>
      </c>
      <c r="AR313" s="57">
        <v>64</v>
      </c>
      <c r="AS313" s="57">
        <v>77</v>
      </c>
      <c r="AT313" s="57">
        <v>201</v>
      </c>
      <c r="AU313" s="57">
        <v>54</v>
      </c>
      <c r="AV313" s="57">
        <v>4</v>
      </c>
      <c r="AW313" s="57">
        <v>1341</v>
      </c>
      <c r="AX313" s="57">
        <v>1553</v>
      </c>
      <c r="AY313" s="57">
        <v>0.83116883116883122</v>
      </c>
      <c r="AZ313" s="57">
        <v>0.83116883116883122</v>
      </c>
      <c r="BA313" s="57">
        <v>13</v>
      </c>
      <c r="BB313" s="57">
        <v>17433</v>
      </c>
      <c r="BC313" s="57" t="s">
        <v>552</v>
      </c>
      <c r="BD313" s="57" t="s">
        <v>563</v>
      </c>
      <c r="BE313" s="57">
        <v>99392</v>
      </c>
    </row>
    <row r="314" spans="1:57" x14ac:dyDescent="0.3">
      <c r="A314" s="38" t="s">
        <v>347</v>
      </c>
      <c r="B314" s="39">
        <v>45524</v>
      </c>
      <c r="C314" s="38" t="s">
        <v>19</v>
      </c>
      <c r="D314" s="38" t="s">
        <v>13</v>
      </c>
      <c r="E314" s="38" t="s">
        <v>33</v>
      </c>
      <c r="F314" s="40">
        <v>46</v>
      </c>
      <c r="G314" s="38">
        <v>100</v>
      </c>
      <c r="H314" s="38">
        <f>IFERROR('Automated raw'!$F314+'Automated raw'!$G314,"-")</f>
        <v>146</v>
      </c>
      <c r="I314" s="38">
        <v>201</v>
      </c>
      <c r="J314" s="38">
        <v>38</v>
      </c>
      <c r="K314" s="38">
        <v>13</v>
      </c>
      <c r="L314" s="38">
        <v>212</v>
      </c>
      <c r="M314" s="38">
        <v>357</v>
      </c>
      <c r="N314" s="38">
        <f>'Automated raw'!$G314/'Automated raw'!$H314</f>
        <v>0.68493150684931503</v>
      </c>
      <c r="O314" s="41">
        <f>IFERROR('Automated raw'!$G314/'Automated raw'!$H314,"incomplete")</f>
        <v>0.68493150684931503</v>
      </c>
      <c r="P314" s="38">
        <f>'Automated raw'!$F314</f>
        <v>46</v>
      </c>
      <c r="Q314" s="42">
        <f>IFERROR('Automated raw'!$P314*'Automated raw'!$L314,0)</f>
        <v>9752</v>
      </c>
      <c r="R314" s="38" t="str">
        <f>IF('Automated raw'!$O314&gt;=60%,"High",IF('Automated raw'!$O314&gt;=30%,"Avg",IF('Automated raw'!$O314&lt;30%,"Dead Stock","Incomplete")))</f>
        <v>High</v>
      </c>
      <c r="S314" s="43" t="str">
        <f>TEXT('Automated raw'!$B314,"mmm")</f>
        <v>Aug</v>
      </c>
      <c r="T314" s="82">
        <f>'Automated raw'!$G314*'Automated raw'!$M314</f>
        <v>35700</v>
      </c>
      <c r="U314" s="6">
        <f>IFERROR((Table7[[#This Row],[Stock In(Total)]]+Table7[[#This Row],[In Stock or Remaining]])/2,"-")</f>
        <v>96</v>
      </c>
      <c r="V314" s="93">
        <f>IFERROR(Table7[[#This Row],[Stock_Out]]/Table7[[#This Row],[Avg Inventory]],"-")</f>
        <v>1.0416666666666667</v>
      </c>
      <c r="W314" s="6"/>
      <c r="X314" s="6"/>
      <c r="Y314" s="6"/>
      <c r="Z314" s="6"/>
      <c r="AA314" s="6"/>
      <c r="AB314" s="6"/>
      <c r="AC314" s="6"/>
      <c r="AD314" s="6"/>
      <c r="AE314" s="6"/>
      <c r="AF314" s="6"/>
      <c r="AG314" s="6"/>
      <c r="AH314" s="6"/>
      <c r="AI314" s="6"/>
      <c r="AJ314" s="6"/>
      <c r="AK314" s="6"/>
      <c r="AL314" s="57" t="s">
        <v>46</v>
      </c>
      <c r="AM314" s="57">
        <v>45565</v>
      </c>
      <c r="AN314" s="57" t="s">
        <v>37</v>
      </c>
      <c r="AO314" s="57" t="s">
        <v>13</v>
      </c>
      <c r="AP314" s="57" t="s">
        <v>21</v>
      </c>
      <c r="AQ314" s="57">
        <v>26</v>
      </c>
      <c r="AR314" s="57">
        <v>62</v>
      </c>
      <c r="AS314" s="57">
        <v>88</v>
      </c>
      <c r="AT314" s="57">
        <v>162</v>
      </c>
      <c r="AU314" s="57">
        <v>36</v>
      </c>
      <c r="AV314" s="57">
        <v>14</v>
      </c>
      <c r="AW314" s="57">
        <v>366</v>
      </c>
      <c r="AX314" s="57">
        <v>1546</v>
      </c>
      <c r="AY314" s="57">
        <v>0.70454545454545459</v>
      </c>
      <c r="AZ314" s="57">
        <v>0.70454545454545459</v>
      </c>
      <c r="BA314" s="57">
        <v>26</v>
      </c>
      <c r="BB314" s="57">
        <v>9516</v>
      </c>
      <c r="BC314" s="57" t="s">
        <v>552</v>
      </c>
      <c r="BD314" s="57" t="s">
        <v>560</v>
      </c>
      <c r="BE314" s="57">
        <v>95852</v>
      </c>
    </row>
    <row r="315" spans="1:57" x14ac:dyDescent="0.3">
      <c r="A315" s="44" t="s">
        <v>348</v>
      </c>
      <c r="B315" s="45">
        <v>45466</v>
      </c>
      <c r="C315" s="44" t="s">
        <v>30</v>
      </c>
      <c r="D315" s="44" t="s">
        <v>17</v>
      </c>
      <c r="E315" s="44" t="s">
        <v>38</v>
      </c>
      <c r="F315" s="40">
        <v>147</v>
      </c>
      <c r="G315" s="44">
        <v>61</v>
      </c>
      <c r="H315" s="44">
        <f>IFERROR('Automated raw'!$F315+'Automated raw'!$G315,"-")</f>
        <v>208</v>
      </c>
      <c r="I315" s="44">
        <v>37</v>
      </c>
      <c r="J315" s="44">
        <v>55</v>
      </c>
      <c r="K315" s="44">
        <v>9</v>
      </c>
      <c r="L315" s="44">
        <v>1346</v>
      </c>
      <c r="M315" s="44">
        <v>2252</v>
      </c>
      <c r="N315" s="44">
        <f>'Automated raw'!$G315/'Automated raw'!$H315</f>
        <v>0.29326923076923078</v>
      </c>
      <c r="O315" s="46">
        <f>IFERROR('Automated raw'!$G315/'Automated raw'!$H315,"incomplete")</f>
        <v>0.29326923076923078</v>
      </c>
      <c r="P315" s="44">
        <f>'Automated raw'!$F315</f>
        <v>147</v>
      </c>
      <c r="Q315" s="47">
        <f>IFERROR('Automated raw'!$P315*'Automated raw'!$L315,0)</f>
        <v>197862</v>
      </c>
      <c r="R315" s="44" t="str">
        <f>IF('Automated raw'!$O315&gt;=60%,"High",IF('Automated raw'!$O315&gt;=30%,"Avg",IF('Automated raw'!$O315&lt;30%,"Dead Stock","Incomplete")))</f>
        <v>Dead Stock</v>
      </c>
      <c r="S315" s="48" t="str">
        <f>TEXT('Automated raw'!$B315,"mmm")</f>
        <v>Jun</v>
      </c>
      <c r="T315" s="83">
        <f>'Automated raw'!$G315*'Automated raw'!$M315</f>
        <v>137372</v>
      </c>
      <c r="U315" s="6">
        <f>IFERROR((Table7[[#This Row],[Stock In(Total)]]+Table7[[#This Row],[In Stock or Remaining]])/2,"-")</f>
        <v>177.5</v>
      </c>
      <c r="V315" s="93">
        <f>IFERROR(Table7[[#This Row],[Stock_Out]]/Table7[[#This Row],[Avg Inventory]],"-")</f>
        <v>0.3436619718309859</v>
      </c>
      <c r="W315" s="6"/>
      <c r="X315" s="6"/>
      <c r="Y315" s="6"/>
      <c r="Z315" s="6"/>
      <c r="AA315" s="6"/>
      <c r="AB315" s="6"/>
      <c r="AC315" s="6"/>
      <c r="AD315" s="6"/>
      <c r="AE315" s="6"/>
      <c r="AF315" s="6"/>
      <c r="AG315" s="6"/>
      <c r="AH315" s="6"/>
      <c r="AI315" s="6"/>
      <c r="AJ315" s="6"/>
      <c r="AK315" s="6"/>
      <c r="AL315" s="57" t="s">
        <v>358</v>
      </c>
      <c r="AM315" s="57">
        <v>45428</v>
      </c>
      <c r="AN315" s="57" t="s">
        <v>26</v>
      </c>
      <c r="AO315" s="57" t="s">
        <v>17</v>
      </c>
      <c r="AP315" s="57" t="s">
        <v>21</v>
      </c>
      <c r="AQ315" s="57">
        <v>7</v>
      </c>
      <c r="AR315" s="57">
        <v>64</v>
      </c>
      <c r="AS315" s="57">
        <v>71</v>
      </c>
      <c r="AT315" s="57">
        <v>288</v>
      </c>
      <c r="AU315" s="57">
        <v>77</v>
      </c>
      <c r="AV315" s="57">
        <v>15</v>
      </c>
      <c r="AW315" s="57">
        <v>1028</v>
      </c>
      <c r="AX315" s="57">
        <v>1439</v>
      </c>
      <c r="AY315" s="57">
        <v>0.90140845070422537</v>
      </c>
      <c r="AZ315" s="57">
        <v>0.90140845070422537</v>
      </c>
      <c r="BA315" s="57">
        <v>7</v>
      </c>
      <c r="BB315" s="57">
        <v>7196</v>
      </c>
      <c r="BC315" s="57" t="s">
        <v>552</v>
      </c>
      <c r="BD315" s="57" t="s">
        <v>561</v>
      </c>
      <c r="BE315" s="57">
        <v>92096</v>
      </c>
    </row>
    <row r="316" spans="1:57" x14ac:dyDescent="0.3">
      <c r="A316" s="38" t="s">
        <v>349</v>
      </c>
      <c r="B316" s="39">
        <v>45645</v>
      </c>
      <c r="C316" s="38" t="s">
        <v>45</v>
      </c>
      <c r="D316" s="38" t="s">
        <v>17</v>
      </c>
      <c r="E316" s="38" t="s">
        <v>23</v>
      </c>
      <c r="F316" s="40">
        <v>65</v>
      </c>
      <c r="G316" s="38">
        <v>17</v>
      </c>
      <c r="H316" s="38">
        <f>IFERROR('Automated raw'!$F316+'Automated raw'!$G316,"-")</f>
        <v>82</v>
      </c>
      <c r="I316" s="38">
        <v>201</v>
      </c>
      <c r="J316" s="38">
        <v>43</v>
      </c>
      <c r="K316" s="38">
        <v>4</v>
      </c>
      <c r="L316" s="38">
        <v>1906</v>
      </c>
      <c r="M316" s="38">
        <v>2098</v>
      </c>
      <c r="N316" s="38">
        <f>'Automated raw'!$G316/'Automated raw'!$H316</f>
        <v>0.2073170731707317</v>
      </c>
      <c r="O316" s="41">
        <f>IFERROR('Automated raw'!$G316/'Automated raw'!$H316,"incomplete")</f>
        <v>0.2073170731707317</v>
      </c>
      <c r="P316" s="38">
        <f>'Automated raw'!$F316</f>
        <v>65</v>
      </c>
      <c r="Q316" s="42">
        <f>IFERROR('Automated raw'!$P316*'Automated raw'!$L316,0)</f>
        <v>123890</v>
      </c>
      <c r="R316" s="38" t="str">
        <f>IF('Automated raw'!$O316&gt;=60%,"High",IF('Automated raw'!$O316&gt;=30%,"Avg",IF('Automated raw'!$O316&lt;30%,"Dead Stock","Incomplete")))</f>
        <v>Dead Stock</v>
      </c>
      <c r="S316" s="43" t="str">
        <f>TEXT('Automated raw'!$B316,"mmm")</f>
        <v>Dec</v>
      </c>
      <c r="T316" s="82">
        <f>'Automated raw'!$G316*'Automated raw'!$M316</f>
        <v>35666</v>
      </c>
      <c r="U316" s="6">
        <f>IFERROR((Table7[[#This Row],[Stock In(Total)]]+Table7[[#This Row],[In Stock or Remaining]])/2,"-")</f>
        <v>73.5</v>
      </c>
      <c r="V316" s="93">
        <f>IFERROR(Table7[[#This Row],[Stock_Out]]/Table7[[#This Row],[Avg Inventory]],"-")</f>
        <v>0.23129251700680273</v>
      </c>
      <c r="W316" s="6"/>
      <c r="X316" s="6"/>
      <c r="Y316" s="6"/>
      <c r="Z316" s="6"/>
      <c r="AA316" s="6"/>
      <c r="AB316" s="6"/>
      <c r="AC316" s="6"/>
      <c r="AD316" s="6"/>
      <c r="AE316" s="6"/>
      <c r="AF316" s="6"/>
      <c r="AG316" s="6"/>
      <c r="AH316" s="6"/>
      <c r="AI316" s="6"/>
      <c r="AJ316" s="6"/>
      <c r="AK316" s="6"/>
      <c r="AL316" s="57" t="s">
        <v>411</v>
      </c>
      <c r="AM316" s="57">
        <v>45322</v>
      </c>
      <c r="AN316" s="57" t="s">
        <v>30</v>
      </c>
      <c r="AO316" s="57" t="s">
        <v>20</v>
      </c>
      <c r="AP316" s="57" t="s">
        <v>14</v>
      </c>
      <c r="AQ316" s="57">
        <v>60</v>
      </c>
      <c r="AR316" s="57">
        <v>97</v>
      </c>
      <c r="AS316" s="57">
        <v>157</v>
      </c>
      <c r="AT316" s="57">
        <v>194</v>
      </c>
      <c r="AU316" s="57">
        <v>74</v>
      </c>
      <c r="AV316" s="57">
        <v>2</v>
      </c>
      <c r="AW316" s="57">
        <v>529</v>
      </c>
      <c r="AX316" s="57">
        <v>934</v>
      </c>
      <c r="AY316" s="57">
        <v>0.61783439490445857</v>
      </c>
      <c r="AZ316" s="57">
        <v>0.61783439490445857</v>
      </c>
      <c r="BA316" s="57">
        <v>60</v>
      </c>
      <c r="BB316" s="57">
        <v>31740</v>
      </c>
      <c r="BC316" s="57" t="s">
        <v>552</v>
      </c>
      <c r="BD316" s="57" t="s">
        <v>557</v>
      </c>
      <c r="BE316" s="57">
        <v>90598</v>
      </c>
    </row>
    <row r="317" spans="1:57" x14ac:dyDescent="0.3">
      <c r="A317" s="44" t="s">
        <v>394</v>
      </c>
      <c r="B317" s="45">
        <v>45401</v>
      </c>
      <c r="C317" s="44" t="s">
        <v>53</v>
      </c>
      <c r="D317" s="44" t="s">
        <v>20</v>
      </c>
      <c r="E317" s="44" t="s">
        <v>14</v>
      </c>
      <c r="F317" s="40">
        <v>56</v>
      </c>
      <c r="G317" s="44">
        <v>48</v>
      </c>
      <c r="H317" s="44">
        <f>IFERROR('Automated raw'!$F361+'Automated raw'!$G361,"-")</f>
        <v>203</v>
      </c>
      <c r="I317" s="44">
        <v>215</v>
      </c>
      <c r="J317" s="44">
        <v>62</v>
      </c>
      <c r="K317" s="44">
        <v>9</v>
      </c>
      <c r="L317" s="44">
        <v>1645</v>
      </c>
      <c r="M317" s="44">
        <v>2818</v>
      </c>
      <c r="N317" s="44">
        <f>'Automated raw'!$G361/'Automated raw'!$H361</f>
        <v>0.74242424242424243</v>
      </c>
      <c r="O317" s="46">
        <f>IFERROR('Automated raw'!$G361/'Automated raw'!$H361,"incomplete")</f>
        <v>0.74242424242424243</v>
      </c>
      <c r="P317" s="44">
        <f>'Automated raw'!$F361</f>
        <v>105</v>
      </c>
      <c r="Q317" s="47">
        <f>IFERROR('Automated raw'!$P361*'Automated raw'!$L361,0)</f>
        <v>90360</v>
      </c>
      <c r="R317" s="44" t="str">
        <f>IF('Automated raw'!$O361&gt;=60%,"High",IF('Automated raw'!$O361&gt;=30%,"Avg",IF('Automated raw'!$O361&lt;30%,"Dead Stock","Incomplete")))</f>
        <v>Dead Stock</v>
      </c>
      <c r="S317" s="48" t="str">
        <f>TEXT('Automated raw'!$B361,"mmm")</f>
        <v>Nov</v>
      </c>
      <c r="T317" s="83">
        <f>'Automated raw'!$G361*'Automated raw'!$M361</f>
        <v>133966</v>
      </c>
      <c r="U317" s="6">
        <f>IFERROR((Table7[[#This Row],[Stock In(Total)]]+Table7[[#This Row],[In Stock or Remaining]])/2,"-")</f>
        <v>129.5</v>
      </c>
      <c r="V317" s="93">
        <f>IFERROR(Table7[[#This Row],[Stock_Out]]/Table7[[#This Row],[Avg Inventory]],"-")</f>
        <v>0.37065637065637064</v>
      </c>
      <c r="W317" s="6"/>
      <c r="X317" s="6"/>
      <c r="Y317" s="6"/>
      <c r="Z317" s="6"/>
      <c r="AA317" s="6"/>
      <c r="AB317" s="6"/>
      <c r="AC317" s="6"/>
      <c r="AD317" s="6"/>
      <c r="AE317" s="6"/>
      <c r="AF317" s="6"/>
      <c r="AG317" s="6"/>
      <c r="AH317" s="6"/>
      <c r="AI317" s="6"/>
      <c r="AJ317" s="6"/>
      <c r="AK317" s="6"/>
      <c r="AL317" s="57" t="s">
        <v>435</v>
      </c>
      <c r="AM317" s="57">
        <v>45610</v>
      </c>
      <c r="AN317" s="57" t="s">
        <v>146</v>
      </c>
      <c r="AO317" s="57" t="s">
        <v>13</v>
      </c>
      <c r="AP317" s="57" t="s">
        <v>33</v>
      </c>
      <c r="AQ317" s="57" t="s">
        <v>23</v>
      </c>
      <c r="AR317" s="57">
        <v>49</v>
      </c>
      <c r="AS317" s="57" t="s">
        <v>568</v>
      </c>
      <c r="AT317" s="57">
        <v>32</v>
      </c>
      <c r="AU317" s="57">
        <v>68</v>
      </c>
      <c r="AV317" s="57">
        <v>10</v>
      </c>
      <c r="AW317" s="57">
        <v>1308</v>
      </c>
      <c r="AX317" s="57">
        <v>1842</v>
      </c>
      <c r="AY317" s="57" t="e">
        <v>#VALUE!</v>
      </c>
      <c r="AZ317" s="57" t="s">
        <v>569</v>
      </c>
      <c r="BA317" s="57" t="s">
        <v>23</v>
      </c>
      <c r="BB317" s="57">
        <v>0</v>
      </c>
      <c r="BC317" s="57" t="s">
        <v>552</v>
      </c>
      <c r="BD317" s="57" t="s">
        <v>564</v>
      </c>
      <c r="BE317" s="57">
        <v>90258</v>
      </c>
    </row>
    <row r="318" spans="1:57" x14ac:dyDescent="0.3">
      <c r="A318" s="38" t="s">
        <v>351</v>
      </c>
      <c r="B318" s="39">
        <v>45296</v>
      </c>
      <c r="C318" s="38" t="s">
        <v>16</v>
      </c>
      <c r="D318" s="38" t="s">
        <v>17</v>
      </c>
      <c r="E318" s="38" t="s">
        <v>23</v>
      </c>
      <c r="F318" s="40" t="s">
        <v>23</v>
      </c>
      <c r="G318" s="38">
        <v>13</v>
      </c>
      <c r="H318" s="38" t="str">
        <f>IFERROR('Automated raw'!$F318+'Automated raw'!$G318,"-")</f>
        <v>-</v>
      </c>
      <c r="I318" s="38">
        <v>198</v>
      </c>
      <c r="J318" s="38">
        <v>76</v>
      </c>
      <c r="K318" s="38">
        <v>15</v>
      </c>
      <c r="L318" s="38">
        <v>1968</v>
      </c>
      <c r="M318" s="38">
        <v>2630</v>
      </c>
      <c r="N318" s="38" t="e">
        <f>'Automated raw'!$G318/'Automated raw'!$H318</f>
        <v>#VALUE!</v>
      </c>
      <c r="O318" s="49" t="str">
        <f>IFERROR('Automated raw'!$G318/'Automated raw'!$H318,"incomplete")</f>
        <v>incomplete</v>
      </c>
      <c r="P318" s="38" t="str">
        <f>'Automated raw'!$F318</f>
        <v>Not Available</v>
      </c>
      <c r="Q318" s="42">
        <f>IFERROR('Automated raw'!$P318*'Automated raw'!$L318,0)</f>
        <v>0</v>
      </c>
      <c r="R318" s="38" t="str">
        <f>IF('Automated raw'!$O318&gt;=60%,"High",IF('Automated raw'!$O318&gt;=30%,"Avg",IF('Automated raw'!$O318&lt;30%,"Dead Stock","Incomplete")))</f>
        <v>High</v>
      </c>
      <c r="S318" s="43" t="str">
        <f>TEXT('Automated raw'!$B318,"mmm")</f>
        <v>Jan</v>
      </c>
      <c r="T318" s="82">
        <f>'Automated raw'!$G318*'Automated raw'!$M318</f>
        <v>34190</v>
      </c>
      <c r="U318" s="6" t="str">
        <f>IFERROR((Table7[[#This Row],[Stock In(Total)]]+Table7[[#This Row],[In Stock or Remaining]])/2,"-")</f>
        <v>-</v>
      </c>
      <c r="V318" s="93" t="str">
        <f>IFERROR(Table7[[#This Row],[Stock_Out]]/Table7[[#This Row],[Avg Inventory]],"-")</f>
        <v>-</v>
      </c>
      <c r="W318" s="6"/>
      <c r="X318" s="6"/>
      <c r="Y318" s="6"/>
      <c r="Z318" s="6"/>
      <c r="AA318" s="6"/>
      <c r="AB318" s="6"/>
      <c r="AC318" s="6"/>
      <c r="AD318" s="6"/>
      <c r="AE318" s="6"/>
      <c r="AF318" s="6"/>
      <c r="AG318" s="6"/>
      <c r="AH318" s="6"/>
      <c r="AI318" s="6"/>
      <c r="AJ318" s="6"/>
      <c r="AK318" s="6"/>
      <c r="AL318" s="56" t="s">
        <v>533</v>
      </c>
      <c r="AM318" s="56">
        <v>45342</v>
      </c>
      <c r="AN318" s="56" t="s">
        <v>37</v>
      </c>
      <c r="AO318" s="56" t="s">
        <v>20</v>
      </c>
      <c r="AP318" s="56" t="s">
        <v>33</v>
      </c>
      <c r="AQ318" s="56">
        <v>24</v>
      </c>
      <c r="AR318" s="56">
        <v>83</v>
      </c>
      <c r="AS318" s="56">
        <v>107</v>
      </c>
      <c r="AT318" s="56">
        <v>20</v>
      </c>
      <c r="AU318" s="56">
        <v>67</v>
      </c>
      <c r="AV318" s="56">
        <v>8</v>
      </c>
      <c r="AW318" s="56">
        <v>599</v>
      </c>
      <c r="AX318" s="56">
        <v>1078</v>
      </c>
      <c r="AY318" s="56">
        <v>0.77570093457943923</v>
      </c>
      <c r="AZ318" s="56">
        <v>0.77570093457943923</v>
      </c>
      <c r="BA318" s="56">
        <v>24</v>
      </c>
      <c r="BB318" s="56">
        <v>14376</v>
      </c>
      <c r="BC318" s="56" t="s">
        <v>552</v>
      </c>
      <c r="BD318" s="56" t="s">
        <v>555</v>
      </c>
      <c r="BE318" s="56">
        <v>89474</v>
      </c>
    </row>
    <row r="319" spans="1:57" x14ac:dyDescent="0.3">
      <c r="A319" s="44" t="s">
        <v>352</v>
      </c>
      <c r="B319" s="45">
        <v>45445</v>
      </c>
      <c r="C319" s="44" t="s">
        <v>26</v>
      </c>
      <c r="D319" s="44" t="s">
        <v>17</v>
      </c>
      <c r="E319" s="44" t="s">
        <v>33</v>
      </c>
      <c r="F319" s="40">
        <v>24</v>
      </c>
      <c r="G319" s="44">
        <v>39</v>
      </c>
      <c r="H319" s="44">
        <f>IFERROR('Automated raw'!$F319+'Automated raw'!$G319,"-")</f>
        <v>63</v>
      </c>
      <c r="I319" s="44">
        <v>198</v>
      </c>
      <c r="J319" s="44">
        <v>53</v>
      </c>
      <c r="K319" s="44">
        <v>9</v>
      </c>
      <c r="L319" s="44">
        <v>1723</v>
      </c>
      <c r="M319" s="44">
        <v>2221</v>
      </c>
      <c r="N319" s="44">
        <f>'Automated raw'!$G319/'Automated raw'!$H319</f>
        <v>0.61904761904761907</v>
      </c>
      <c r="O319" s="46">
        <f>IFERROR('Automated raw'!$G319/'Automated raw'!$H319,"incomplete")</f>
        <v>0.61904761904761907</v>
      </c>
      <c r="P319" s="44">
        <f>'Automated raw'!$F319</f>
        <v>24</v>
      </c>
      <c r="Q319" s="47">
        <f>IFERROR('Automated raw'!$P319*'Automated raw'!$L319,0)</f>
        <v>41352</v>
      </c>
      <c r="R319" s="44" t="str">
        <f>IF('Automated raw'!$O319&gt;=60%,"High",IF('Automated raw'!$O319&gt;=30%,"Avg",IF('Automated raw'!$O319&lt;30%,"Dead Stock","Incomplete")))</f>
        <v>High</v>
      </c>
      <c r="S319" s="48" t="str">
        <f>TEXT('Automated raw'!$B319,"mmm")</f>
        <v>Jun</v>
      </c>
      <c r="T319" s="83">
        <f>'Automated raw'!$G319*'Automated raw'!$M319</f>
        <v>86619</v>
      </c>
      <c r="U319" s="6">
        <f>IFERROR((Table7[[#This Row],[Stock In(Total)]]+Table7[[#This Row],[In Stock or Remaining]])/2,"-")</f>
        <v>43.5</v>
      </c>
      <c r="V319" s="93">
        <f>IFERROR(Table7[[#This Row],[Stock_Out]]/Table7[[#This Row],[Avg Inventory]],"-")</f>
        <v>0.89655172413793105</v>
      </c>
      <c r="W319" s="6"/>
      <c r="X319" s="6"/>
      <c r="Y319" s="6"/>
      <c r="Z319" s="6"/>
      <c r="AA319" s="6"/>
      <c r="AB319" s="6"/>
      <c r="AC319" s="6"/>
      <c r="AD319" s="6"/>
      <c r="AE319" s="6"/>
      <c r="AF319" s="6"/>
      <c r="AG319" s="6"/>
      <c r="AH319" s="6"/>
      <c r="AI319" s="6"/>
      <c r="AJ319" s="6"/>
      <c r="AK319" s="6"/>
      <c r="AL319" s="56" t="s">
        <v>55</v>
      </c>
      <c r="AM319" s="56">
        <v>45392</v>
      </c>
      <c r="AN319" s="56" t="s">
        <v>30</v>
      </c>
      <c r="AO319" s="56" t="s">
        <v>20</v>
      </c>
      <c r="AP319" s="56" t="s">
        <v>38</v>
      </c>
      <c r="AQ319" s="56">
        <v>35</v>
      </c>
      <c r="AR319" s="56">
        <v>75</v>
      </c>
      <c r="AS319" s="56">
        <v>110</v>
      </c>
      <c r="AT319" s="56">
        <v>16</v>
      </c>
      <c r="AU319" s="56">
        <v>48</v>
      </c>
      <c r="AV319" s="56">
        <v>13</v>
      </c>
      <c r="AW319" s="56">
        <v>570</v>
      </c>
      <c r="AX319" s="56">
        <v>1182</v>
      </c>
      <c r="AY319" s="56">
        <v>0.68181818181818177</v>
      </c>
      <c r="AZ319" s="56">
        <v>0.68181818181818177</v>
      </c>
      <c r="BA319" s="56">
        <v>35</v>
      </c>
      <c r="BB319" s="56">
        <v>19950</v>
      </c>
      <c r="BC319" s="56" t="s">
        <v>552</v>
      </c>
      <c r="BD319" s="56" t="s">
        <v>558</v>
      </c>
      <c r="BE319" s="56">
        <v>88650</v>
      </c>
    </row>
    <row r="320" spans="1:57" x14ac:dyDescent="0.3">
      <c r="A320" s="38" t="s">
        <v>353</v>
      </c>
      <c r="B320" s="39">
        <v>45335</v>
      </c>
      <c r="C320" s="38" t="s">
        <v>45</v>
      </c>
      <c r="D320" s="38" t="s">
        <v>13</v>
      </c>
      <c r="E320" s="38" t="s">
        <v>14</v>
      </c>
      <c r="F320" s="40">
        <v>65</v>
      </c>
      <c r="G320" s="38">
        <v>110</v>
      </c>
      <c r="H320" s="38">
        <f>IFERROR('Automated raw'!$F320+'Automated raw'!$G320,"-")</f>
        <v>175</v>
      </c>
      <c r="I320" s="38">
        <v>28</v>
      </c>
      <c r="J320" s="38">
        <v>48</v>
      </c>
      <c r="K320" s="38">
        <v>3</v>
      </c>
      <c r="L320" s="38">
        <v>1558</v>
      </c>
      <c r="M320" s="38">
        <v>1689</v>
      </c>
      <c r="N320" s="38">
        <f>'Automated raw'!$G320/'Automated raw'!$H320</f>
        <v>0.62857142857142856</v>
      </c>
      <c r="O320" s="41">
        <f>IFERROR('Automated raw'!$G320/'Automated raw'!$H320,"incomplete")</f>
        <v>0.62857142857142856</v>
      </c>
      <c r="P320" s="38">
        <f>'Automated raw'!$F320</f>
        <v>65</v>
      </c>
      <c r="Q320" s="42">
        <f>IFERROR('Automated raw'!$P320*'Automated raw'!$L320,0)</f>
        <v>101270</v>
      </c>
      <c r="R320" s="38" t="str">
        <f>IF('Automated raw'!$O320&gt;=60%,"High",IF('Automated raw'!$O320&gt;=30%,"Avg",IF('Automated raw'!$O320&lt;30%,"Dead Stock","Incomplete")))</f>
        <v>High</v>
      </c>
      <c r="S320" s="43" t="str">
        <f>TEXT('Automated raw'!$B320,"mmm")</f>
        <v>Feb</v>
      </c>
      <c r="T320" s="82">
        <f>'Automated raw'!$G320*'Automated raw'!$M320</f>
        <v>185790</v>
      </c>
      <c r="U320" s="6">
        <f>IFERROR((Table7[[#This Row],[Stock In(Total)]]+Table7[[#This Row],[In Stock or Remaining]])/2,"-")</f>
        <v>120</v>
      </c>
      <c r="V320" s="93">
        <f>IFERROR(Table7[[#This Row],[Stock_Out]]/Table7[[#This Row],[Avg Inventory]],"-")</f>
        <v>0.91666666666666663</v>
      </c>
      <c r="W320" s="6"/>
      <c r="X320" s="6"/>
      <c r="Y320" s="6"/>
      <c r="Z320" s="6"/>
      <c r="AA320" s="6"/>
      <c r="AB320" s="6"/>
      <c r="AC320" s="6"/>
      <c r="AD320" s="6"/>
      <c r="AE320" s="6"/>
      <c r="AF320" s="6"/>
      <c r="AG320" s="6"/>
      <c r="AH320" s="6"/>
      <c r="AI320" s="6"/>
      <c r="AJ320" s="6"/>
      <c r="AK320" s="6"/>
      <c r="AL320" s="57" t="s">
        <v>154</v>
      </c>
      <c r="AM320" s="57">
        <v>45377</v>
      </c>
      <c r="AN320" s="57" t="s">
        <v>26</v>
      </c>
      <c r="AO320" s="57" t="s">
        <v>20</v>
      </c>
      <c r="AP320" s="57" t="s">
        <v>38</v>
      </c>
      <c r="AQ320" s="57">
        <v>16</v>
      </c>
      <c r="AR320" s="57">
        <v>38</v>
      </c>
      <c r="AS320" s="57">
        <v>54</v>
      </c>
      <c r="AT320" s="57">
        <v>96</v>
      </c>
      <c r="AU320" s="57">
        <v>78</v>
      </c>
      <c r="AV320" s="57">
        <v>12</v>
      </c>
      <c r="AW320" s="57">
        <v>1564</v>
      </c>
      <c r="AX320" s="57">
        <v>2283</v>
      </c>
      <c r="AY320" s="57">
        <v>0.70370370370370372</v>
      </c>
      <c r="AZ320" s="57">
        <v>0.70370370370370372</v>
      </c>
      <c r="BA320" s="57">
        <v>16</v>
      </c>
      <c r="BB320" s="57">
        <v>25024</v>
      </c>
      <c r="BC320" s="57" t="s">
        <v>552</v>
      </c>
      <c r="BD320" s="57" t="s">
        <v>562</v>
      </c>
      <c r="BE320" s="57">
        <v>86754</v>
      </c>
    </row>
    <row r="321" spans="1:57" x14ac:dyDescent="0.3">
      <c r="A321" s="38" t="s">
        <v>314</v>
      </c>
      <c r="B321" s="39">
        <v>45414</v>
      </c>
      <c r="C321" s="38" t="s">
        <v>19</v>
      </c>
      <c r="D321" s="38" t="s">
        <v>13</v>
      </c>
      <c r="E321" s="38" t="s">
        <v>33</v>
      </c>
      <c r="F321" s="40">
        <v>59</v>
      </c>
      <c r="G321" s="38">
        <v>51</v>
      </c>
      <c r="H321" s="38">
        <f>IFERROR('Automated raw'!$F282+'Automated raw'!$G282,"-")</f>
        <v>211</v>
      </c>
      <c r="I321" s="38">
        <v>180</v>
      </c>
      <c r="J321" s="38">
        <v>64</v>
      </c>
      <c r="K321" s="38">
        <v>8</v>
      </c>
      <c r="L321" s="38">
        <v>232</v>
      </c>
      <c r="M321" s="38">
        <v>1307</v>
      </c>
      <c r="N321" s="38">
        <f>'Automated raw'!$G282/'Automated raw'!$H282</f>
        <v>0.38524590163934425</v>
      </c>
      <c r="O321" s="41">
        <f>IFERROR('Automated raw'!$G282/'Automated raw'!$H282,"incomplete")</f>
        <v>0.38524590163934425</v>
      </c>
      <c r="P321" s="38">
        <f>'Automated raw'!$F282</f>
        <v>117</v>
      </c>
      <c r="Q321" s="42">
        <f>IFERROR('Automated raw'!$P282*'Automated raw'!$L282,0)</f>
        <v>220176</v>
      </c>
      <c r="R321" s="38" t="str">
        <f>IF('Automated raw'!$O282&gt;=60%,"High",IF('Automated raw'!$O282&gt;=30%,"Avg",IF('Automated raw'!$O282&lt;30%,"Dead Stock","Incomplete")))</f>
        <v>Avg</v>
      </c>
      <c r="S321" s="43" t="str">
        <f>TEXT('Automated raw'!$B282,"mmm")</f>
        <v>Dec</v>
      </c>
      <c r="T321" s="82">
        <f>'Automated raw'!$G282*'Automated raw'!$M282</f>
        <v>199938</v>
      </c>
      <c r="U321" s="6">
        <f>IFERROR((Table7[[#This Row],[Stock In(Total)]]+Table7[[#This Row],[In Stock or Remaining]])/2,"-")</f>
        <v>135</v>
      </c>
      <c r="V321" s="93">
        <f>IFERROR(Table7[[#This Row],[Stock_Out]]/Table7[[#This Row],[Avg Inventory]],"-")</f>
        <v>0.37777777777777777</v>
      </c>
      <c r="W321" s="6"/>
      <c r="X321" s="6"/>
      <c r="Y321" s="6"/>
      <c r="Z321" s="6"/>
      <c r="AA321" s="6"/>
      <c r="AB321" s="6"/>
      <c r="AC321" s="6"/>
      <c r="AD321" s="6"/>
      <c r="AE321" s="6"/>
      <c r="AF321" s="6"/>
      <c r="AG321" s="6"/>
      <c r="AH321" s="6"/>
      <c r="AI321" s="6"/>
      <c r="AJ321" s="6"/>
      <c r="AK321" s="6"/>
      <c r="AL321" s="57" t="s">
        <v>352</v>
      </c>
      <c r="AM321" s="57">
        <v>45445</v>
      </c>
      <c r="AN321" s="57" t="s">
        <v>26</v>
      </c>
      <c r="AO321" s="57" t="s">
        <v>17</v>
      </c>
      <c r="AP321" s="57" t="s">
        <v>33</v>
      </c>
      <c r="AQ321" s="57">
        <v>24</v>
      </c>
      <c r="AR321" s="57">
        <v>39</v>
      </c>
      <c r="AS321" s="57">
        <v>63</v>
      </c>
      <c r="AT321" s="57">
        <v>198</v>
      </c>
      <c r="AU321" s="57">
        <v>53</v>
      </c>
      <c r="AV321" s="57">
        <v>9</v>
      </c>
      <c r="AW321" s="57">
        <v>1723</v>
      </c>
      <c r="AX321" s="57">
        <v>2221</v>
      </c>
      <c r="AY321" s="57">
        <v>0.61904761904761907</v>
      </c>
      <c r="AZ321" s="57">
        <v>0.61904761904761907</v>
      </c>
      <c r="BA321" s="57">
        <v>24</v>
      </c>
      <c r="BB321" s="57">
        <v>41352</v>
      </c>
      <c r="BC321" s="57" t="s">
        <v>552</v>
      </c>
      <c r="BD321" s="57" t="s">
        <v>559</v>
      </c>
      <c r="BE321" s="57">
        <v>86619</v>
      </c>
    </row>
    <row r="322" spans="1:57" x14ac:dyDescent="0.3">
      <c r="A322" s="44" t="s">
        <v>189</v>
      </c>
      <c r="B322" s="45">
        <v>45618</v>
      </c>
      <c r="C322" s="44" t="s">
        <v>30</v>
      </c>
      <c r="D322" s="44" t="s">
        <v>20</v>
      </c>
      <c r="E322" s="44" t="s">
        <v>23</v>
      </c>
      <c r="F322" s="40">
        <v>67</v>
      </c>
      <c r="G322" s="44">
        <v>58</v>
      </c>
      <c r="H322" s="44">
        <f>IFERROR('Automated raw'!$F159+'Automated raw'!$G159,"-")</f>
        <v>235</v>
      </c>
      <c r="I322" s="44">
        <v>171</v>
      </c>
      <c r="J322" s="44">
        <v>40</v>
      </c>
      <c r="K322" s="44">
        <v>14</v>
      </c>
      <c r="L322" s="44">
        <v>1109</v>
      </c>
      <c r="M322" s="44">
        <v>1294</v>
      </c>
      <c r="N322" s="44">
        <f>'Automated raw'!$G159/'Automated raw'!$H159</f>
        <v>0.51136363636363635</v>
      </c>
      <c r="O322" s="46">
        <f>IFERROR('Automated raw'!$G159/'Automated raw'!$H159,"incomplete")</f>
        <v>0.51136363636363635</v>
      </c>
      <c r="P322" s="44">
        <f>'Automated raw'!$F159</f>
        <v>145</v>
      </c>
      <c r="Q322" s="47">
        <f>IFERROR('Automated raw'!$P159*'Automated raw'!$L159,0)</f>
        <v>47808</v>
      </c>
      <c r="R322" s="44" t="str">
        <f>IF('Automated raw'!$O159&gt;=60%,"High",IF('Automated raw'!$O159&gt;=30%,"Avg",IF('Automated raw'!$O159&lt;30%,"Dead Stock","Incomplete")))</f>
        <v>High</v>
      </c>
      <c r="S322" s="48" t="str">
        <f>TEXT('Automated raw'!$B159,"mmm")</f>
        <v>Jun</v>
      </c>
      <c r="T322" s="83">
        <f>'Automated raw'!$G159*'Automated raw'!$M159</f>
        <v>142290</v>
      </c>
      <c r="U322" s="6">
        <f>IFERROR((Table7[[#This Row],[Stock In(Total)]]+Table7[[#This Row],[In Stock or Remaining]])/2,"-")</f>
        <v>151</v>
      </c>
      <c r="V322" s="93">
        <f>IFERROR(Table7[[#This Row],[Stock_Out]]/Table7[[#This Row],[Avg Inventory]],"-")</f>
        <v>0.38410596026490068</v>
      </c>
      <c r="W322" s="6"/>
      <c r="X322" s="6"/>
      <c r="Y322" s="6"/>
      <c r="Z322" s="6"/>
      <c r="AA322" s="6"/>
      <c r="AB322" s="6"/>
      <c r="AC322" s="6"/>
      <c r="AD322" s="6"/>
      <c r="AE322" s="6"/>
      <c r="AF322" s="6"/>
      <c r="AG322" s="6"/>
      <c r="AH322" s="6"/>
      <c r="AI322" s="6"/>
      <c r="AJ322" s="6"/>
      <c r="AK322" s="6"/>
      <c r="AL322" s="57" t="s">
        <v>455</v>
      </c>
      <c r="AM322" s="57">
        <v>45623</v>
      </c>
      <c r="AN322" s="57" t="s">
        <v>37</v>
      </c>
      <c r="AO322" s="57" t="s">
        <v>20</v>
      </c>
      <c r="AP322" s="57" t="s">
        <v>14</v>
      </c>
      <c r="AQ322" s="57">
        <v>50</v>
      </c>
      <c r="AR322" s="57">
        <v>81</v>
      </c>
      <c r="AS322" s="57">
        <v>131</v>
      </c>
      <c r="AT322" s="57">
        <v>142</v>
      </c>
      <c r="AU322" s="57">
        <v>79</v>
      </c>
      <c r="AV322" s="57">
        <v>9</v>
      </c>
      <c r="AW322" s="57">
        <v>637</v>
      </c>
      <c r="AX322" s="57">
        <v>1058</v>
      </c>
      <c r="AY322" s="57">
        <v>0.61832061068702293</v>
      </c>
      <c r="AZ322" s="57">
        <v>0.61832061068702293</v>
      </c>
      <c r="BA322" s="57">
        <v>50</v>
      </c>
      <c r="BB322" s="57">
        <v>31850</v>
      </c>
      <c r="BC322" s="57" t="s">
        <v>552</v>
      </c>
      <c r="BD322" s="57" t="s">
        <v>564</v>
      </c>
      <c r="BE322" s="57">
        <v>85698</v>
      </c>
    </row>
    <row r="323" spans="1:57" x14ac:dyDescent="0.3">
      <c r="A323" s="38" t="s">
        <v>42</v>
      </c>
      <c r="B323" s="39">
        <v>45393</v>
      </c>
      <c r="C323" s="38" t="s">
        <v>12</v>
      </c>
      <c r="D323" s="38" t="s">
        <v>17</v>
      </c>
      <c r="E323" s="38" t="s">
        <v>38</v>
      </c>
      <c r="F323" s="40">
        <v>120</v>
      </c>
      <c r="G323" s="38">
        <v>106</v>
      </c>
      <c r="H323" s="38">
        <f>IFERROR('Automated raw'!$F18+'Automated raw'!$G18,"-")</f>
        <v>178</v>
      </c>
      <c r="I323" s="38">
        <v>278</v>
      </c>
      <c r="J323" s="38">
        <v>69</v>
      </c>
      <c r="K323" s="38">
        <v>14</v>
      </c>
      <c r="L323" s="38">
        <v>1289</v>
      </c>
      <c r="M323" s="38">
        <v>2411</v>
      </c>
      <c r="N323" s="38">
        <f>'Automated raw'!$G18/'Automated raw'!$H18</f>
        <v>0.29729729729729731</v>
      </c>
      <c r="O323" s="41">
        <f>IFERROR('Automated raw'!$G18/'Automated raw'!$H18,"incomplete")</f>
        <v>0.29729729729729731</v>
      </c>
      <c r="P323" s="38">
        <f>'Automated raw'!$F18</f>
        <v>123</v>
      </c>
      <c r="Q323" s="42">
        <f>IFERROR('Automated raw'!$P18*'Automated raw'!$L18,0)</f>
        <v>65664</v>
      </c>
      <c r="R323" s="38" t="str">
        <f>IF('Automated raw'!$O18&gt;=60%,"High",IF('Automated raw'!$O18&gt;=30%,"Avg",IF('Automated raw'!$O18&lt;30%,"Dead Stock","Incomplete")))</f>
        <v>Avg</v>
      </c>
      <c r="S323" s="43" t="str">
        <f>TEXT('Automated raw'!$B18,"mmm")</f>
        <v>May</v>
      </c>
      <c r="T323" s="82">
        <f>'Automated raw'!$G18*'Automated raw'!$M18</f>
        <v>46200</v>
      </c>
      <c r="U323" s="6">
        <f>IFERROR((Table7[[#This Row],[Stock In(Total)]]+Table7[[#This Row],[In Stock or Remaining]])/2,"-")</f>
        <v>149</v>
      </c>
      <c r="V323" s="93">
        <f>IFERROR(Table7[[#This Row],[Stock_Out]]/Table7[[#This Row],[Avg Inventory]],"-")</f>
        <v>0.71140939597315433</v>
      </c>
      <c r="W323" s="6"/>
      <c r="X323" s="6"/>
      <c r="Y323" s="6"/>
      <c r="Z323" s="6"/>
      <c r="AA323" s="6"/>
      <c r="AB323" s="6"/>
      <c r="AC323" s="6"/>
      <c r="AD323" s="6"/>
      <c r="AE323" s="6"/>
      <c r="AF323" s="6"/>
      <c r="AG323" s="6"/>
      <c r="AH323" s="6"/>
      <c r="AI323" s="6"/>
      <c r="AJ323" s="6"/>
      <c r="AK323" s="6"/>
      <c r="AL323" s="57" t="s">
        <v>330</v>
      </c>
      <c r="AM323" s="57">
        <v>45311</v>
      </c>
      <c r="AN323" s="57" t="s">
        <v>16</v>
      </c>
      <c r="AO323" s="57" t="s">
        <v>17</v>
      </c>
      <c r="AP323" s="57" t="s">
        <v>14</v>
      </c>
      <c r="AQ323" s="57">
        <v>22</v>
      </c>
      <c r="AR323" s="57">
        <v>58</v>
      </c>
      <c r="AS323" s="57">
        <v>80</v>
      </c>
      <c r="AT323" s="57">
        <v>258</v>
      </c>
      <c r="AU323" s="57">
        <v>30</v>
      </c>
      <c r="AV323" s="57">
        <v>2</v>
      </c>
      <c r="AW323" s="57">
        <v>676</v>
      </c>
      <c r="AX323" s="57">
        <v>1456</v>
      </c>
      <c r="AY323" s="57">
        <v>0.72499999999999998</v>
      </c>
      <c r="AZ323" s="57">
        <v>0.72499999999999998</v>
      </c>
      <c r="BA323" s="57">
        <v>22</v>
      </c>
      <c r="BB323" s="57">
        <v>14872</v>
      </c>
      <c r="BC323" s="57" t="s">
        <v>552</v>
      </c>
      <c r="BD323" s="57" t="s">
        <v>557</v>
      </c>
      <c r="BE323" s="57">
        <v>84448</v>
      </c>
    </row>
    <row r="324" spans="1:57" x14ac:dyDescent="0.3">
      <c r="A324" s="38" t="s">
        <v>357</v>
      </c>
      <c r="B324" s="39">
        <v>45533</v>
      </c>
      <c r="C324" s="38" t="s">
        <v>19</v>
      </c>
      <c r="D324" s="38" t="s">
        <v>20</v>
      </c>
      <c r="E324" s="38" t="s">
        <v>33</v>
      </c>
      <c r="F324" s="40">
        <v>136</v>
      </c>
      <c r="G324" s="38">
        <v>7</v>
      </c>
      <c r="H324" s="38">
        <f>IFERROR('Automated raw'!$F324+'Automated raw'!$G324,"-")</f>
        <v>143</v>
      </c>
      <c r="I324" s="38">
        <v>169</v>
      </c>
      <c r="J324" s="38">
        <v>37</v>
      </c>
      <c r="K324" s="38">
        <v>14</v>
      </c>
      <c r="L324" s="38">
        <v>1426</v>
      </c>
      <c r="M324" s="38">
        <v>1720</v>
      </c>
      <c r="N324" s="38">
        <f>'Automated raw'!$G324/'Automated raw'!$H324</f>
        <v>4.8951048951048952E-2</v>
      </c>
      <c r="O324" s="41">
        <f>IFERROR('Automated raw'!$G324/'Automated raw'!$H324,"incomplete")</f>
        <v>4.8951048951048952E-2</v>
      </c>
      <c r="P324" s="38">
        <f>'Automated raw'!$F324</f>
        <v>136</v>
      </c>
      <c r="Q324" s="42">
        <f>IFERROR('Automated raw'!$P324*'Automated raw'!$L324,0)</f>
        <v>193936</v>
      </c>
      <c r="R324" s="38" t="str">
        <f>IF('Automated raw'!$O324&gt;=60%,"High",IF('Automated raw'!$O324&gt;=30%,"Avg",IF('Automated raw'!$O324&lt;30%,"Dead Stock","Incomplete")))</f>
        <v>Dead Stock</v>
      </c>
      <c r="S324" s="43" t="str">
        <f>TEXT('Automated raw'!$B324,"mmm")</f>
        <v>Aug</v>
      </c>
      <c r="T324" s="82">
        <f>'Automated raw'!$G324*'Automated raw'!$M324</f>
        <v>12040</v>
      </c>
      <c r="U324" s="6">
        <f>IFERROR((Table7[[#This Row],[Stock In(Total)]]+Table7[[#This Row],[In Stock or Remaining]])/2,"-")</f>
        <v>139.5</v>
      </c>
      <c r="V324" s="93">
        <f>IFERROR(Table7[[#This Row],[Stock_Out]]/Table7[[#This Row],[Avg Inventory]],"-")</f>
        <v>5.0179211469534052E-2</v>
      </c>
      <c r="W324" s="6"/>
      <c r="X324" s="6"/>
      <c r="Y324" s="6"/>
      <c r="Z324" s="6"/>
      <c r="AA324" s="6"/>
      <c r="AB324" s="6"/>
      <c r="AC324" s="6"/>
      <c r="AD324" s="6"/>
      <c r="AE324" s="6"/>
      <c r="AF324" s="6"/>
      <c r="AG324" s="6"/>
      <c r="AH324" s="6"/>
      <c r="AI324" s="6"/>
      <c r="AJ324" s="6"/>
      <c r="AK324" s="6"/>
      <c r="AL324" s="56" t="s">
        <v>429</v>
      </c>
      <c r="AM324" s="56">
        <v>45485</v>
      </c>
      <c r="AN324" s="56" t="s">
        <v>151</v>
      </c>
      <c r="AO324" s="56" t="s">
        <v>17</v>
      </c>
      <c r="AP324" s="56" t="s">
        <v>23</v>
      </c>
      <c r="AQ324" s="56">
        <v>31</v>
      </c>
      <c r="AR324" s="56">
        <v>70</v>
      </c>
      <c r="AS324" s="56">
        <v>101</v>
      </c>
      <c r="AT324" s="56">
        <v>154</v>
      </c>
      <c r="AU324" s="56">
        <v>39</v>
      </c>
      <c r="AV324" s="56">
        <v>7</v>
      </c>
      <c r="AW324" s="56">
        <v>295</v>
      </c>
      <c r="AX324" s="56">
        <v>1156</v>
      </c>
      <c r="AY324" s="56">
        <v>0.69306930693069302</v>
      </c>
      <c r="AZ324" s="56">
        <v>0.69306930693069302</v>
      </c>
      <c r="BA324" s="56">
        <v>31</v>
      </c>
      <c r="BB324" s="56">
        <v>9145</v>
      </c>
      <c r="BC324" s="56" t="s">
        <v>552</v>
      </c>
      <c r="BD324" s="56" t="s">
        <v>556</v>
      </c>
      <c r="BE324" s="56">
        <v>80920</v>
      </c>
    </row>
    <row r="325" spans="1:57" x14ac:dyDescent="0.3">
      <c r="A325" s="44" t="s">
        <v>358</v>
      </c>
      <c r="B325" s="45">
        <v>45428</v>
      </c>
      <c r="C325" s="44" t="s">
        <v>26</v>
      </c>
      <c r="D325" s="44" t="s">
        <v>17</v>
      </c>
      <c r="E325" s="44" t="s">
        <v>21</v>
      </c>
      <c r="F325" s="40">
        <v>7</v>
      </c>
      <c r="G325" s="44">
        <v>64</v>
      </c>
      <c r="H325" s="44">
        <f>IFERROR('Automated raw'!$F325+'Automated raw'!$G325,"-")</f>
        <v>71</v>
      </c>
      <c r="I325" s="44">
        <v>288</v>
      </c>
      <c r="J325" s="44">
        <v>77</v>
      </c>
      <c r="K325" s="44">
        <v>15</v>
      </c>
      <c r="L325" s="44">
        <v>1028</v>
      </c>
      <c r="M325" s="44">
        <v>1439</v>
      </c>
      <c r="N325" s="44">
        <f>'Automated raw'!$G325/'Automated raw'!$H325</f>
        <v>0.90140845070422537</v>
      </c>
      <c r="O325" s="46">
        <f>IFERROR('Automated raw'!$G325/'Automated raw'!$H325,"incomplete")</f>
        <v>0.90140845070422537</v>
      </c>
      <c r="P325" s="44">
        <f>'Automated raw'!$F325</f>
        <v>7</v>
      </c>
      <c r="Q325" s="47">
        <f>IFERROR('Automated raw'!$P325*'Automated raw'!$L325,0)</f>
        <v>7196</v>
      </c>
      <c r="R325" s="44" t="str">
        <f>IF('Automated raw'!$O325&gt;=60%,"High",IF('Automated raw'!$O325&gt;=30%,"Avg",IF('Automated raw'!$O325&lt;30%,"Dead Stock","Incomplete")))</f>
        <v>High</v>
      </c>
      <c r="S325" s="48" t="str">
        <f>TEXT('Automated raw'!$B325,"mmm")</f>
        <v>May</v>
      </c>
      <c r="T325" s="83">
        <f>'Automated raw'!$G325*'Automated raw'!$M325</f>
        <v>92096</v>
      </c>
      <c r="U325" s="6">
        <f>IFERROR((Table7[[#This Row],[Stock In(Total)]]+Table7[[#This Row],[In Stock or Remaining]])/2,"-")</f>
        <v>39</v>
      </c>
      <c r="V325" s="93">
        <f>IFERROR(Table7[[#This Row],[Stock_Out]]/Table7[[#This Row],[Avg Inventory]],"-")</f>
        <v>1.641025641025641</v>
      </c>
      <c r="W325" s="6"/>
      <c r="X325" s="6"/>
      <c r="Y325" s="6"/>
      <c r="Z325" s="6"/>
      <c r="AA325" s="6"/>
      <c r="AB325" s="6"/>
      <c r="AC325" s="6"/>
      <c r="AD325" s="6"/>
      <c r="AE325" s="6"/>
      <c r="AF325" s="6"/>
      <c r="AG325" s="6"/>
      <c r="AH325" s="6"/>
      <c r="AI325" s="6"/>
      <c r="AJ325" s="6"/>
      <c r="AK325" s="6"/>
      <c r="AL325" s="57" t="s">
        <v>309</v>
      </c>
      <c r="AM325" s="57">
        <v>45639</v>
      </c>
      <c r="AN325" s="57" t="s">
        <v>19</v>
      </c>
      <c r="AO325" s="57" t="s">
        <v>20</v>
      </c>
      <c r="AP325" s="57" t="s">
        <v>14</v>
      </c>
      <c r="AQ325" s="57">
        <v>10</v>
      </c>
      <c r="AR325" s="57">
        <v>29</v>
      </c>
      <c r="AS325" s="57">
        <v>39</v>
      </c>
      <c r="AT325" s="57">
        <v>249</v>
      </c>
      <c r="AU325" s="57">
        <v>55</v>
      </c>
      <c r="AV325" s="57">
        <v>13</v>
      </c>
      <c r="AW325" s="57">
        <v>2000</v>
      </c>
      <c r="AX325" s="57">
        <v>2776</v>
      </c>
      <c r="AY325" s="57">
        <v>0.74358974358974361</v>
      </c>
      <c r="AZ325" s="57">
        <v>0.74358974358974361</v>
      </c>
      <c r="BA325" s="57">
        <v>10</v>
      </c>
      <c r="BB325" s="57">
        <v>20000</v>
      </c>
      <c r="BC325" s="57" t="s">
        <v>552</v>
      </c>
      <c r="BD325" s="57" t="s">
        <v>563</v>
      </c>
      <c r="BE325" s="57">
        <v>80504</v>
      </c>
    </row>
    <row r="326" spans="1:57" x14ac:dyDescent="0.3">
      <c r="A326" s="38" t="s">
        <v>359</v>
      </c>
      <c r="B326" s="39">
        <v>45601</v>
      </c>
      <c r="C326" s="38" t="s">
        <v>19</v>
      </c>
      <c r="D326" s="38" t="s">
        <v>20</v>
      </c>
      <c r="E326" s="38" t="s">
        <v>38</v>
      </c>
      <c r="F326" s="40">
        <v>95</v>
      </c>
      <c r="G326" s="38">
        <v>27</v>
      </c>
      <c r="H326" s="38">
        <f>IFERROR('Automated raw'!$F326+'Automated raw'!$G326,"-")</f>
        <v>122</v>
      </c>
      <c r="I326" s="38">
        <v>54</v>
      </c>
      <c r="J326" s="38">
        <v>40</v>
      </c>
      <c r="K326" s="38">
        <v>13</v>
      </c>
      <c r="L326" s="38">
        <v>1566</v>
      </c>
      <c r="M326" s="38">
        <v>2047</v>
      </c>
      <c r="N326" s="38">
        <f>'Automated raw'!$G326/'Automated raw'!$H326</f>
        <v>0.22131147540983606</v>
      </c>
      <c r="O326" s="41">
        <f>IFERROR('Automated raw'!$G326/'Automated raw'!$H326,"incomplete")</f>
        <v>0.22131147540983606</v>
      </c>
      <c r="P326" s="38">
        <f>'Automated raw'!$F326</f>
        <v>95</v>
      </c>
      <c r="Q326" s="42">
        <f>IFERROR('Automated raw'!$P326*'Automated raw'!$L326,0)</f>
        <v>148770</v>
      </c>
      <c r="R326" s="38" t="str">
        <f>IF('Automated raw'!$O326&gt;=60%,"High",IF('Automated raw'!$O326&gt;=30%,"Avg",IF('Automated raw'!$O326&lt;30%,"Dead Stock","Incomplete")))</f>
        <v>Dead Stock</v>
      </c>
      <c r="S326" s="43" t="str">
        <f>TEXT('Automated raw'!$B326,"mmm")</f>
        <v>Nov</v>
      </c>
      <c r="T326" s="82">
        <f>'Automated raw'!$G326*'Automated raw'!$M326</f>
        <v>55269</v>
      </c>
      <c r="U326" s="6">
        <f>IFERROR((Table7[[#This Row],[Stock In(Total)]]+Table7[[#This Row],[In Stock or Remaining]])/2,"-")</f>
        <v>108.5</v>
      </c>
      <c r="V326" s="93">
        <f>IFERROR(Table7[[#This Row],[Stock_Out]]/Table7[[#This Row],[Avg Inventory]],"-")</f>
        <v>0.24884792626728111</v>
      </c>
      <c r="W326" s="6"/>
      <c r="X326" s="6"/>
      <c r="Y326" s="6"/>
      <c r="Z326" s="6"/>
      <c r="AA326" s="6"/>
      <c r="AB326" s="6"/>
      <c r="AC326" s="6"/>
      <c r="AD326" s="6"/>
      <c r="AE326" s="6"/>
      <c r="AF326" s="6"/>
      <c r="AG326" s="6"/>
      <c r="AH326" s="6"/>
      <c r="AI326" s="6"/>
      <c r="AJ326" s="6"/>
      <c r="AK326" s="6"/>
      <c r="AL326" s="56" t="s">
        <v>365</v>
      </c>
      <c r="AM326" s="56">
        <v>45449</v>
      </c>
      <c r="AN326" s="56" t="s">
        <v>45</v>
      </c>
      <c r="AO326" s="56" t="s">
        <v>13</v>
      </c>
      <c r="AP326" s="56" t="s">
        <v>21</v>
      </c>
      <c r="AQ326" s="56" t="s">
        <v>23</v>
      </c>
      <c r="AR326" s="56">
        <v>64</v>
      </c>
      <c r="AS326" s="56" t="s">
        <v>568</v>
      </c>
      <c r="AT326" s="56">
        <v>102</v>
      </c>
      <c r="AU326" s="56">
        <v>65</v>
      </c>
      <c r="AV326" s="56">
        <v>15</v>
      </c>
      <c r="AW326" s="56">
        <v>237</v>
      </c>
      <c r="AX326" s="56">
        <v>1207</v>
      </c>
      <c r="AY326" s="56" t="e">
        <v>#VALUE!</v>
      </c>
      <c r="AZ326" s="56" t="s">
        <v>569</v>
      </c>
      <c r="BA326" s="56" t="s">
        <v>23</v>
      </c>
      <c r="BB326" s="56">
        <v>0</v>
      </c>
      <c r="BC326" s="56" t="s">
        <v>552</v>
      </c>
      <c r="BD326" s="56" t="s">
        <v>559</v>
      </c>
      <c r="BE326" s="56">
        <v>77248</v>
      </c>
    </row>
    <row r="327" spans="1:57" x14ac:dyDescent="0.3">
      <c r="A327" s="44" t="s">
        <v>360</v>
      </c>
      <c r="B327" s="45">
        <v>45369</v>
      </c>
      <c r="C327" s="44" t="s">
        <v>53</v>
      </c>
      <c r="D327" s="44" t="s">
        <v>17</v>
      </c>
      <c r="E327" s="44" t="s">
        <v>33</v>
      </c>
      <c r="F327" s="40">
        <v>119</v>
      </c>
      <c r="G327" s="44">
        <v>36</v>
      </c>
      <c r="H327" s="44">
        <f>IFERROR('Automated raw'!$F327+'Automated raw'!$G327,"-")</f>
        <v>155</v>
      </c>
      <c r="I327" s="44">
        <v>221</v>
      </c>
      <c r="J327" s="44">
        <v>78</v>
      </c>
      <c r="K327" s="44">
        <v>14</v>
      </c>
      <c r="L327" s="44">
        <v>402</v>
      </c>
      <c r="M327" s="44">
        <v>795</v>
      </c>
      <c r="N327" s="44">
        <f>'Automated raw'!$G327/'Automated raw'!$H327</f>
        <v>0.23225806451612904</v>
      </c>
      <c r="O327" s="46">
        <f>IFERROR('Automated raw'!$G327/'Automated raw'!$H327,"incomplete")</f>
        <v>0.23225806451612904</v>
      </c>
      <c r="P327" s="44">
        <f>'Automated raw'!$F327</f>
        <v>119</v>
      </c>
      <c r="Q327" s="47">
        <f>IFERROR('Automated raw'!$P327*'Automated raw'!$L327,0)</f>
        <v>47838</v>
      </c>
      <c r="R327" s="44" t="str">
        <f>IF('Automated raw'!$O327&gt;=60%,"High",IF('Automated raw'!$O327&gt;=30%,"Avg",IF('Automated raw'!$O327&lt;30%,"Dead Stock","Incomplete")))</f>
        <v>Dead Stock</v>
      </c>
      <c r="S327" s="48" t="str">
        <f>TEXT('Automated raw'!$B327,"mmm")</f>
        <v>Mar</v>
      </c>
      <c r="T327" s="83">
        <f>'Automated raw'!$G327*'Automated raw'!$M327</f>
        <v>28620</v>
      </c>
      <c r="U327" s="6">
        <f>IFERROR((Table7[[#This Row],[Stock In(Total)]]+Table7[[#This Row],[In Stock or Remaining]])/2,"-")</f>
        <v>137</v>
      </c>
      <c r="V327" s="93">
        <f>IFERROR(Table7[[#This Row],[Stock_Out]]/Table7[[#This Row],[Avg Inventory]],"-")</f>
        <v>0.26277372262773724</v>
      </c>
      <c r="W327" s="6"/>
      <c r="X327" s="6"/>
      <c r="Y327" s="6"/>
      <c r="Z327" s="6"/>
      <c r="AA327" s="6"/>
      <c r="AB327" s="6"/>
      <c r="AC327" s="6"/>
      <c r="AD327" s="6"/>
      <c r="AE327" s="6"/>
      <c r="AF327" s="6"/>
      <c r="AG327" s="6"/>
      <c r="AH327" s="6"/>
      <c r="AI327" s="6"/>
      <c r="AJ327" s="6"/>
      <c r="AK327" s="6"/>
      <c r="AL327" s="57" t="s">
        <v>105</v>
      </c>
      <c r="AM327" s="57">
        <v>45337</v>
      </c>
      <c r="AN327" s="57" t="s">
        <v>30</v>
      </c>
      <c r="AO327" s="57" t="s">
        <v>20</v>
      </c>
      <c r="AP327" s="57" t="s">
        <v>33</v>
      </c>
      <c r="AQ327" s="57">
        <v>25</v>
      </c>
      <c r="AR327" s="57">
        <v>42</v>
      </c>
      <c r="AS327" s="57">
        <v>67</v>
      </c>
      <c r="AT327" s="57">
        <v>184</v>
      </c>
      <c r="AU327" s="57">
        <v>77</v>
      </c>
      <c r="AV327" s="57">
        <v>10</v>
      </c>
      <c r="AW327" s="57">
        <v>882</v>
      </c>
      <c r="AX327" s="57">
        <v>1802</v>
      </c>
      <c r="AY327" s="57">
        <v>0.62686567164179108</v>
      </c>
      <c r="AZ327" s="57">
        <v>0.62686567164179108</v>
      </c>
      <c r="BA327" s="57">
        <v>25</v>
      </c>
      <c r="BB327" s="57">
        <v>22050</v>
      </c>
      <c r="BC327" s="57" t="s">
        <v>552</v>
      </c>
      <c r="BD327" s="57" t="s">
        <v>555</v>
      </c>
      <c r="BE327" s="57">
        <v>75684</v>
      </c>
    </row>
    <row r="328" spans="1:57" x14ac:dyDescent="0.3">
      <c r="A328" s="38" t="s">
        <v>361</v>
      </c>
      <c r="B328" s="39">
        <v>45530</v>
      </c>
      <c r="C328" s="38" t="s">
        <v>19</v>
      </c>
      <c r="D328" s="38" t="s">
        <v>13</v>
      </c>
      <c r="E328" s="38" t="s">
        <v>14</v>
      </c>
      <c r="F328" s="40">
        <v>107</v>
      </c>
      <c r="G328" s="38">
        <v>36</v>
      </c>
      <c r="H328" s="38">
        <f>IFERROR('Automated raw'!$F328+'Automated raw'!$G328,"-")</f>
        <v>143</v>
      </c>
      <c r="I328" s="38">
        <v>11</v>
      </c>
      <c r="J328" s="38">
        <v>66</v>
      </c>
      <c r="K328" s="38">
        <v>12</v>
      </c>
      <c r="L328" s="38">
        <v>1893</v>
      </c>
      <c r="M328" s="38">
        <v>3007</v>
      </c>
      <c r="N328" s="38">
        <f>'Automated raw'!$G328/'Automated raw'!$H328</f>
        <v>0.25174825174825177</v>
      </c>
      <c r="O328" s="41">
        <f>IFERROR('Automated raw'!$G328/'Automated raw'!$H328,"incomplete")</f>
        <v>0.25174825174825177</v>
      </c>
      <c r="P328" s="38">
        <f>'Automated raw'!$F328</f>
        <v>107</v>
      </c>
      <c r="Q328" s="42">
        <f>IFERROR('Automated raw'!$P328*'Automated raw'!$L328,0)</f>
        <v>202551</v>
      </c>
      <c r="R328" s="38" t="str">
        <f>IF('Automated raw'!$O328&gt;=60%,"High",IF('Automated raw'!$O328&gt;=30%,"Avg",IF('Automated raw'!$O328&lt;30%,"Dead Stock","Incomplete")))</f>
        <v>Dead Stock</v>
      </c>
      <c r="S328" s="43" t="str">
        <f>TEXT('Automated raw'!$B328,"mmm")</f>
        <v>Aug</v>
      </c>
      <c r="T328" s="82">
        <f>'Automated raw'!$G328*'Automated raw'!$M328</f>
        <v>108252</v>
      </c>
      <c r="U328" s="6">
        <f>IFERROR((Table7[[#This Row],[Stock In(Total)]]+Table7[[#This Row],[In Stock or Remaining]])/2,"-")</f>
        <v>125</v>
      </c>
      <c r="V328" s="93">
        <f>IFERROR(Table7[[#This Row],[Stock_Out]]/Table7[[#This Row],[Avg Inventory]],"-")</f>
        <v>0.28799999999999998</v>
      </c>
      <c r="W328" s="6"/>
      <c r="X328" s="6"/>
      <c r="Y328" s="6"/>
      <c r="Z328" s="6"/>
      <c r="AA328" s="6"/>
      <c r="AB328" s="6"/>
      <c r="AC328" s="6"/>
      <c r="AD328" s="6"/>
      <c r="AE328" s="6"/>
      <c r="AF328" s="6"/>
      <c r="AG328" s="6"/>
      <c r="AH328" s="6"/>
      <c r="AI328" s="6"/>
      <c r="AJ328" s="6"/>
      <c r="AK328" s="6"/>
      <c r="AL328" s="57" t="s">
        <v>469</v>
      </c>
      <c r="AM328" s="57">
        <v>45506</v>
      </c>
      <c r="AN328" s="57" t="s">
        <v>45</v>
      </c>
      <c r="AO328" s="57" t="s">
        <v>20</v>
      </c>
      <c r="AP328" s="57" t="s">
        <v>21</v>
      </c>
      <c r="AQ328" s="57">
        <v>38</v>
      </c>
      <c r="AR328" s="57">
        <v>66</v>
      </c>
      <c r="AS328" s="57">
        <v>104</v>
      </c>
      <c r="AT328" s="57">
        <v>62</v>
      </c>
      <c r="AU328" s="57">
        <v>78</v>
      </c>
      <c r="AV328" s="57">
        <v>4</v>
      </c>
      <c r="AW328" s="57">
        <v>313</v>
      </c>
      <c r="AX328" s="57">
        <v>1135</v>
      </c>
      <c r="AY328" s="57">
        <v>0.63461538461538458</v>
      </c>
      <c r="AZ328" s="57">
        <v>0.63461538461538458</v>
      </c>
      <c r="BA328" s="57">
        <v>38</v>
      </c>
      <c r="BB328" s="57">
        <v>11894</v>
      </c>
      <c r="BC328" s="57" t="s">
        <v>552</v>
      </c>
      <c r="BD328" s="57" t="s">
        <v>554</v>
      </c>
      <c r="BE328" s="57">
        <v>74910</v>
      </c>
    </row>
    <row r="329" spans="1:57" x14ac:dyDescent="0.3">
      <c r="A329" s="38" t="s">
        <v>180</v>
      </c>
      <c r="B329" s="39">
        <v>45555</v>
      </c>
      <c r="C329" s="38" t="s">
        <v>157</v>
      </c>
      <c r="D329" s="38" t="s">
        <v>13</v>
      </c>
      <c r="E329" s="38" t="s">
        <v>33</v>
      </c>
      <c r="F329" s="40">
        <v>26</v>
      </c>
      <c r="G329" s="38">
        <v>23</v>
      </c>
      <c r="H329" s="38">
        <f>IFERROR('Automated raw'!$F150+'Automated raw'!$G150,"-")</f>
        <v>181</v>
      </c>
      <c r="I329" s="38">
        <v>146</v>
      </c>
      <c r="J329" s="38">
        <v>47</v>
      </c>
      <c r="K329" s="38">
        <v>11</v>
      </c>
      <c r="L329" s="38">
        <v>1144</v>
      </c>
      <c r="M329" s="38">
        <v>2149</v>
      </c>
      <c r="N329" s="38">
        <f>'Automated raw'!$G150/'Automated raw'!$H150</f>
        <v>1.152542372881356</v>
      </c>
      <c r="O329" s="41">
        <f>IFERROR('Automated raw'!$G150/'Automated raw'!$H150,"incomplete")</f>
        <v>1.152542372881356</v>
      </c>
      <c r="P329" s="38">
        <f>'Automated raw'!$F150</f>
        <v>113</v>
      </c>
      <c r="Q329" s="42">
        <f>IFERROR('Automated raw'!$P150*'Automated raw'!$L150,0)</f>
        <v>44590</v>
      </c>
      <c r="R329" s="38" t="str">
        <f>IF('Automated raw'!$O150&gt;=60%,"High",IF('Automated raw'!$O150&gt;=30%,"Avg",IF('Automated raw'!$O150&lt;30%,"Dead Stock","Incomplete")))</f>
        <v>Dead Stock</v>
      </c>
      <c r="S329" s="43" t="str">
        <f>TEXT('Automated raw'!$B150,"mmm")</f>
        <v>Aug</v>
      </c>
      <c r="T329" s="82">
        <f>'Automated raw'!$G150*'Automated raw'!$M150</f>
        <v>123556</v>
      </c>
      <c r="U329" s="6">
        <f>IFERROR((Table7[[#This Row],[Stock In(Total)]]+Table7[[#This Row],[In Stock or Remaining]])/2,"-")</f>
        <v>103.5</v>
      </c>
      <c r="V329" s="93">
        <f>IFERROR(Table7[[#This Row],[Stock_Out]]/Table7[[#This Row],[Avg Inventory]],"-")</f>
        <v>0.22222222222222221</v>
      </c>
      <c r="W329" s="6"/>
      <c r="X329" s="6"/>
      <c r="Y329" s="6"/>
      <c r="Z329" s="6"/>
      <c r="AA329" s="6"/>
      <c r="AB329" s="6"/>
      <c r="AC329" s="6"/>
      <c r="AD329" s="6"/>
      <c r="AE329" s="6"/>
      <c r="AF329" s="6"/>
      <c r="AG329" s="6"/>
      <c r="AH329" s="6"/>
      <c r="AI329" s="6"/>
      <c r="AJ329" s="6"/>
      <c r="AK329" s="6"/>
      <c r="AL329" s="57" t="s">
        <v>68</v>
      </c>
      <c r="AM329" s="57">
        <v>45555</v>
      </c>
      <c r="AN329" s="57" t="s">
        <v>26</v>
      </c>
      <c r="AO329" s="57" t="s">
        <v>13</v>
      </c>
      <c r="AP329" s="57" t="s">
        <v>33</v>
      </c>
      <c r="AQ329" s="57" t="s">
        <v>23</v>
      </c>
      <c r="AR329" s="57">
        <v>26</v>
      </c>
      <c r="AS329" s="57" t="s">
        <v>568</v>
      </c>
      <c r="AT329" s="57">
        <v>176</v>
      </c>
      <c r="AU329" s="57">
        <v>40</v>
      </c>
      <c r="AV329" s="57">
        <v>11</v>
      </c>
      <c r="AW329" s="57">
        <v>1397</v>
      </c>
      <c r="AX329" s="57">
        <v>2716</v>
      </c>
      <c r="AY329" s="57" t="e">
        <v>#VALUE!</v>
      </c>
      <c r="AZ329" s="57" t="s">
        <v>569</v>
      </c>
      <c r="BA329" s="57" t="s">
        <v>23</v>
      </c>
      <c r="BB329" s="57">
        <v>0</v>
      </c>
      <c r="BC329" s="57" t="s">
        <v>552</v>
      </c>
      <c r="BD329" s="57" t="s">
        <v>560</v>
      </c>
      <c r="BE329" s="57">
        <v>70616</v>
      </c>
    </row>
    <row r="330" spans="1:57" x14ac:dyDescent="0.3">
      <c r="A330" s="38" t="s">
        <v>363</v>
      </c>
      <c r="B330" s="39">
        <v>45427</v>
      </c>
      <c r="C330" s="38" t="s">
        <v>37</v>
      </c>
      <c r="D330" s="38" t="s">
        <v>13</v>
      </c>
      <c r="E330" s="38" t="s">
        <v>21</v>
      </c>
      <c r="F330" s="40">
        <v>149</v>
      </c>
      <c r="G330" s="38">
        <v>51</v>
      </c>
      <c r="H330" s="38">
        <f>IFERROR('Automated raw'!$F330+'Automated raw'!$G330,"-")</f>
        <v>200</v>
      </c>
      <c r="I330" s="38">
        <v>100</v>
      </c>
      <c r="J330" s="38">
        <v>41</v>
      </c>
      <c r="K330" s="38">
        <v>9</v>
      </c>
      <c r="L330" s="38">
        <v>920</v>
      </c>
      <c r="M330" s="38">
        <v>2308</v>
      </c>
      <c r="N330" s="38">
        <f>'Automated raw'!$G330/'Automated raw'!$H330</f>
        <v>0.255</v>
      </c>
      <c r="O330" s="41">
        <f>IFERROR('Automated raw'!$G330/'Automated raw'!$H330,"incomplete")</f>
        <v>0.255</v>
      </c>
      <c r="P330" s="38">
        <f>'Automated raw'!$F330</f>
        <v>149</v>
      </c>
      <c r="Q330" s="42">
        <f>IFERROR('Automated raw'!$P330*'Automated raw'!$L330,0)</f>
        <v>137080</v>
      </c>
      <c r="R330" s="38" t="str">
        <f>IF('Automated raw'!$O330&gt;=60%,"High",IF('Automated raw'!$O330&gt;=30%,"Avg",IF('Automated raw'!$O330&lt;30%,"Dead Stock","Incomplete")))</f>
        <v>Dead Stock</v>
      </c>
      <c r="S330" s="43" t="str">
        <f>TEXT('Automated raw'!$B330,"mmm")</f>
        <v>May</v>
      </c>
      <c r="T330" s="82">
        <f>'Automated raw'!$G330*'Automated raw'!$M330</f>
        <v>117708</v>
      </c>
      <c r="U330" s="6">
        <f>IFERROR((Table7[[#This Row],[Stock In(Total)]]+Table7[[#This Row],[In Stock or Remaining]])/2,"-")</f>
        <v>174.5</v>
      </c>
      <c r="V330" s="93">
        <f>IFERROR(Table7[[#This Row],[Stock_Out]]/Table7[[#This Row],[Avg Inventory]],"-")</f>
        <v>0.29226361031518627</v>
      </c>
      <c r="W330" s="6"/>
      <c r="X330" s="6"/>
      <c r="Y330" s="6"/>
      <c r="Z330" s="6"/>
      <c r="AA330" s="6"/>
      <c r="AB330" s="6"/>
      <c r="AC330" s="6"/>
      <c r="AD330" s="6"/>
      <c r="AE330" s="6"/>
      <c r="AF330" s="6"/>
      <c r="AG330" s="6"/>
      <c r="AH330" s="6"/>
      <c r="AI330" s="6"/>
      <c r="AJ330" s="6"/>
      <c r="AK330" s="6"/>
      <c r="AL330" s="56" t="s">
        <v>425</v>
      </c>
      <c r="AM330" s="56">
        <v>45548</v>
      </c>
      <c r="AN330" s="56" t="s">
        <v>329</v>
      </c>
      <c r="AO330" s="56" t="s">
        <v>13</v>
      </c>
      <c r="AP330" s="56" t="s">
        <v>23</v>
      </c>
      <c r="AQ330" s="56">
        <v>12</v>
      </c>
      <c r="AR330" s="56">
        <v>53</v>
      </c>
      <c r="AS330" s="56">
        <v>65</v>
      </c>
      <c r="AT330" s="56">
        <v>106</v>
      </c>
      <c r="AU330" s="56">
        <v>41</v>
      </c>
      <c r="AV330" s="56">
        <v>5</v>
      </c>
      <c r="AW330" s="56">
        <v>874</v>
      </c>
      <c r="AX330" s="56">
        <v>1308</v>
      </c>
      <c r="AY330" s="56">
        <v>0.81538461538461537</v>
      </c>
      <c r="AZ330" s="56">
        <v>0.81538461538461537</v>
      </c>
      <c r="BA330" s="56">
        <v>12</v>
      </c>
      <c r="BB330" s="56">
        <v>10488</v>
      </c>
      <c r="BC330" s="56" t="s">
        <v>552</v>
      </c>
      <c r="BD330" s="56" t="s">
        <v>560</v>
      </c>
      <c r="BE330" s="56">
        <v>69324</v>
      </c>
    </row>
    <row r="331" spans="1:57" x14ac:dyDescent="0.3">
      <c r="A331" s="44" t="s">
        <v>255</v>
      </c>
      <c r="B331" s="45">
        <v>45407</v>
      </c>
      <c r="C331" s="44" t="s">
        <v>53</v>
      </c>
      <c r="D331" s="44" t="s">
        <v>17</v>
      </c>
      <c r="E331" s="44" t="s">
        <v>33</v>
      </c>
      <c r="F331" s="40">
        <v>123</v>
      </c>
      <c r="G331" s="44">
        <v>109</v>
      </c>
      <c r="H331" s="44">
        <f>IFERROR('Automated raw'!$F225+'Automated raw'!$G225,"-")</f>
        <v>256</v>
      </c>
      <c r="I331" s="44">
        <v>201</v>
      </c>
      <c r="J331" s="44">
        <v>67</v>
      </c>
      <c r="K331" s="44">
        <v>15</v>
      </c>
      <c r="L331" s="44">
        <v>600</v>
      </c>
      <c r="M331" s="44">
        <v>829</v>
      </c>
      <c r="N331" s="44">
        <f>'Automated raw'!$G225/'Automated raw'!$H225</f>
        <v>1.4266666666666667</v>
      </c>
      <c r="O331" s="46">
        <f>IFERROR('Automated raw'!$G225/'Automated raw'!$H225,"incomplete")</f>
        <v>1.4266666666666667</v>
      </c>
      <c r="P331" s="44">
        <f>'Automated raw'!$F225</f>
        <v>149</v>
      </c>
      <c r="Q331" s="47">
        <f>IFERROR('Automated raw'!$P225*'Automated raw'!$L225,0)</f>
        <v>14564</v>
      </c>
      <c r="R331" s="44" t="str">
        <f>IF('Automated raw'!$O225&gt;=60%,"High",IF('Automated raw'!$O225&gt;=30%,"Avg",IF('Automated raw'!$O225&lt;30%,"Dead Stock","Incomplete")))</f>
        <v>Avg</v>
      </c>
      <c r="S331" s="48" t="str">
        <f>TEXT('Automated raw'!$B225,"mmm")</f>
        <v>Mar</v>
      </c>
      <c r="T331" s="83">
        <f>'Automated raw'!$G225*'Automated raw'!$M225</f>
        <v>78431</v>
      </c>
      <c r="U331" s="6">
        <f>IFERROR((Table7[[#This Row],[Stock In(Total)]]+Table7[[#This Row],[In Stock or Remaining]])/2,"-")</f>
        <v>189.5</v>
      </c>
      <c r="V331" s="93">
        <f>IFERROR(Table7[[#This Row],[Stock_Out]]/Table7[[#This Row],[Avg Inventory]],"-")</f>
        <v>0.57519788918205805</v>
      </c>
      <c r="W331" s="6"/>
      <c r="X331" s="6"/>
      <c r="Y331" s="6"/>
      <c r="Z331" s="6"/>
      <c r="AA331" s="6"/>
      <c r="AB331" s="6"/>
      <c r="AC331" s="6"/>
      <c r="AD331" s="6"/>
      <c r="AE331" s="6"/>
      <c r="AF331" s="6"/>
      <c r="AG331" s="6"/>
      <c r="AH331" s="6"/>
      <c r="AI331" s="6"/>
      <c r="AJ331" s="6"/>
      <c r="AK331" s="6"/>
      <c r="AL331" s="56" t="s">
        <v>205</v>
      </c>
      <c r="AM331" s="56">
        <v>45418</v>
      </c>
      <c r="AN331" s="56" t="s">
        <v>37</v>
      </c>
      <c r="AO331" s="56" t="s">
        <v>20</v>
      </c>
      <c r="AP331" s="56" t="s">
        <v>14</v>
      </c>
      <c r="AQ331" s="56" t="s">
        <v>23</v>
      </c>
      <c r="AR331" s="56">
        <v>78</v>
      </c>
      <c r="AS331" s="56" t="s">
        <v>568</v>
      </c>
      <c r="AT331" s="56">
        <v>271</v>
      </c>
      <c r="AU331" s="56">
        <v>51</v>
      </c>
      <c r="AV331" s="56">
        <v>7</v>
      </c>
      <c r="AW331" s="56">
        <v>363</v>
      </c>
      <c r="AX331" s="56">
        <v>826</v>
      </c>
      <c r="AY331" s="56" t="e">
        <v>#VALUE!</v>
      </c>
      <c r="AZ331" s="56" t="s">
        <v>569</v>
      </c>
      <c r="BA331" s="56" t="s">
        <v>23</v>
      </c>
      <c r="BB331" s="56">
        <v>0</v>
      </c>
      <c r="BC331" s="56" t="s">
        <v>552</v>
      </c>
      <c r="BD331" s="56" t="s">
        <v>561</v>
      </c>
      <c r="BE331" s="56">
        <v>64428</v>
      </c>
    </row>
    <row r="332" spans="1:57" x14ac:dyDescent="0.3">
      <c r="A332" s="38" t="s">
        <v>365</v>
      </c>
      <c r="B332" s="39">
        <v>45449</v>
      </c>
      <c r="C332" s="38" t="s">
        <v>45</v>
      </c>
      <c r="D332" s="38" t="s">
        <v>13</v>
      </c>
      <c r="E332" s="38" t="s">
        <v>21</v>
      </c>
      <c r="F332" s="40" t="s">
        <v>23</v>
      </c>
      <c r="G332" s="38">
        <v>64</v>
      </c>
      <c r="H332" s="38" t="str">
        <f>IFERROR('Automated raw'!$F332+'Automated raw'!$G332,"-")</f>
        <v>-</v>
      </c>
      <c r="I332" s="38">
        <v>102</v>
      </c>
      <c r="J332" s="38">
        <v>65</v>
      </c>
      <c r="K332" s="38">
        <v>15</v>
      </c>
      <c r="L332" s="38">
        <v>237</v>
      </c>
      <c r="M332" s="38">
        <v>1207</v>
      </c>
      <c r="N332" s="38" t="e">
        <f>'Automated raw'!$G332/'Automated raw'!$H332</f>
        <v>#VALUE!</v>
      </c>
      <c r="O332" s="49" t="str">
        <f>IFERROR('Automated raw'!$G332/'Automated raw'!$H332,"incomplete")</f>
        <v>incomplete</v>
      </c>
      <c r="P332" s="38" t="str">
        <f>'Automated raw'!$F332</f>
        <v>Not Available</v>
      </c>
      <c r="Q332" s="42">
        <f>IFERROR('Automated raw'!$P332*'Automated raw'!$L332,0)</f>
        <v>0</v>
      </c>
      <c r="R332" s="38" t="str">
        <f>IF('Automated raw'!$O332&gt;=60%,"High",IF('Automated raw'!$O332&gt;=30%,"Avg",IF('Automated raw'!$O332&lt;30%,"Dead Stock","Incomplete")))</f>
        <v>High</v>
      </c>
      <c r="S332" s="43" t="str">
        <f>TEXT('Automated raw'!$B332,"mmm")</f>
        <v>Jun</v>
      </c>
      <c r="T332" s="82">
        <f>'Automated raw'!$G332*'Automated raw'!$M332</f>
        <v>77248</v>
      </c>
      <c r="U332" s="6" t="str">
        <f>IFERROR((Table7[[#This Row],[Stock In(Total)]]+Table7[[#This Row],[In Stock or Remaining]])/2,"-")</f>
        <v>-</v>
      </c>
      <c r="V332" s="93" t="str">
        <f>IFERROR(Table7[[#This Row],[Stock_Out]]/Table7[[#This Row],[Avg Inventory]],"-")</f>
        <v>-</v>
      </c>
      <c r="W332" s="6"/>
      <c r="X332" s="6"/>
      <c r="Y332" s="6"/>
      <c r="Z332" s="6"/>
      <c r="AA332" s="6"/>
      <c r="AB332" s="6"/>
      <c r="AC332" s="6"/>
      <c r="AD332" s="6"/>
      <c r="AE332" s="6"/>
      <c r="AF332" s="6"/>
      <c r="AG332" s="6"/>
      <c r="AH332" s="6"/>
      <c r="AI332" s="6"/>
      <c r="AJ332" s="6"/>
      <c r="AK332" s="6"/>
      <c r="AL332" s="57" t="s">
        <v>266</v>
      </c>
      <c r="AM332" s="57">
        <v>45323</v>
      </c>
      <c r="AN332" s="57" t="s">
        <v>30</v>
      </c>
      <c r="AO332" s="57" t="s">
        <v>17</v>
      </c>
      <c r="AP332" s="57" t="s">
        <v>21</v>
      </c>
      <c r="AQ332" s="57">
        <v>19</v>
      </c>
      <c r="AR332" s="57">
        <v>85</v>
      </c>
      <c r="AS332" s="57">
        <v>104</v>
      </c>
      <c r="AT332" s="57">
        <v>63</v>
      </c>
      <c r="AU332" s="57">
        <v>50</v>
      </c>
      <c r="AV332" s="57">
        <v>4</v>
      </c>
      <c r="AW332" s="57">
        <v>467</v>
      </c>
      <c r="AX332" s="57">
        <v>697</v>
      </c>
      <c r="AY332" s="57">
        <v>0.81730769230769229</v>
      </c>
      <c r="AZ332" s="57">
        <v>0.81730769230769229</v>
      </c>
      <c r="BA332" s="57">
        <v>19</v>
      </c>
      <c r="BB332" s="57">
        <v>8873</v>
      </c>
      <c r="BC332" s="57" t="s">
        <v>552</v>
      </c>
      <c r="BD332" s="57" t="s">
        <v>555</v>
      </c>
      <c r="BE332" s="57">
        <v>59245</v>
      </c>
    </row>
    <row r="333" spans="1:57" x14ac:dyDescent="0.3">
      <c r="A333" s="44" t="s">
        <v>366</v>
      </c>
      <c r="B333" s="45">
        <v>45442</v>
      </c>
      <c r="C333" s="44" t="s">
        <v>12</v>
      </c>
      <c r="D333" s="44" t="s">
        <v>20</v>
      </c>
      <c r="E333" s="44" t="s">
        <v>21</v>
      </c>
      <c r="F333" s="40" t="s">
        <v>23</v>
      </c>
      <c r="G333" s="44">
        <v>37</v>
      </c>
      <c r="H333" s="44" t="str">
        <f>IFERROR('Automated raw'!$F333+'Automated raw'!$G333,"-")</f>
        <v>-</v>
      </c>
      <c r="I333" s="44">
        <v>110</v>
      </c>
      <c r="J333" s="44">
        <v>59</v>
      </c>
      <c r="K333" s="44">
        <v>9</v>
      </c>
      <c r="L333" s="44">
        <v>1146</v>
      </c>
      <c r="M333" s="44">
        <v>1339</v>
      </c>
      <c r="N333" s="44" t="e">
        <f>'Automated raw'!$G333/'Automated raw'!$H333</f>
        <v>#VALUE!</v>
      </c>
      <c r="O333" s="51" t="str">
        <f>IFERROR('Automated raw'!$G333/'Automated raw'!$H333,"incomplete")</f>
        <v>incomplete</v>
      </c>
      <c r="P333" s="44" t="str">
        <f>'Automated raw'!$F333</f>
        <v>Not Available</v>
      </c>
      <c r="Q333" s="47">
        <f>IFERROR('Automated raw'!$P333*'Automated raw'!$L333,0)</f>
        <v>0</v>
      </c>
      <c r="R333" s="44" t="str">
        <f>IF('Automated raw'!$O333&gt;=60%,"High",IF('Automated raw'!$O333&gt;=30%,"Avg",IF('Automated raw'!$O333&lt;30%,"Dead Stock","Incomplete")))</f>
        <v>High</v>
      </c>
      <c r="S333" s="48" t="str">
        <f>TEXT('Automated raw'!$B333,"mmm")</f>
        <v>May</v>
      </c>
      <c r="T333" s="83">
        <f>'Automated raw'!$G333*'Automated raw'!$M333</f>
        <v>49543</v>
      </c>
      <c r="U333" s="6" t="str">
        <f>IFERROR((Table7[[#This Row],[Stock In(Total)]]+Table7[[#This Row],[In Stock or Remaining]])/2,"-")</f>
        <v>-</v>
      </c>
      <c r="V333" s="93" t="str">
        <f>IFERROR(Table7[[#This Row],[Stock_Out]]/Table7[[#This Row],[Avg Inventory]],"-")</f>
        <v>-</v>
      </c>
      <c r="W333" s="6"/>
      <c r="X333" s="6"/>
      <c r="Y333" s="6"/>
      <c r="Z333" s="6"/>
      <c r="AA333" s="6"/>
      <c r="AB333" s="6"/>
      <c r="AC333" s="6"/>
      <c r="AD333" s="6"/>
      <c r="AE333" s="6"/>
      <c r="AF333" s="6"/>
      <c r="AG333" s="6"/>
      <c r="AH333" s="6"/>
      <c r="AI333" s="6"/>
      <c r="AJ333" s="6"/>
      <c r="AK333" s="6"/>
      <c r="AL333" s="57" t="s">
        <v>366</v>
      </c>
      <c r="AM333" s="57">
        <v>45442</v>
      </c>
      <c r="AN333" s="57" t="s">
        <v>12</v>
      </c>
      <c r="AO333" s="57" t="s">
        <v>20</v>
      </c>
      <c r="AP333" s="57" t="s">
        <v>21</v>
      </c>
      <c r="AQ333" s="57" t="s">
        <v>23</v>
      </c>
      <c r="AR333" s="57">
        <v>37</v>
      </c>
      <c r="AS333" s="57" t="s">
        <v>568</v>
      </c>
      <c r="AT333" s="57">
        <v>110</v>
      </c>
      <c r="AU333" s="57">
        <v>59</v>
      </c>
      <c r="AV333" s="57">
        <v>9</v>
      </c>
      <c r="AW333" s="57">
        <v>1146</v>
      </c>
      <c r="AX333" s="57">
        <v>1339</v>
      </c>
      <c r="AY333" s="57" t="e">
        <v>#VALUE!</v>
      </c>
      <c r="AZ333" s="57" t="s">
        <v>569</v>
      </c>
      <c r="BA333" s="57" t="s">
        <v>23</v>
      </c>
      <c r="BB333" s="57">
        <v>0</v>
      </c>
      <c r="BC333" s="57" t="s">
        <v>552</v>
      </c>
      <c r="BD333" s="57" t="s">
        <v>561</v>
      </c>
      <c r="BE333" s="57">
        <v>49543</v>
      </c>
    </row>
    <row r="334" spans="1:57" x14ac:dyDescent="0.3">
      <c r="A334" s="38" t="s">
        <v>431</v>
      </c>
      <c r="B334" s="39">
        <v>45577</v>
      </c>
      <c r="C334" s="38" t="s">
        <v>37</v>
      </c>
      <c r="D334" s="38" t="s">
        <v>17</v>
      </c>
      <c r="E334" s="38" t="s">
        <v>38</v>
      </c>
      <c r="F334" s="40">
        <v>77</v>
      </c>
      <c r="G334" s="38">
        <v>69</v>
      </c>
      <c r="H334" s="38">
        <f>IFERROR('Automated raw'!$F398+'Automated raw'!$G398,"-")</f>
        <v>164</v>
      </c>
      <c r="I334" s="38">
        <v>148</v>
      </c>
      <c r="J334" s="38">
        <v>38</v>
      </c>
      <c r="K334" s="38">
        <v>10</v>
      </c>
      <c r="L334" s="38">
        <v>860</v>
      </c>
      <c r="M334" s="38">
        <v>2294</v>
      </c>
      <c r="N334" s="38">
        <f>'Automated raw'!$G398/'Automated raw'!$H398</f>
        <v>0.36681222707423583</v>
      </c>
      <c r="O334" s="41">
        <f>IFERROR('Automated raw'!$G398/'Automated raw'!$H398,"incomplete")</f>
        <v>0.36681222707423583</v>
      </c>
      <c r="P334" s="38">
        <f>'Automated raw'!$F398</f>
        <v>80</v>
      </c>
      <c r="Q334" s="42">
        <f>IFERROR('Automated raw'!$P398*'Automated raw'!$L398,0)</f>
        <v>170300</v>
      </c>
      <c r="R334" s="38" t="str">
        <f>IF('Automated raw'!$O398&gt;=60%,"High",IF('Automated raw'!$O398&gt;=30%,"Avg",IF('Automated raw'!$O398&lt;30%,"Dead Stock","Incomplete")))</f>
        <v>Avg</v>
      </c>
      <c r="S334" s="43" t="str">
        <f>TEXT('Automated raw'!$B398,"mmm")</f>
        <v>Nov</v>
      </c>
      <c r="T334" s="82">
        <f>'Automated raw'!$G398*'Automated raw'!$M398</f>
        <v>137760</v>
      </c>
      <c r="U334" s="6">
        <f>IFERROR((Table7[[#This Row],[Stock In(Total)]]+Table7[[#This Row],[In Stock or Remaining]])/2,"-")</f>
        <v>120.5</v>
      </c>
      <c r="V334" s="93">
        <f>IFERROR(Table7[[#This Row],[Stock_Out]]/Table7[[#This Row],[Avg Inventory]],"-")</f>
        <v>0.57261410788381739</v>
      </c>
      <c r="W334" s="6"/>
      <c r="X334" s="6"/>
      <c r="Y334" s="6"/>
      <c r="Z334" s="6"/>
      <c r="AA334" s="6"/>
      <c r="AB334" s="6"/>
      <c r="AC334" s="6"/>
      <c r="AD334" s="6"/>
      <c r="AE334" s="6"/>
      <c r="AF334" s="6"/>
      <c r="AG334" s="6"/>
      <c r="AH334" s="6"/>
      <c r="AI334" s="6"/>
      <c r="AJ334" s="6"/>
      <c r="AK334" s="6"/>
      <c r="AL334" s="57" t="s">
        <v>529</v>
      </c>
      <c r="AM334" s="57">
        <v>45322</v>
      </c>
      <c r="AN334" s="57" t="s">
        <v>35</v>
      </c>
      <c r="AO334" s="57" t="s">
        <v>13</v>
      </c>
      <c r="AP334" s="57" t="s">
        <v>33</v>
      </c>
      <c r="AQ334" s="57">
        <v>16</v>
      </c>
      <c r="AR334" s="57">
        <v>28</v>
      </c>
      <c r="AS334" s="57">
        <v>44</v>
      </c>
      <c r="AT334" s="57">
        <v>263</v>
      </c>
      <c r="AU334" s="57">
        <v>73</v>
      </c>
      <c r="AV334" s="57">
        <v>11</v>
      </c>
      <c r="AW334" s="57">
        <v>897</v>
      </c>
      <c r="AX334" s="57">
        <v>1763</v>
      </c>
      <c r="AY334" s="57">
        <v>0.63636363636363635</v>
      </c>
      <c r="AZ334" s="57">
        <v>0.63636363636363635</v>
      </c>
      <c r="BA334" s="57">
        <v>16</v>
      </c>
      <c r="BB334" s="57">
        <v>14352</v>
      </c>
      <c r="BC334" s="57" t="s">
        <v>552</v>
      </c>
      <c r="BD334" s="57" t="s">
        <v>557</v>
      </c>
      <c r="BE334" s="57">
        <v>49364</v>
      </c>
    </row>
    <row r="335" spans="1:57" x14ac:dyDescent="0.3">
      <c r="A335" s="38" t="s">
        <v>206</v>
      </c>
      <c r="B335" s="39">
        <v>45310</v>
      </c>
      <c r="C335" s="38" t="s">
        <v>30</v>
      </c>
      <c r="D335" s="38" t="s">
        <v>20</v>
      </c>
      <c r="E335" s="38" t="s">
        <v>21</v>
      </c>
      <c r="F335" s="40">
        <v>97</v>
      </c>
      <c r="G335" s="38">
        <v>87</v>
      </c>
      <c r="H335" s="38">
        <f>IFERROR('Automated raw'!$F176+'Automated raw'!$G176,"-")</f>
        <v>59</v>
      </c>
      <c r="I335" s="38">
        <v>16</v>
      </c>
      <c r="J335" s="38">
        <v>70</v>
      </c>
      <c r="K335" s="38">
        <v>13</v>
      </c>
      <c r="L335" s="38">
        <v>242</v>
      </c>
      <c r="M335" s="38">
        <v>1008</v>
      </c>
      <c r="N335" s="38">
        <f>'Automated raw'!$G176/'Automated raw'!$H176</f>
        <v>0.1111111111111111</v>
      </c>
      <c r="O335" s="41">
        <f>IFERROR('Automated raw'!$G176/'Automated raw'!$H176,"incomplete")</f>
        <v>0.1111111111111111</v>
      </c>
      <c r="P335" s="38">
        <f>'Automated raw'!$F176</f>
        <v>36</v>
      </c>
      <c r="Q335" s="42">
        <f>IFERROR('Automated raw'!$P176*'Automated raw'!$L176,0)</f>
        <v>242760</v>
      </c>
      <c r="R335" s="38" t="str">
        <f>IF('Automated raw'!$O176&gt;=60%,"High",IF('Automated raw'!$O176&gt;=30%,"Avg",IF('Automated raw'!$O176&lt;30%,"Dead Stock","Incomplete")))</f>
        <v>Avg</v>
      </c>
      <c r="S335" s="43" t="str">
        <f>TEXT('Automated raw'!$B176,"mmm")</f>
        <v>Apr</v>
      </c>
      <c r="T335" s="82">
        <f>'Automated raw'!$G176*'Automated raw'!$M176</f>
        <v>65320</v>
      </c>
      <c r="U335" s="6">
        <f>IFERROR((Table7[[#This Row],[Stock In(Total)]]+Table7[[#This Row],[In Stock or Remaining]])/2,"-")</f>
        <v>78</v>
      </c>
      <c r="V335" s="93">
        <f>IFERROR(Table7[[#This Row],[Stock_Out]]/Table7[[#This Row],[Avg Inventory]],"-")</f>
        <v>1.1153846153846154</v>
      </c>
      <c r="W335" s="6"/>
      <c r="X335" s="6"/>
      <c r="Y335" s="6"/>
      <c r="Z335" s="6"/>
      <c r="AA335" s="6"/>
      <c r="AB335" s="6"/>
      <c r="AC335" s="6"/>
      <c r="AD335" s="6"/>
      <c r="AE335" s="6"/>
      <c r="AF335" s="6"/>
      <c r="AG335" s="6"/>
      <c r="AH335" s="6"/>
      <c r="AI335" s="6"/>
      <c r="AJ335" s="6"/>
      <c r="AK335" s="6"/>
      <c r="AL335" s="57" t="s">
        <v>476</v>
      </c>
      <c r="AM335" s="57">
        <v>45439</v>
      </c>
      <c r="AN335" s="57" t="s">
        <v>53</v>
      </c>
      <c r="AO335" s="57" t="s">
        <v>13</v>
      </c>
      <c r="AP335" s="57" t="s">
        <v>33</v>
      </c>
      <c r="AQ335" s="57">
        <v>9</v>
      </c>
      <c r="AR335" s="57">
        <v>42</v>
      </c>
      <c r="AS335" s="57">
        <v>51</v>
      </c>
      <c r="AT335" s="57">
        <v>201</v>
      </c>
      <c r="AU335" s="57">
        <v>57</v>
      </c>
      <c r="AV335" s="57">
        <v>6</v>
      </c>
      <c r="AW335" s="57">
        <v>413</v>
      </c>
      <c r="AX335" s="57">
        <v>1136</v>
      </c>
      <c r="AY335" s="57">
        <v>0.82352941176470584</v>
      </c>
      <c r="AZ335" s="57">
        <v>0.82352941176470584</v>
      </c>
      <c r="BA335" s="57">
        <v>9</v>
      </c>
      <c r="BB335" s="57">
        <v>3717</v>
      </c>
      <c r="BC335" s="57" t="s">
        <v>552</v>
      </c>
      <c r="BD335" s="57" t="s">
        <v>561</v>
      </c>
      <c r="BE335" s="57">
        <v>47712</v>
      </c>
    </row>
    <row r="336" spans="1:57" x14ac:dyDescent="0.3">
      <c r="A336" s="38" t="s">
        <v>369</v>
      </c>
      <c r="B336" s="39">
        <v>45355</v>
      </c>
      <c r="C336" s="38" t="s">
        <v>19</v>
      </c>
      <c r="D336" s="38" t="s">
        <v>20</v>
      </c>
      <c r="E336" s="38" t="s">
        <v>38</v>
      </c>
      <c r="F336" s="40">
        <v>17</v>
      </c>
      <c r="G336" s="38">
        <v>66</v>
      </c>
      <c r="H336" s="38">
        <f>IFERROR('Automated raw'!$F336+'Automated raw'!$G336,"-")</f>
        <v>83</v>
      </c>
      <c r="I336" s="38">
        <v>239</v>
      </c>
      <c r="J336" s="38">
        <v>33</v>
      </c>
      <c r="K336" s="38">
        <v>7</v>
      </c>
      <c r="L336" s="38">
        <v>685</v>
      </c>
      <c r="M336" s="38">
        <v>1918</v>
      </c>
      <c r="N336" s="38">
        <f>'Automated raw'!$G336/'Automated raw'!$H336</f>
        <v>0.79518072289156627</v>
      </c>
      <c r="O336" s="41">
        <f>IFERROR('Automated raw'!$G336/'Automated raw'!$H336,"incomplete")</f>
        <v>0.79518072289156627</v>
      </c>
      <c r="P336" s="38">
        <f>'Automated raw'!$F336</f>
        <v>17</v>
      </c>
      <c r="Q336" s="42">
        <f>IFERROR('Automated raw'!$P336*'Automated raw'!$L336,0)</f>
        <v>11645</v>
      </c>
      <c r="R336" s="38" t="str">
        <f>IF('Automated raw'!$O336&gt;=60%,"High",IF('Automated raw'!$O336&gt;=30%,"Avg",IF('Automated raw'!$O336&lt;30%,"Dead Stock","Incomplete")))</f>
        <v>High</v>
      </c>
      <c r="S336" s="43" t="str">
        <f>TEXT('Automated raw'!$B336,"mmm")</f>
        <v>Mar</v>
      </c>
      <c r="T336" s="82">
        <f>'Automated raw'!$G336*'Automated raw'!$M336</f>
        <v>126588</v>
      </c>
      <c r="U336" s="6">
        <f>IFERROR((Table7[[#This Row],[Stock In(Total)]]+Table7[[#This Row],[In Stock or Remaining]])/2,"-")</f>
        <v>50</v>
      </c>
      <c r="V336" s="93">
        <f>IFERROR(Table7[[#This Row],[Stock_Out]]/Table7[[#This Row],[Avg Inventory]],"-")</f>
        <v>1.32</v>
      </c>
      <c r="W336" s="6"/>
      <c r="X336" s="6"/>
      <c r="Y336" s="6"/>
      <c r="Z336" s="6"/>
      <c r="AA336" s="6"/>
      <c r="AB336" s="6"/>
      <c r="AC336" s="6"/>
      <c r="AD336" s="6"/>
      <c r="AE336" s="6"/>
      <c r="AF336" s="6"/>
      <c r="AG336" s="6"/>
      <c r="AH336" s="6"/>
      <c r="AI336" s="6"/>
      <c r="AJ336" s="6"/>
      <c r="AK336" s="6"/>
      <c r="AL336" s="56" t="s">
        <v>344</v>
      </c>
      <c r="AM336" s="56">
        <v>45646</v>
      </c>
      <c r="AN336" s="56" t="s">
        <v>12</v>
      </c>
      <c r="AO336" s="56" t="s">
        <v>13</v>
      </c>
      <c r="AP336" s="56" t="s">
        <v>21</v>
      </c>
      <c r="AQ336" s="56">
        <v>11</v>
      </c>
      <c r="AR336" s="56">
        <v>56</v>
      </c>
      <c r="AS336" s="56">
        <v>67</v>
      </c>
      <c r="AT336" s="56">
        <v>285</v>
      </c>
      <c r="AU336" s="56">
        <v>71</v>
      </c>
      <c r="AV336" s="56">
        <v>9</v>
      </c>
      <c r="AW336" s="56">
        <v>594</v>
      </c>
      <c r="AX336" s="56">
        <v>767</v>
      </c>
      <c r="AY336" s="56">
        <v>0.83582089552238803</v>
      </c>
      <c r="AZ336" s="56">
        <v>0.83582089552238803</v>
      </c>
      <c r="BA336" s="56">
        <v>11</v>
      </c>
      <c r="BB336" s="56">
        <v>6534</v>
      </c>
      <c r="BC336" s="56" t="s">
        <v>552</v>
      </c>
      <c r="BD336" s="56" t="s">
        <v>563</v>
      </c>
      <c r="BE336" s="56">
        <v>42952</v>
      </c>
    </row>
    <row r="337" spans="1:57" x14ac:dyDescent="0.3">
      <c r="A337" s="44" t="s">
        <v>514</v>
      </c>
      <c r="B337" s="45">
        <v>45435</v>
      </c>
      <c r="C337" s="44" t="s">
        <v>12</v>
      </c>
      <c r="D337" s="44" t="s">
        <v>13</v>
      </c>
      <c r="E337" s="44" t="s">
        <v>33</v>
      </c>
      <c r="F337" s="40">
        <v>78</v>
      </c>
      <c r="G337" s="44">
        <v>70</v>
      </c>
      <c r="H337" s="44">
        <f>IFERROR('Automated raw'!$F481+'Automated raw'!$G481,"-")</f>
        <v>155</v>
      </c>
      <c r="I337" s="44">
        <v>135</v>
      </c>
      <c r="J337" s="44">
        <v>46</v>
      </c>
      <c r="K337" s="44">
        <v>11</v>
      </c>
      <c r="L337" s="44">
        <v>675</v>
      </c>
      <c r="M337" s="44">
        <v>1881</v>
      </c>
      <c r="N337" s="44">
        <f>'Automated raw'!$G481/'Automated raw'!$H481</f>
        <v>0.40639269406392692</v>
      </c>
      <c r="O337" s="46">
        <f>IFERROR('Automated raw'!$G481/'Automated raw'!$H481,"incomplete")</f>
        <v>0.40639269406392692</v>
      </c>
      <c r="P337" s="44">
        <f>'Automated raw'!$F481</f>
        <v>66</v>
      </c>
      <c r="Q337" s="47">
        <f>IFERROR('Automated raw'!$P481*'Automated raw'!$L481,0)</f>
        <v>219620</v>
      </c>
      <c r="R337" s="44" t="str">
        <f>IF('Automated raw'!$O481&gt;=60%,"High",IF('Automated raw'!$O481&gt;=30%,"Avg",IF('Automated raw'!$O481&lt;30%,"Dead Stock","Incomplete")))</f>
        <v>Avg</v>
      </c>
      <c r="S337" s="48" t="str">
        <f>TEXT('Automated raw'!$B481,"mmm")</f>
        <v>Aug</v>
      </c>
      <c r="T337" s="83">
        <f>'Automated raw'!$G481*'Automated raw'!$M481</f>
        <v>175241</v>
      </c>
      <c r="U337" s="6">
        <f>IFERROR((Table7[[#This Row],[Stock In(Total)]]+Table7[[#This Row],[In Stock or Remaining]])/2,"-")</f>
        <v>116.5</v>
      </c>
      <c r="V337" s="93">
        <f>IFERROR(Table7[[#This Row],[Stock_Out]]/Table7[[#This Row],[Avg Inventory]],"-")</f>
        <v>0.60085836909871249</v>
      </c>
      <c r="W337" s="6"/>
      <c r="X337" s="6"/>
      <c r="Y337" s="6"/>
      <c r="Z337" s="6"/>
      <c r="AA337" s="6"/>
      <c r="AB337" s="6"/>
      <c r="AC337" s="6"/>
      <c r="AD337" s="6"/>
      <c r="AE337" s="6"/>
      <c r="AF337" s="6"/>
      <c r="AG337" s="6"/>
      <c r="AH337" s="6"/>
      <c r="AI337" s="6"/>
      <c r="AJ337" s="6"/>
      <c r="AK337" s="6"/>
      <c r="AL337" s="56" t="s">
        <v>117</v>
      </c>
      <c r="AM337" s="56">
        <v>45613</v>
      </c>
      <c r="AN337" s="56" t="s">
        <v>37</v>
      </c>
      <c r="AO337" s="56" t="s">
        <v>13</v>
      </c>
      <c r="AP337" s="56" t="s">
        <v>33</v>
      </c>
      <c r="AQ337" s="56" t="s">
        <v>23</v>
      </c>
      <c r="AR337" s="56">
        <v>17</v>
      </c>
      <c r="AS337" s="56" t="s">
        <v>568</v>
      </c>
      <c r="AT337" s="56">
        <v>235</v>
      </c>
      <c r="AU337" s="56">
        <v>73</v>
      </c>
      <c r="AV337" s="56">
        <v>5</v>
      </c>
      <c r="AW337" s="56">
        <v>1992</v>
      </c>
      <c r="AX337" s="56">
        <v>2468</v>
      </c>
      <c r="AY337" s="56" t="e">
        <v>#VALUE!</v>
      </c>
      <c r="AZ337" s="56" t="s">
        <v>569</v>
      </c>
      <c r="BA337" s="56" t="s">
        <v>23</v>
      </c>
      <c r="BB337" s="56">
        <v>0</v>
      </c>
      <c r="BC337" s="56" t="s">
        <v>552</v>
      </c>
      <c r="BD337" s="56" t="s">
        <v>564</v>
      </c>
      <c r="BE337" s="56">
        <v>41956</v>
      </c>
    </row>
    <row r="338" spans="1:57" x14ac:dyDescent="0.3">
      <c r="A338" s="38" t="s">
        <v>371</v>
      </c>
      <c r="B338" s="39">
        <v>45486</v>
      </c>
      <c r="C338" s="38" t="s">
        <v>12</v>
      </c>
      <c r="D338" s="38" t="s">
        <v>20</v>
      </c>
      <c r="E338" s="38" t="s">
        <v>21</v>
      </c>
      <c r="F338" s="40">
        <v>111</v>
      </c>
      <c r="G338" s="38">
        <v>31</v>
      </c>
      <c r="H338" s="38">
        <f>IFERROR('Automated raw'!$F338+'Automated raw'!$G338,"-")</f>
        <v>142</v>
      </c>
      <c r="I338" s="38">
        <v>300</v>
      </c>
      <c r="J338" s="38">
        <v>69</v>
      </c>
      <c r="K338" s="38">
        <v>7</v>
      </c>
      <c r="L338" s="38">
        <v>1652</v>
      </c>
      <c r="M338" s="38">
        <v>2181</v>
      </c>
      <c r="N338" s="38">
        <f>'Automated raw'!$G338/'Automated raw'!$H338</f>
        <v>0.21830985915492956</v>
      </c>
      <c r="O338" s="41">
        <f>IFERROR('Automated raw'!$G338/'Automated raw'!$H338,"incomplete")</f>
        <v>0.21830985915492956</v>
      </c>
      <c r="P338" s="38">
        <f>'Automated raw'!$F338</f>
        <v>111</v>
      </c>
      <c r="Q338" s="42">
        <f>IFERROR('Automated raw'!$P338*'Automated raw'!$L338,0)</f>
        <v>183372</v>
      </c>
      <c r="R338" s="38" t="str">
        <f>IF('Automated raw'!$O338&gt;=60%,"High",IF('Automated raw'!$O338&gt;=30%,"Avg",IF('Automated raw'!$O338&lt;30%,"Dead Stock","Incomplete")))</f>
        <v>Dead Stock</v>
      </c>
      <c r="S338" s="43" t="str">
        <f>TEXT('Automated raw'!$B338,"mmm")</f>
        <v>Jul</v>
      </c>
      <c r="T338" s="82">
        <f>'Automated raw'!$G338*'Automated raw'!$M338</f>
        <v>67611</v>
      </c>
      <c r="U338" s="6">
        <f>IFERROR((Table7[[#This Row],[Stock In(Total)]]+Table7[[#This Row],[In Stock or Remaining]])/2,"-")</f>
        <v>126.5</v>
      </c>
      <c r="V338" s="93">
        <f>IFERROR(Table7[[#This Row],[Stock_Out]]/Table7[[#This Row],[Avg Inventory]],"-")</f>
        <v>0.24505928853754941</v>
      </c>
      <c r="W338" s="6"/>
      <c r="X338" s="6"/>
      <c r="Y338" s="6"/>
      <c r="Z338" s="6"/>
      <c r="AA338" s="6"/>
      <c r="AB338" s="6"/>
      <c r="AC338" s="6"/>
      <c r="AD338" s="6"/>
      <c r="AE338" s="6"/>
      <c r="AF338" s="6"/>
      <c r="AG338" s="6"/>
      <c r="AH338" s="6"/>
      <c r="AI338" s="6"/>
      <c r="AJ338" s="6"/>
      <c r="AK338" s="6"/>
      <c r="AL338" s="56" t="s">
        <v>388</v>
      </c>
      <c r="AM338" s="56">
        <v>45496</v>
      </c>
      <c r="AN338" s="56" t="s">
        <v>45</v>
      </c>
      <c r="AO338" s="56" t="s">
        <v>20</v>
      </c>
      <c r="AP338" s="56" t="s">
        <v>38</v>
      </c>
      <c r="AQ338" s="56">
        <v>19</v>
      </c>
      <c r="AR338" s="56">
        <v>53</v>
      </c>
      <c r="AS338" s="56">
        <v>72</v>
      </c>
      <c r="AT338" s="56">
        <v>38</v>
      </c>
      <c r="AU338" s="56">
        <v>63</v>
      </c>
      <c r="AV338" s="56">
        <v>8</v>
      </c>
      <c r="AW338" s="56">
        <v>546</v>
      </c>
      <c r="AX338" s="56">
        <v>746</v>
      </c>
      <c r="AY338" s="56">
        <v>0.73611111111111116</v>
      </c>
      <c r="AZ338" s="56">
        <v>0.73611111111111116</v>
      </c>
      <c r="BA338" s="56">
        <v>19</v>
      </c>
      <c r="BB338" s="56">
        <v>10374</v>
      </c>
      <c r="BC338" s="56" t="s">
        <v>552</v>
      </c>
      <c r="BD338" s="56" t="s">
        <v>556</v>
      </c>
      <c r="BE338" s="56">
        <v>39538</v>
      </c>
    </row>
    <row r="339" spans="1:57" x14ac:dyDescent="0.3">
      <c r="A339" s="44" t="s">
        <v>372</v>
      </c>
      <c r="B339" s="45">
        <v>45510</v>
      </c>
      <c r="C339" s="44" t="s">
        <v>45</v>
      </c>
      <c r="D339" s="44" t="s">
        <v>13</v>
      </c>
      <c r="E339" s="44" t="s">
        <v>21</v>
      </c>
      <c r="F339" s="40">
        <v>5</v>
      </c>
      <c r="G339" s="44">
        <v>97</v>
      </c>
      <c r="H339" s="44">
        <f>IFERROR('Automated raw'!$F339+'Automated raw'!$G339,"-")</f>
        <v>102</v>
      </c>
      <c r="I339" s="44">
        <v>53</v>
      </c>
      <c r="J339" s="44">
        <v>54</v>
      </c>
      <c r="K339" s="44">
        <v>4</v>
      </c>
      <c r="L339" s="44">
        <v>1130</v>
      </c>
      <c r="M339" s="44">
        <v>2286</v>
      </c>
      <c r="N339" s="44">
        <f>'Automated raw'!$G339/'Automated raw'!$H339</f>
        <v>0.9509803921568627</v>
      </c>
      <c r="O339" s="46">
        <f>IFERROR('Automated raw'!$G339/'Automated raw'!$H339,"incomplete")</f>
        <v>0.9509803921568627</v>
      </c>
      <c r="P339" s="44">
        <f>'Automated raw'!$F339</f>
        <v>5</v>
      </c>
      <c r="Q339" s="47">
        <f>IFERROR('Automated raw'!$P339*'Automated raw'!$L339,0)</f>
        <v>5650</v>
      </c>
      <c r="R339" s="44" t="str">
        <f>IF('Automated raw'!$O339&gt;=60%,"High",IF('Automated raw'!$O339&gt;=30%,"Avg",IF('Automated raw'!$O339&lt;30%,"Dead Stock","Incomplete")))</f>
        <v>High</v>
      </c>
      <c r="S339" s="48" t="str">
        <f>TEXT('Automated raw'!$B339,"mmm")</f>
        <v>Aug</v>
      </c>
      <c r="T339" s="83">
        <f>'Automated raw'!$G339*'Automated raw'!$M339</f>
        <v>221742</v>
      </c>
      <c r="U339" s="6">
        <f>IFERROR((Table7[[#This Row],[Stock In(Total)]]+Table7[[#This Row],[In Stock or Remaining]])/2,"-")</f>
        <v>53.5</v>
      </c>
      <c r="V339" s="93">
        <f>IFERROR(Table7[[#This Row],[Stock_Out]]/Table7[[#This Row],[Avg Inventory]],"-")</f>
        <v>1.8130841121495327</v>
      </c>
      <c r="W339" s="6"/>
      <c r="X339" s="6"/>
      <c r="Y339" s="6"/>
      <c r="Z339" s="6"/>
      <c r="AA339" s="6"/>
      <c r="AB339" s="6"/>
      <c r="AC339" s="6"/>
      <c r="AD339" s="6"/>
      <c r="AE339" s="6"/>
      <c r="AF339" s="6"/>
      <c r="AG339" s="6"/>
      <c r="AH339" s="6"/>
      <c r="AI339" s="6"/>
      <c r="AJ339" s="6"/>
      <c r="AK339" s="6"/>
      <c r="AL339" s="57" t="s">
        <v>139</v>
      </c>
      <c r="AM339" s="57">
        <v>45507</v>
      </c>
      <c r="AN339" s="57" t="s">
        <v>26</v>
      </c>
      <c r="AO339" s="57" t="s">
        <v>13</v>
      </c>
      <c r="AP339" s="57" t="s">
        <v>14</v>
      </c>
      <c r="AQ339" s="57">
        <v>23</v>
      </c>
      <c r="AR339" s="57">
        <v>69</v>
      </c>
      <c r="AS339" s="57">
        <v>92</v>
      </c>
      <c r="AT339" s="57">
        <v>185</v>
      </c>
      <c r="AU339" s="57">
        <v>38</v>
      </c>
      <c r="AV339" s="57">
        <v>9</v>
      </c>
      <c r="AW339" s="57">
        <v>240</v>
      </c>
      <c r="AX339" s="57">
        <v>522</v>
      </c>
      <c r="AY339" s="57">
        <v>0.75</v>
      </c>
      <c r="AZ339" s="57">
        <v>0.75</v>
      </c>
      <c r="BA339" s="57">
        <v>23</v>
      </c>
      <c r="BB339" s="57">
        <v>5520</v>
      </c>
      <c r="BC339" s="57" t="s">
        <v>552</v>
      </c>
      <c r="BD339" s="57" t="s">
        <v>554</v>
      </c>
      <c r="BE339" s="57">
        <v>36018</v>
      </c>
    </row>
    <row r="340" spans="1:57" x14ac:dyDescent="0.3">
      <c r="A340" s="38" t="s">
        <v>501</v>
      </c>
      <c r="B340" s="39">
        <v>45365</v>
      </c>
      <c r="C340" s="38" t="s">
        <v>19</v>
      </c>
      <c r="D340" s="38" t="s">
        <v>20</v>
      </c>
      <c r="E340" s="38" t="s">
        <v>38</v>
      </c>
      <c r="F340" s="40">
        <v>59</v>
      </c>
      <c r="G340" s="38">
        <v>53</v>
      </c>
      <c r="H340" s="38">
        <f>IFERROR('Automated raw'!$F468+'Automated raw'!$G468,"-")</f>
        <v>199</v>
      </c>
      <c r="I340" s="38">
        <v>183</v>
      </c>
      <c r="J340" s="38">
        <v>61</v>
      </c>
      <c r="K340" s="38">
        <v>2</v>
      </c>
      <c r="L340" s="38">
        <v>1783</v>
      </c>
      <c r="M340" s="38">
        <v>2716</v>
      </c>
      <c r="N340" s="38">
        <f>'Automated raw'!$G468/'Automated raw'!$H468</f>
        <v>0.50672645739910316</v>
      </c>
      <c r="O340" s="41">
        <f>IFERROR('Automated raw'!$G468/'Automated raw'!$H468,"incomplete")</f>
        <v>0.50672645739910316</v>
      </c>
      <c r="P340" s="38">
        <f>'Automated raw'!$F468</f>
        <v>86</v>
      </c>
      <c r="Q340" s="42">
        <f>IFERROR('Automated raw'!$P468*'Automated raw'!$L468,0)</f>
        <v>89358</v>
      </c>
      <c r="R340" s="38" t="str">
        <f>IF('Automated raw'!$O468&gt;=60%,"High",IF('Automated raw'!$O468&gt;=30%,"Avg",IF('Automated raw'!$O468&lt;30%,"Dead Stock","Incomplete")))</f>
        <v>High</v>
      </c>
      <c r="S340" s="43" t="str">
        <f>TEXT('Automated raw'!$B468,"mmm")</f>
        <v>May</v>
      </c>
      <c r="T340" s="82">
        <f>'Automated raw'!$G468*'Automated raw'!$M468</f>
        <v>254137</v>
      </c>
      <c r="U340" s="6">
        <f>IFERROR((Table7[[#This Row],[Stock In(Total)]]+Table7[[#This Row],[In Stock or Remaining]])/2,"-")</f>
        <v>129</v>
      </c>
      <c r="V340" s="93">
        <f>IFERROR(Table7[[#This Row],[Stock_Out]]/Table7[[#This Row],[Avg Inventory]],"-")</f>
        <v>0.41085271317829458</v>
      </c>
      <c r="W340" s="6"/>
      <c r="X340" s="6"/>
      <c r="Y340" s="6"/>
      <c r="Z340" s="6"/>
      <c r="AA340" s="6"/>
      <c r="AB340" s="6"/>
      <c r="AC340" s="6"/>
      <c r="AD340" s="6"/>
      <c r="AE340" s="6"/>
      <c r="AF340" s="6"/>
      <c r="AG340" s="6"/>
      <c r="AH340" s="6"/>
      <c r="AI340" s="6"/>
      <c r="AJ340" s="6"/>
      <c r="AK340" s="6"/>
      <c r="AL340" s="57" t="s">
        <v>347</v>
      </c>
      <c r="AM340" s="57">
        <v>45524</v>
      </c>
      <c r="AN340" s="57" t="s">
        <v>19</v>
      </c>
      <c r="AO340" s="57" t="s">
        <v>13</v>
      </c>
      <c r="AP340" s="57" t="s">
        <v>33</v>
      </c>
      <c r="AQ340" s="57">
        <v>46</v>
      </c>
      <c r="AR340" s="57">
        <v>100</v>
      </c>
      <c r="AS340" s="57">
        <v>146</v>
      </c>
      <c r="AT340" s="57">
        <v>201</v>
      </c>
      <c r="AU340" s="57">
        <v>38</v>
      </c>
      <c r="AV340" s="57">
        <v>13</v>
      </c>
      <c r="AW340" s="57">
        <v>212</v>
      </c>
      <c r="AX340" s="57">
        <v>357</v>
      </c>
      <c r="AY340" s="57">
        <v>0.68493150684931503</v>
      </c>
      <c r="AZ340" s="57">
        <v>0.68493150684931503</v>
      </c>
      <c r="BA340" s="57">
        <v>46</v>
      </c>
      <c r="BB340" s="57">
        <v>9752</v>
      </c>
      <c r="BC340" s="57" t="s">
        <v>552</v>
      </c>
      <c r="BD340" s="57" t="s">
        <v>554</v>
      </c>
      <c r="BE340" s="57">
        <v>35700</v>
      </c>
    </row>
    <row r="341" spans="1:57" x14ac:dyDescent="0.3">
      <c r="A341" s="44" t="s">
        <v>448</v>
      </c>
      <c r="B341" s="45">
        <v>45568</v>
      </c>
      <c r="C341" s="44" t="s">
        <v>53</v>
      </c>
      <c r="D341" s="44" t="s">
        <v>20</v>
      </c>
      <c r="E341" s="44" t="s">
        <v>21</v>
      </c>
      <c r="F341" s="40">
        <v>40</v>
      </c>
      <c r="G341" s="44">
        <v>36</v>
      </c>
      <c r="H341" s="44">
        <f>IFERROR('Automated raw'!$F415+'Automated raw'!$G415,"-")</f>
        <v>225</v>
      </c>
      <c r="I341" s="44">
        <v>185</v>
      </c>
      <c r="J341" s="44">
        <v>50</v>
      </c>
      <c r="K341" s="44">
        <v>2</v>
      </c>
      <c r="L341" s="44">
        <v>1468</v>
      </c>
      <c r="M341" s="44">
        <v>2486</v>
      </c>
      <c r="N341" s="44">
        <f>'Automated raw'!$G415/'Automated raw'!$H415</f>
        <v>1.3604651162790697</v>
      </c>
      <c r="O341" s="46">
        <f>IFERROR('Automated raw'!$G415/'Automated raw'!$H415,"incomplete")</f>
        <v>1.3604651162790697</v>
      </c>
      <c r="P341" s="44">
        <f>'Automated raw'!$F415</f>
        <v>108</v>
      </c>
      <c r="Q341" s="47">
        <f>IFERROR('Automated raw'!$P415*'Automated raw'!$L415,0)</f>
        <v>58560</v>
      </c>
      <c r="R341" s="44" t="str">
        <f>IF('Automated raw'!$O415&gt;=60%,"High",IF('Automated raw'!$O415&gt;=30%,"Avg",IF('Automated raw'!$O415&lt;30%,"Dead Stock","Incomplete")))</f>
        <v>Dead Stock</v>
      </c>
      <c r="S341" s="48" t="str">
        <f>TEXT('Automated raw'!$B415,"mmm")</f>
        <v>Jan</v>
      </c>
      <c r="T341" s="83">
        <f>'Automated raw'!$G415*'Automated raw'!$M415</f>
        <v>261612</v>
      </c>
      <c r="U341" s="6">
        <f>IFERROR((Table7[[#This Row],[Stock In(Total)]]+Table7[[#This Row],[In Stock or Remaining]])/2,"-")</f>
        <v>132.5</v>
      </c>
      <c r="V341" s="93">
        <f>IFERROR(Table7[[#This Row],[Stock_Out]]/Table7[[#This Row],[Avg Inventory]],"-")</f>
        <v>0.27169811320754716</v>
      </c>
      <c r="W341" s="6"/>
      <c r="X341" s="6"/>
      <c r="Y341" s="6"/>
      <c r="Z341" s="6"/>
      <c r="AA341" s="6"/>
      <c r="AB341" s="6"/>
      <c r="AC341" s="6"/>
      <c r="AD341" s="6"/>
      <c r="AE341" s="6"/>
      <c r="AF341" s="6"/>
      <c r="AG341" s="6"/>
      <c r="AH341" s="6"/>
      <c r="AI341" s="6"/>
      <c r="AJ341" s="6"/>
      <c r="AK341" s="6"/>
      <c r="AL341" s="56" t="s">
        <v>351</v>
      </c>
      <c r="AM341" s="56">
        <v>45296</v>
      </c>
      <c r="AN341" s="56" t="s">
        <v>16</v>
      </c>
      <c r="AO341" s="56" t="s">
        <v>17</v>
      </c>
      <c r="AP341" s="56" t="s">
        <v>23</v>
      </c>
      <c r="AQ341" s="56" t="s">
        <v>23</v>
      </c>
      <c r="AR341" s="56">
        <v>13</v>
      </c>
      <c r="AS341" s="56" t="s">
        <v>568</v>
      </c>
      <c r="AT341" s="56">
        <v>198</v>
      </c>
      <c r="AU341" s="56">
        <v>76</v>
      </c>
      <c r="AV341" s="56">
        <v>15</v>
      </c>
      <c r="AW341" s="56">
        <v>1968</v>
      </c>
      <c r="AX341" s="56">
        <v>2630</v>
      </c>
      <c r="AY341" s="56" t="e">
        <v>#VALUE!</v>
      </c>
      <c r="AZ341" s="56" t="s">
        <v>569</v>
      </c>
      <c r="BA341" s="56" t="s">
        <v>23</v>
      </c>
      <c r="BB341" s="56">
        <v>0</v>
      </c>
      <c r="BC341" s="56" t="s">
        <v>552</v>
      </c>
      <c r="BD341" s="56" t="s">
        <v>557</v>
      </c>
      <c r="BE341" s="56">
        <v>34190</v>
      </c>
    </row>
    <row r="342" spans="1:57" x14ac:dyDescent="0.3">
      <c r="A342" s="38" t="s">
        <v>375</v>
      </c>
      <c r="B342" s="39">
        <v>45596</v>
      </c>
      <c r="C342" s="38" t="s">
        <v>19</v>
      </c>
      <c r="D342" s="38" t="s">
        <v>13</v>
      </c>
      <c r="E342" s="38" t="s">
        <v>33</v>
      </c>
      <c r="F342" s="40">
        <v>146</v>
      </c>
      <c r="G342" s="38">
        <v>48</v>
      </c>
      <c r="H342" s="38">
        <f>IFERROR('Automated raw'!$F342+'Automated raw'!$G342,"-")</f>
        <v>194</v>
      </c>
      <c r="I342" s="38">
        <v>78</v>
      </c>
      <c r="J342" s="38">
        <v>48</v>
      </c>
      <c r="K342" s="38">
        <v>5</v>
      </c>
      <c r="L342" s="38">
        <v>1859</v>
      </c>
      <c r="M342" s="38">
        <v>2411</v>
      </c>
      <c r="N342" s="38">
        <f>'Automated raw'!$G342/'Automated raw'!$H342</f>
        <v>0.24742268041237114</v>
      </c>
      <c r="O342" s="41">
        <f>IFERROR('Automated raw'!$G342/'Automated raw'!$H342,"incomplete")</f>
        <v>0.24742268041237114</v>
      </c>
      <c r="P342" s="38">
        <f>'Automated raw'!$F342</f>
        <v>146</v>
      </c>
      <c r="Q342" s="42">
        <f>IFERROR('Automated raw'!$P342*'Automated raw'!$L342,0)</f>
        <v>271414</v>
      </c>
      <c r="R342" s="38" t="str">
        <f>IF('Automated raw'!$O342&gt;=60%,"High",IF('Automated raw'!$O342&gt;=30%,"Avg",IF('Automated raw'!$O342&lt;30%,"Dead Stock","Incomplete")))</f>
        <v>Dead Stock</v>
      </c>
      <c r="S342" s="43" t="str">
        <f>TEXT('Automated raw'!$B342,"mmm")</f>
        <v>Oct</v>
      </c>
      <c r="T342" s="82">
        <f>'Automated raw'!$G342*'Automated raw'!$M342</f>
        <v>115728</v>
      </c>
      <c r="U342" s="6">
        <f>IFERROR((Table7[[#This Row],[Stock In(Total)]]+Table7[[#This Row],[In Stock or Remaining]])/2,"-")</f>
        <v>170</v>
      </c>
      <c r="V342" s="93">
        <f>IFERROR(Table7[[#This Row],[Stock_Out]]/Table7[[#This Row],[Avg Inventory]],"-")</f>
        <v>0.28235294117647058</v>
      </c>
      <c r="W342" s="6"/>
      <c r="X342" s="6"/>
      <c r="Y342" s="6"/>
      <c r="Z342" s="6"/>
      <c r="AA342" s="6"/>
      <c r="AB342" s="6"/>
      <c r="AC342" s="6"/>
      <c r="AD342" s="6"/>
      <c r="AE342" s="6"/>
      <c r="AF342" s="6"/>
      <c r="AG342" s="6"/>
      <c r="AH342" s="6"/>
      <c r="AI342" s="6"/>
      <c r="AJ342" s="6"/>
      <c r="AK342" s="6"/>
      <c r="AL342" s="57" t="s">
        <v>246</v>
      </c>
      <c r="AM342" s="57">
        <v>45312</v>
      </c>
      <c r="AN342" s="57" t="s">
        <v>12</v>
      </c>
      <c r="AO342" s="57" t="s">
        <v>17</v>
      </c>
      <c r="AP342" s="57" t="s">
        <v>33</v>
      </c>
      <c r="AQ342" s="57" t="s">
        <v>23</v>
      </c>
      <c r="AR342" s="57">
        <v>33</v>
      </c>
      <c r="AS342" s="57" t="s">
        <v>568</v>
      </c>
      <c r="AT342" s="57">
        <v>50</v>
      </c>
      <c r="AU342" s="57">
        <v>34</v>
      </c>
      <c r="AV342" s="57">
        <v>5</v>
      </c>
      <c r="AW342" s="57">
        <v>351</v>
      </c>
      <c r="AX342" s="57">
        <v>981</v>
      </c>
      <c r="AY342" s="57" t="e">
        <v>#VALUE!</v>
      </c>
      <c r="AZ342" s="57" t="s">
        <v>569</v>
      </c>
      <c r="BA342" s="57" t="s">
        <v>23</v>
      </c>
      <c r="BB342" s="57">
        <v>0</v>
      </c>
      <c r="BC342" s="57" t="s">
        <v>552</v>
      </c>
      <c r="BD342" s="57" t="s">
        <v>557</v>
      </c>
      <c r="BE342" s="57">
        <v>32373</v>
      </c>
    </row>
    <row r="343" spans="1:57" x14ac:dyDescent="0.3">
      <c r="A343" s="38" t="s">
        <v>170</v>
      </c>
      <c r="B343" s="39">
        <v>45356</v>
      </c>
      <c r="C343" s="38" t="s">
        <v>19</v>
      </c>
      <c r="D343" s="38" t="s">
        <v>17</v>
      </c>
      <c r="E343" s="38" t="s">
        <v>33</v>
      </c>
      <c r="F343" s="40">
        <v>84</v>
      </c>
      <c r="G343" s="38">
        <v>76</v>
      </c>
      <c r="H343" s="38">
        <f>IFERROR('Automated raw'!$F140+'Automated raw'!$G140,"-")</f>
        <v>226</v>
      </c>
      <c r="I343" s="38">
        <v>224</v>
      </c>
      <c r="J343" s="38">
        <v>75</v>
      </c>
      <c r="K343" s="38">
        <v>11</v>
      </c>
      <c r="L343" s="38">
        <v>529</v>
      </c>
      <c r="M343" s="38">
        <v>1606</v>
      </c>
      <c r="N343" s="38">
        <f>'Automated raw'!$G140/'Automated raw'!$H140</f>
        <v>0.66141732283464572</v>
      </c>
      <c r="O343" s="41">
        <f>IFERROR('Automated raw'!$G140/'Automated raw'!$H140,"incomplete")</f>
        <v>0.66141732283464572</v>
      </c>
      <c r="P343" s="38">
        <f>'Automated raw'!$F140</f>
        <v>142</v>
      </c>
      <c r="Q343" s="42">
        <f>IFERROR('Automated raw'!$P140*'Automated raw'!$L140,0)</f>
        <v>57960</v>
      </c>
      <c r="R343" s="38" t="str">
        <f>IF('Automated raw'!$O140&gt;=60%,"High",IF('Automated raw'!$O140&gt;=30%,"Avg",IF('Automated raw'!$O140&lt;30%,"Dead Stock","Incomplete")))</f>
        <v>High</v>
      </c>
      <c r="S343" s="43" t="str">
        <f>TEXT('Automated raw'!$B140,"mmm")</f>
        <v>Jun</v>
      </c>
      <c r="T343" s="82">
        <f>'Automated raw'!$G140*'Automated raw'!$M140</f>
        <v>119784</v>
      </c>
      <c r="U343" s="6">
        <f>IFERROR((Table7[[#This Row],[Stock In(Total)]]+Table7[[#This Row],[In Stock or Remaining]])/2,"-")</f>
        <v>155</v>
      </c>
      <c r="V343" s="93">
        <f>IFERROR(Table7[[#This Row],[Stock_Out]]/Table7[[#This Row],[Avg Inventory]],"-")</f>
        <v>0.49032258064516127</v>
      </c>
      <c r="W343" s="6"/>
      <c r="X343" s="6"/>
      <c r="Y343" s="6"/>
      <c r="Z343" s="6"/>
      <c r="AA343" s="6"/>
      <c r="AB343" s="6"/>
      <c r="AC343" s="6"/>
      <c r="AD343" s="6"/>
      <c r="AE343" s="6"/>
      <c r="AF343" s="6"/>
      <c r="AG343" s="6"/>
      <c r="AH343" s="6"/>
      <c r="AI343" s="6"/>
      <c r="AJ343" s="6"/>
      <c r="AK343" s="6"/>
      <c r="AL343" s="57" t="s">
        <v>261</v>
      </c>
      <c r="AM343" s="57">
        <v>45550</v>
      </c>
      <c r="AN343" s="57" t="s">
        <v>37</v>
      </c>
      <c r="AO343" s="57" t="s">
        <v>17</v>
      </c>
      <c r="AP343" s="57" t="s">
        <v>14</v>
      </c>
      <c r="AQ343" s="57">
        <v>5</v>
      </c>
      <c r="AR343" s="57">
        <v>31</v>
      </c>
      <c r="AS343" s="57">
        <v>36</v>
      </c>
      <c r="AT343" s="57">
        <v>64</v>
      </c>
      <c r="AU343" s="57">
        <v>79</v>
      </c>
      <c r="AV343" s="57">
        <v>15</v>
      </c>
      <c r="AW343" s="57">
        <v>804</v>
      </c>
      <c r="AX343" s="57">
        <v>1043</v>
      </c>
      <c r="AY343" s="57">
        <v>0.86111111111111116</v>
      </c>
      <c r="AZ343" s="57">
        <v>0.86111111111111116</v>
      </c>
      <c r="BA343" s="57">
        <v>5</v>
      </c>
      <c r="BB343" s="57">
        <v>4020</v>
      </c>
      <c r="BC343" s="57" t="s">
        <v>552</v>
      </c>
      <c r="BD343" s="57" t="s">
        <v>560</v>
      </c>
      <c r="BE343" s="57">
        <v>32333</v>
      </c>
    </row>
    <row r="344" spans="1:57" x14ac:dyDescent="0.3">
      <c r="A344" s="38" t="s">
        <v>377</v>
      </c>
      <c r="B344" s="39">
        <v>45600</v>
      </c>
      <c r="C344" s="38" t="s">
        <v>45</v>
      </c>
      <c r="D344" s="38" t="s">
        <v>17</v>
      </c>
      <c r="E344" s="38" t="s">
        <v>21</v>
      </c>
      <c r="F344" s="40">
        <v>140</v>
      </c>
      <c r="G344" s="38">
        <v>13</v>
      </c>
      <c r="H344" s="38">
        <f>IFERROR('Automated raw'!$F344+'Automated raw'!$G344,"-")</f>
        <v>153</v>
      </c>
      <c r="I344" s="38">
        <v>244</v>
      </c>
      <c r="J344" s="38">
        <v>73</v>
      </c>
      <c r="K344" s="38">
        <v>8</v>
      </c>
      <c r="L344" s="38">
        <v>1195</v>
      </c>
      <c r="M344" s="38">
        <v>2464</v>
      </c>
      <c r="N344" s="38">
        <f>'Automated raw'!$G344/'Automated raw'!$H344</f>
        <v>8.4967320261437912E-2</v>
      </c>
      <c r="O344" s="41">
        <f>IFERROR('Automated raw'!$G344/'Automated raw'!$H344,"incomplete")</f>
        <v>8.4967320261437912E-2</v>
      </c>
      <c r="P344" s="38">
        <f>'Automated raw'!$F344</f>
        <v>140</v>
      </c>
      <c r="Q344" s="42">
        <f>IFERROR('Automated raw'!$P344*'Automated raw'!$L344,0)</f>
        <v>167300</v>
      </c>
      <c r="R344" s="38" t="str">
        <f>IF('Automated raw'!$O344&gt;=60%,"High",IF('Automated raw'!$O344&gt;=30%,"Avg",IF('Automated raw'!$O344&lt;30%,"Dead Stock","Incomplete")))</f>
        <v>Dead Stock</v>
      </c>
      <c r="S344" s="43" t="str">
        <f>TEXT('Automated raw'!$B344,"mmm")</f>
        <v>Nov</v>
      </c>
      <c r="T344" s="82">
        <f>'Automated raw'!$G344*'Automated raw'!$M344</f>
        <v>32032</v>
      </c>
      <c r="U344" s="6">
        <f>IFERROR((Table7[[#This Row],[Stock In(Total)]]+Table7[[#This Row],[In Stock or Remaining]])/2,"-")</f>
        <v>146.5</v>
      </c>
      <c r="V344" s="93">
        <f>IFERROR(Table7[[#This Row],[Stock_Out]]/Table7[[#This Row],[Avg Inventory]],"-")</f>
        <v>8.8737201365187715E-2</v>
      </c>
      <c r="W344" s="6"/>
      <c r="X344" s="6"/>
      <c r="Y344" s="6"/>
      <c r="Z344" s="6"/>
      <c r="AA344" s="6"/>
      <c r="AB344" s="6"/>
      <c r="AC344" s="6"/>
      <c r="AD344" s="6"/>
      <c r="AE344" s="6"/>
      <c r="AF344" s="6"/>
      <c r="AG344" s="6"/>
      <c r="AH344" s="6"/>
      <c r="AI344" s="6"/>
      <c r="AJ344" s="6"/>
      <c r="AK344" s="6"/>
      <c r="AL344" s="56" t="s">
        <v>409</v>
      </c>
      <c r="AM344" s="56">
        <v>45599</v>
      </c>
      <c r="AN344" s="56" t="s">
        <v>30</v>
      </c>
      <c r="AO344" s="56" t="s">
        <v>17</v>
      </c>
      <c r="AP344" s="56" t="s">
        <v>38</v>
      </c>
      <c r="AQ344" s="56">
        <v>12</v>
      </c>
      <c r="AR344" s="56">
        <v>32</v>
      </c>
      <c r="AS344" s="56">
        <v>44</v>
      </c>
      <c r="AT344" s="56">
        <v>88</v>
      </c>
      <c r="AU344" s="56">
        <v>67</v>
      </c>
      <c r="AV344" s="56">
        <v>2</v>
      </c>
      <c r="AW344" s="56">
        <v>599</v>
      </c>
      <c r="AX344" s="56">
        <v>954</v>
      </c>
      <c r="AY344" s="56">
        <v>0.72727272727272729</v>
      </c>
      <c r="AZ344" s="56">
        <v>0.72727272727272729</v>
      </c>
      <c r="BA344" s="56">
        <v>12</v>
      </c>
      <c r="BB344" s="56">
        <v>7188</v>
      </c>
      <c r="BC344" s="56" t="s">
        <v>552</v>
      </c>
      <c r="BD344" s="56" t="s">
        <v>564</v>
      </c>
      <c r="BE344" s="56">
        <v>30528</v>
      </c>
    </row>
    <row r="345" spans="1:57" x14ac:dyDescent="0.3">
      <c r="A345" s="44" t="s">
        <v>199</v>
      </c>
      <c r="B345" s="45">
        <v>45342</v>
      </c>
      <c r="C345" s="44" t="s">
        <v>19</v>
      </c>
      <c r="D345" s="44" t="s">
        <v>17</v>
      </c>
      <c r="E345" s="44" t="s">
        <v>38</v>
      </c>
      <c r="F345" s="40">
        <v>126</v>
      </c>
      <c r="G345" s="44">
        <v>114</v>
      </c>
      <c r="H345" s="44">
        <f>IFERROR('Automated raw'!$F169+'Automated raw'!$G169,"-")</f>
        <v>225</v>
      </c>
      <c r="I345" s="44">
        <v>275</v>
      </c>
      <c r="J345" s="44">
        <v>58</v>
      </c>
      <c r="K345" s="44">
        <v>3</v>
      </c>
      <c r="L345" s="44">
        <v>1545</v>
      </c>
      <c r="M345" s="44">
        <v>2047</v>
      </c>
      <c r="N345" s="44">
        <f>'Automated raw'!$G169/'Automated raw'!$H169</f>
        <v>0.93548387096774188</v>
      </c>
      <c r="O345" s="46">
        <f>IFERROR('Automated raw'!$G169/'Automated raw'!$H169,"incomplete")</f>
        <v>0.93548387096774188</v>
      </c>
      <c r="P345" s="44">
        <f>'Automated raw'!$F169</f>
        <v>138</v>
      </c>
      <c r="Q345" s="47">
        <f>IFERROR('Automated raw'!$P169*'Automated raw'!$L169,0)</f>
        <v>40638</v>
      </c>
      <c r="R345" s="44" t="str">
        <f>IF('Automated raw'!$O169&gt;=60%,"High",IF('Automated raw'!$O169&gt;=30%,"Avg",IF('Automated raw'!$O169&lt;30%,"Dead Stock","Incomplete")))</f>
        <v>Avg</v>
      </c>
      <c r="S345" s="48" t="str">
        <f>TEXT('Automated raw'!$B169,"mmm")</f>
        <v>Dec</v>
      </c>
      <c r="T345" s="83">
        <f>'Automated raw'!$G169*'Automated raw'!$M169</f>
        <v>215151</v>
      </c>
      <c r="U345" s="6">
        <f>IFERROR((Table7[[#This Row],[Stock In(Total)]]+Table7[[#This Row],[In Stock or Remaining]])/2,"-")</f>
        <v>175.5</v>
      </c>
      <c r="V345" s="93">
        <f>IFERROR(Table7[[#This Row],[Stock_Out]]/Table7[[#This Row],[Avg Inventory]],"-")</f>
        <v>0.6495726495726496</v>
      </c>
      <c r="W345" s="6"/>
      <c r="X345" s="6"/>
      <c r="Y345" s="6"/>
      <c r="Z345" s="6"/>
      <c r="AA345" s="6"/>
      <c r="AB345" s="6"/>
      <c r="AC345" s="6"/>
      <c r="AD345" s="6"/>
      <c r="AE345" s="6"/>
      <c r="AF345" s="6"/>
      <c r="AG345" s="6"/>
      <c r="AH345" s="6"/>
      <c r="AI345" s="6"/>
      <c r="AJ345" s="6"/>
      <c r="AK345" s="6"/>
      <c r="AL345" s="57" t="s">
        <v>298</v>
      </c>
      <c r="AM345" s="57">
        <v>45389</v>
      </c>
      <c r="AN345" s="57" t="s">
        <v>53</v>
      </c>
      <c r="AO345" s="57" t="s">
        <v>17</v>
      </c>
      <c r="AP345" s="57" t="s">
        <v>14</v>
      </c>
      <c r="AQ345" s="57" t="s">
        <v>23</v>
      </c>
      <c r="AR345" s="57">
        <v>30</v>
      </c>
      <c r="AS345" s="57" t="s">
        <v>568</v>
      </c>
      <c r="AT345" s="57">
        <v>15</v>
      </c>
      <c r="AU345" s="57">
        <v>38</v>
      </c>
      <c r="AV345" s="57">
        <v>14</v>
      </c>
      <c r="AW345" s="57">
        <v>753</v>
      </c>
      <c r="AX345" s="57">
        <v>969</v>
      </c>
      <c r="AY345" s="57" t="e">
        <v>#VALUE!</v>
      </c>
      <c r="AZ345" s="57" t="s">
        <v>569</v>
      </c>
      <c r="BA345" s="57" t="s">
        <v>23</v>
      </c>
      <c r="BB345" s="57">
        <v>0</v>
      </c>
      <c r="BC345" s="57" t="s">
        <v>552</v>
      </c>
      <c r="BD345" s="57" t="s">
        <v>558</v>
      </c>
      <c r="BE345" s="57">
        <v>29070</v>
      </c>
    </row>
    <row r="346" spans="1:57" x14ac:dyDescent="0.3">
      <c r="A346" s="44" t="s">
        <v>528</v>
      </c>
      <c r="B346" s="45">
        <v>45385</v>
      </c>
      <c r="C346" s="44" t="s">
        <v>37</v>
      </c>
      <c r="D346" s="44" t="s">
        <v>17</v>
      </c>
      <c r="E346" s="44" t="s">
        <v>33</v>
      </c>
      <c r="F346" s="40">
        <v>113</v>
      </c>
      <c r="G346" s="44">
        <v>103</v>
      </c>
      <c r="H346" s="44">
        <f>IFERROR('Automated raw'!$F495+'Automated raw'!$G495,"-")</f>
        <v>167</v>
      </c>
      <c r="I346" s="44">
        <v>119</v>
      </c>
      <c r="J346" s="44">
        <v>78</v>
      </c>
      <c r="K346" s="44">
        <v>4</v>
      </c>
      <c r="L346" s="44">
        <v>881</v>
      </c>
      <c r="M346" s="44">
        <v>2250</v>
      </c>
      <c r="N346" s="44">
        <f>'Automated raw'!$G495/'Automated raw'!$H495</f>
        <v>0.67808219178082196</v>
      </c>
      <c r="O346" s="46">
        <f>IFERROR('Automated raw'!$G495/'Automated raw'!$H495,"incomplete")</f>
        <v>0.67808219178082196</v>
      </c>
      <c r="P346" s="44">
        <f>'Automated raw'!$F495</f>
        <v>68</v>
      </c>
      <c r="Q346" s="47">
        <f>IFERROR('Automated raw'!$P495*'Automated raw'!$L495,0)</f>
        <v>107844</v>
      </c>
      <c r="R346" s="44" t="str">
        <f>IF('Automated raw'!$O495&gt;=60%,"High",IF('Automated raw'!$O495&gt;=30%,"Avg",IF('Automated raw'!$O495&lt;30%,"Dead Stock","Incomplete")))</f>
        <v>High</v>
      </c>
      <c r="S346" s="48" t="str">
        <f>TEXT('Automated raw'!$B495,"mmm")</f>
        <v>Aug</v>
      </c>
      <c r="T346" s="83">
        <f>'Automated raw'!$G495*'Automated raw'!$M495</f>
        <v>205326</v>
      </c>
      <c r="U346" s="6">
        <f>IFERROR((Table7[[#This Row],[Stock In(Total)]]+Table7[[#This Row],[In Stock or Remaining]])/2,"-")</f>
        <v>140</v>
      </c>
      <c r="V346" s="93">
        <f>IFERROR(Table7[[#This Row],[Stock_Out]]/Table7[[#This Row],[Avg Inventory]],"-")</f>
        <v>0.73571428571428577</v>
      </c>
      <c r="W346" s="6"/>
      <c r="X346" s="6"/>
      <c r="Y346" s="6"/>
      <c r="Z346" s="6"/>
      <c r="AA346" s="6"/>
      <c r="AB346" s="6"/>
      <c r="AC346" s="6"/>
      <c r="AD346" s="6"/>
      <c r="AE346" s="6"/>
      <c r="AF346" s="6"/>
      <c r="AG346" s="6"/>
      <c r="AH346" s="6"/>
      <c r="AI346" s="6"/>
      <c r="AJ346" s="6"/>
      <c r="AK346" s="6"/>
      <c r="AL346" s="56" t="s">
        <v>197</v>
      </c>
      <c r="AM346" s="56">
        <v>45365</v>
      </c>
      <c r="AN346" s="56" t="s">
        <v>37</v>
      </c>
      <c r="AO346" s="56" t="s">
        <v>17</v>
      </c>
      <c r="AP346" s="56" t="s">
        <v>38</v>
      </c>
      <c r="AQ346" s="56" t="s">
        <v>23</v>
      </c>
      <c r="AR346" s="56">
        <v>13</v>
      </c>
      <c r="AS346" s="56" t="s">
        <v>568</v>
      </c>
      <c r="AT346" s="56">
        <v>77</v>
      </c>
      <c r="AU346" s="56">
        <v>78</v>
      </c>
      <c r="AV346" s="56">
        <v>2</v>
      </c>
      <c r="AW346" s="56">
        <v>1870</v>
      </c>
      <c r="AX346" s="56">
        <v>2019</v>
      </c>
      <c r="AY346" s="56" t="e">
        <v>#VALUE!</v>
      </c>
      <c r="AZ346" s="56" t="s">
        <v>569</v>
      </c>
      <c r="BA346" s="56" t="s">
        <v>23</v>
      </c>
      <c r="BB346" s="56">
        <v>0</v>
      </c>
      <c r="BC346" s="56" t="s">
        <v>552</v>
      </c>
      <c r="BD346" s="56" t="s">
        <v>562</v>
      </c>
      <c r="BE346" s="56">
        <v>26247</v>
      </c>
    </row>
    <row r="347" spans="1:57" x14ac:dyDescent="0.3">
      <c r="A347" s="44" t="s">
        <v>380</v>
      </c>
      <c r="B347" s="45">
        <v>45644</v>
      </c>
      <c r="C347" s="44" t="s">
        <v>16</v>
      </c>
      <c r="D347" s="44" t="s">
        <v>17</v>
      </c>
      <c r="E347" s="44" t="s">
        <v>38</v>
      </c>
      <c r="F347" s="40">
        <v>9</v>
      </c>
      <c r="G347" s="44">
        <v>62</v>
      </c>
      <c r="H347" s="44">
        <f>IFERROR('Automated raw'!$F347+'Automated raw'!$G347,"-")</f>
        <v>71</v>
      </c>
      <c r="I347" s="44">
        <v>99</v>
      </c>
      <c r="J347" s="44">
        <v>37</v>
      </c>
      <c r="K347" s="44">
        <v>8</v>
      </c>
      <c r="L347" s="44">
        <v>1284</v>
      </c>
      <c r="M347" s="44">
        <v>2402</v>
      </c>
      <c r="N347" s="44">
        <f>'Automated raw'!$G347/'Automated raw'!$H347</f>
        <v>0.87323943661971826</v>
      </c>
      <c r="O347" s="46">
        <f>IFERROR('Automated raw'!$G347/'Automated raw'!$H347,"incomplete")</f>
        <v>0.87323943661971826</v>
      </c>
      <c r="P347" s="44">
        <f>'Automated raw'!$F347</f>
        <v>9</v>
      </c>
      <c r="Q347" s="47">
        <f>IFERROR('Automated raw'!$P347*'Automated raw'!$L347,0)</f>
        <v>11556</v>
      </c>
      <c r="R347" s="44" t="str">
        <f>IF('Automated raw'!$O347&gt;=60%,"High",IF('Automated raw'!$O347&gt;=30%,"Avg",IF('Automated raw'!$O347&lt;30%,"Dead Stock","Incomplete")))</f>
        <v>High</v>
      </c>
      <c r="S347" s="48" t="str">
        <f>TEXT('Automated raw'!$B347,"mmm")</f>
        <v>Dec</v>
      </c>
      <c r="T347" s="83">
        <f>'Automated raw'!$G347*'Automated raw'!$M347</f>
        <v>148924</v>
      </c>
      <c r="U347" s="6">
        <f>IFERROR((Table7[[#This Row],[Stock In(Total)]]+Table7[[#This Row],[In Stock or Remaining]])/2,"-")</f>
        <v>40</v>
      </c>
      <c r="V347" s="93">
        <f>IFERROR(Table7[[#This Row],[Stock_Out]]/Table7[[#This Row],[Avg Inventory]],"-")</f>
        <v>1.55</v>
      </c>
      <c r="W347" s="6"/>
      <c r="X347" s="6"/>
      <c r="Y347" s="6"/>
      <c r="Z347" s="6"/>
      <c r="AA347" s="6"/>
      <c r="AB347" s="6"/>
      <c r="AC347" s="6"/>
      <c r="AD347" s="6"/>
      <c r="AE347" s="6"/>
      <c r="AF347" s="6"/>
      <c r="AG347" s="6"/>
      <c r="AH347" s="6"/>
      <c r="AI347" s="6"/>
      <c r="AJ347" s="6"/>
      <c r="AK347" s="6"/>
      <c r="AL347" s="57" t="s">
        <v>159</v>
      </c>
      <c r="AM347" s="57">
        <v>45421</v>
      </c>
      <c r="AN347" s="57" t="s">
        <v>37</v>
      </c>
      <c r="AO347" s="57" t="s">
        <v>13</v>
      </c>
      <c r="AP347" s="57" t="s">
        <v>14</v>
      </c>
      <c r="AQ347" s="57" t="s">
        <v>23</v>
      </c>
      <c r="AR347" s="57">
        <v>15</v>
      </c>
      <c r="AS347" s="57" t="s">
        <v>568</v>
      </c>
      <c r="AT347" s="57">
        <v>142</v>
      </c>
      <c r="AU347" s="57">
        <v>33</v>
      </c>
      <c r="AV347" s="57">
        <v>3</v>
      </c>
      <c r="AW347" s="57">
        <v>1423</v>
      </c>
      <c r="AX347" s="57">
        <v>1562</v>
      </c>
      <c r="AY347" s="57" t="e">
        <v>#VALUE!</v>
      </c>
      <c r="AZ347" s="57" t="s">
        <v>569</v>
      </c>
      <c r="BA347" s="57" t="s">
        <v>23</v>
      </c>
      <c r="BB347" s="57">
        <v>0</v>
      </c>
      <c r="BC347" s="57" t="s">
        <v>552</v>
      </c>
      <c r="BD347" s="57" t="s">
        <v>561</v>
      </c>
      <c r="BE347" s="57">
        <v>23430</v>
      </c>
    </row>
    <row r="348" spans="1:57" x14ac:dyDescent="0.3">
      <c r="A348" s="38" t="s">
        <v>381</v>
      </c>
      <c r="B348" s="39">
        <v>45554</v>
      </c>
      <c r="C348" s="38" t="s">
        <v>45</v>
      </c>
      <c r="D348" s="38" t="s">
        <v>20</v>
      </c>
      <c r="E348" s="38" t="s">
        <v>21</v>
      </c>
      <c r="F348" s="40">
        <v>116</v>
      </c>
      <c r="G348" s="38">
        <v>36</v>
      </c>
      <c r="H348" s="38">
        <f>IFERROR('Automated raw'!$F348+'Automated raw'!$G348,"-")</f>
        <v>152</v>
      </c>
      <c r="I348" s="38">
        <v>262</v>
      </c>
      <c r="J348" s="38">
        <v>77</v>
      </c>
      <c r="K348" s="38">
        <v>15</v>
      </c>
      <c r="L348" s="38">
        <v>1218</v>
      </c>
      <c r="M348" s="38">
        <v>2670</v>
      </c>
      <c r="N348" s="38">
        <f>'Automated raw'!$G348/'Automated raw'!$H348</f>
        <v>0.23684210526315788</v>
      </c>
      <c r="O348" s="41">
        <f>IFERROR('Automated raw'!$G348/'Automated raw'!$H348,"incomplete")</f>
        <v>0.23684210526315788</v>
      </c>
      <c r="P348" s="38">
        <f>'Automated raw'!$F348</f>
        <v>116</v>
      </c>
      <c r="Q348" s="42">
        <f>IFERROR('Automated raw'!$P348*'Automated raw'!$L348,0)</f>
        <v>141288</v>
      </c>
      <c r="R348" s="38" t="str">
        <f>IF('Automated raw'!$O348&gt;=60%,"High",IF('Automated raw'!$O348&gt;=30%,"Avg",IF('Automated raw'!$O348&lt;30%,"Dead Stock","Incomplete")))</f>
        <v>Dead Stock</v>
      </c>
      <c r="S348" s="43" t="str">
        <f>TEXT('Automated raw'!$B348,"mmm")</f>
        <v>Sep</v>
      </c>
      <c r="T348" s="82">
        <f>'Automated raw'!$G348*'Automated raw'!$M348</f>
        <v>96120</v>
      </c>
      <c r="U348" s="6">
        <f>IFERROR((Table7[[#This Row],[Stock In(Total)]]+Table7[[#This Row],[In Stock or Remaining]])/2,"-")</f>
        <v>134</v>
      </c>
      <c r="V348" s="93">
        <f>IFERROR(Table7[[#This Row],[Stock_Out]]/Table7[[#This Row],[Avg Inventory]],"-")</f>
        <v>0.26865671641791045</v>
      </c>
      <c r="W348" s="6"/>
      <c r="X348" s="6"/>
      <c r="Y348" s="6"/>
      <c r="Z348" s="6"/>
      <c r="AA348" s="6"/>
      <c r="AB348" s="6"/>
      <c r="AC348" s="6"/>
      <c r="AD348" s="6"/>
      <c r="AE348" s="6"/>
      <c r="AF348" s="6"/>
      <c r="AG348" s="6"/>
      <c r="AH348" s="6"/>
      <c r="AI348" s="6"/>
      <c r="AJ348" s="6"/>
      <c r="AK348" s="6"/>
      <c r="AL348" s="57" t="s">
        <v>58</v>
      </c>
      <c r="AM348" s="57">
        <v>45591</v>
      </c>
      <c r="AN348" s="57" t="s">
        <v>37</v>
      </c>
      <c r="AO348" s="57" t="s">
        <v>13</v>
      </c>
      <c r="AP348" s="57" t="s">
        <v>14</v>
      </c>
      <c r="AQ348" s="57">
        <v>11</v>
      </c>
      <c r="AR348" s="57">
        <v>41</v>
      </c>
      <c r="AS348" s="57">
        <v>52</v>
      </c>
      <c r="AT348" s="57">
        <v>73</v>
      </c>
      <c r="AU348" s="57">
        <v>72</v>
      </c>
      <c r="AV348" s="57">
        <v>12</v>
      </c>
      <c r="AW348" s="57">
        <v>232</v>
      </c>
      <c r="AX348" s="57">
        <v>421</v>
      </c>
      <c r="AY348" s="57">
        <v>0.78846153846153844</v>
      </c>
      <c r="AZ348" s="57">
        <v>0.78846153846153844</v>
      </c>
      <c r="BA348" s="57">
        <v>11</v>
      </c>
      <c r="BB348" s="57">
        <v>2552</v>
      </c>
      <c r="BC348" s="57" t="s">
        <v>552</v>
      </c>
      <c r="BD348" s="57" t="s">
        <v>565</v>
      </c>
      <c r="BE348" s="57">
        <v>17261</v>
      </c>
    </row>
    <row r="349" spans="1:57" x14ac:dyDescent="0.3">
      <c r="A349" s="44" t="s">
        <v>450</v>
      </c>
      <c r="B349" s="45">
        <v>45429</v>
      </c>
      <c r="C349" s="44" t="s">
        <v>37</v>
      </c>
      <c r="D349" s="44" t="s">
        <v>17</v>
      </c>
      <c r="E349" s="44" t="s">
        <v>14</v>
      </c>
      <c r="F349" s="40">
        <v>49</v>
      </c>
      <c r="G349" s="44">
        <v>45</v>
      </c>
      <c r="H349" s="44">
        <f>IFERROR('Automated raw'!$F417+'Automated raw'!$G417,"-")</f>
        <v>88</v>
      </c>
      <c r="I349" s="44">
        <v>91</v>
      </c>
      <c r="J349" s="44">
        <v>61</v>
      </c>
      <c r="K349" s="44">
        <v>6</v>
      </c>
      <c r="L349" s="44">
        <v>655</v>
      </c>
      <c r="M349" s="44">
        <v>931</v>
      </c>
      <c r="N349" s="44">
        <f>'Automated raw'!$G417/'Automated raw'!$H417</f>
        <v>0.25842696629213485</v>
      </c>
      <c r="O349" s="46">
        <f>IFERROR('Automated raw'!$G417/'Automated raw'!$H417,"incomplete")</f>
        <v>0.25842696629213485</v>
      </c>
      <c r="P349" s="44">
        <f>'Automated raw'!$F417</f>
        <v>42</v>
      </c>
      <c r="Q349" s="47">
        <f>IFERROR('Automated raw'!$P417*'Automated raw'!$L417,0)</f>
        <v>55709</v>
      </c>
      <c r="R349" s="44" t="str">
        <f>IF('Automated raw'!$O417&gt;=60%,"High",IF('Automated raw'!$O417&gt;=30%,"Avg",IF('Automated raw'!$O417&lt;30%,"Dead Stock","Incomplete")))</f>
        <v>High</v>
      </c>
      <c r="S349" s="48" t="str">
        <f>TEXT('Automated raw'!$B417,"mmm")</f>
        <v>Apr</v>
      </c>
      <c r="T349" s="83">
        <f>'Automated raw'!$G417*'Automated raw'!$M417</f>
        <v>60214</v>
      </c>
      <c r="U349" s="6">
        <f>IFERROR((Table7[[#This Row],[Stock In(Total)]]+Table7[[#This Row],[In Stock or Remaining]])/2,"-")</f>
        <v>68.5</v>
      </c>
      <c r="V349" s="93">
        <f>IFERROR(Table7[[#This Row],[Stock_Out]]/Table7[[#This Row],[Avg Inventory]],"-")</f>
        <v>0.65693430656934304</v>
      </c>
      <c r="W349" s="6"/>
      <c r="X349" s="6"/>
      <c r="Y349" s="6"/>
      <c r="Z349" s="6"/>
      <c r="AA349" s="6"/>
      <c r="AB349" s="6"/>
      <c r="AC349" s="6"/>
      <c r="AD349" s="6"/>
      <c r="AE349" s="6"/>
      <c r="AF349" s="6"/>
      <c r="AG349" s="6"/>
      <c r="AH349" s="6"/>
      <c r="AI349" s="6"/>
      <c r="AJ349" s="6"/>
      <c r="AK349" s="6"/>
      <c r="AL349" s="56" t="s">
        <v>491</v>
      </c>
      <c r="AM349" s="56">
        <v>45506</v>
      </c>
      <c r="AN349" s="56" t="s">
        <v>53</v>
      </c>
      <c r="AO349" s="56" t="s">
        <v>13</v>
      </c>
      <c r="AP349" s="56" t="s">
        <v>14</v>
      </c>
      <c r="AQ349" s="56">
        <v>5</v>
      </c>
      <c r="AR349" s="56">
        <v>22</v>
      </c>
      <c r="AS349" s="56">
        <v>27</v>
      </c>
      <c r="AT349" s="56">
        <v>129</v>
      </c>
      <c r="AU349" s="56">
        <v>67</v>
      </c>
      <c r="AV349" s="56">
        <v>6</v>
      </c>
      <c r="AW349" s="56">
        <v>360</v>
      </c>
      <c r="AX349" s="56">
        <v>639</v>
      </c>
      <c r="AY349" s="56">
        <v>0.81481481481481477</v>
      </c>
      <c r="AZ349" s="56">
        <v>0.81481481481481477</v>
      </c>
      <c r="BA349" s="56">
        <v>5</v>
      </c>
      <c r="BB349" s="56">
        <v>1800</v>
      </c>
      <c r="BC349" s="56" t="s">
        <v>552</v>
      </c>
      <c r="BD349" s="56" t="s">
        <v>554</v>
      </c>
      <c r="BE349" s="56">
        <v>14058</v>
      </c>
    </row>
    <row r="350" spans="1:57" x14ac:dyDescent="0.3">
      <c r="A350" s="38" t="s">
        <v>383</v>
      </c>
      <c r="B350" s="39">
        <v>45498</v>
      </c>
      <c r="C350" s="38" t="s">
        <v>37</v>
      </c>
      <c r="D350" s="38" t="s">
        <v>13</v>
      </c>
      <c r="E350" s="38" t="s">
        <v>33</v>
      </c>
      <c r="F350" s="40">
        <v>136</v>
      </c>
      <c r="G350" s="38">
        <v>18</v>
      </c>
      <c r="H350" s="38">
        <f>IFERROR('Automated raw'!$F350+'Automated raw'!$G350,"-")</f>
        <v>154</v>
      </c>
      <c r="I350" s="38">
        <v>21</v>
      </c>
      <c r="J350" s="38">
        <v>55</v>
      </c>
      <c r="K350" s="38">
        <v>4</v>
      </c>
      <c r="L350" s="38">
        <v>1777</v>
      </c>
      <c r="M350" s="38">
        <v>2868</v>
      </c>
      <c r="N350" s="38">
        <f>'Automated raw'!$G350/'Automated raw'!$H350</f>
        <v>0.11688311688311688</v>
      </c>
      <c r="O350" s="41">
        <f>IFERROR('Automated raw'!$G350/'Automated raw'!$H350,"incomplete")</f>
        <v>0.11688311688311688</v>
      </c>
      <c r="P350" s="38">
        <f>'Automated raw'!$F350</f>
        <v>136</v>
      </c>
      <c r="Q350" s="42">
        <f>IFERROR('Automated raw'!$P350*'Automated raw'!$L350,0)</f>
        <v>241672</v>
      </c>
      <c r="R350" s="38" t="str">
        <f>IF('Automated raw'!$O350&gt;=60%,"High",IF('Automated raw'!$O350&gt;=30%,"Avg",IF('Automated raw'!$O350&lt;30%,"Dead Stock","Incomplete")))</f>
        <v>Dead Stock</v>
      </c>
      <c r="S350" s="43" t="str">
        <f>TEXT('Automated raw'!$B350,"mmm")</f>
        <v>Jul</v>
      </c>
      <c r="T350" s="82">
        <f>'Automated raw'!$G350*'Automated raw'!$M350</f>
        <v>51624</v>
      </c>
      <c r="U350" s="6">
        <f>IFERROR((Table7[[#This Row],[Stock In(Total)]]+Table7[[#This Row],[In Stock or Remaining]])/2,"-")</f>
        <v>145</v>
      </c>
      <c r="V350" s="93">
        <f>IFERROR(Table7[[#This Row],[Stock_Out]]/Table7[[#This Row],[Avg Inventory]],"-")</f>
        <v>0.12413793103448276</v>
      </c>
      <c r="W350" s="6"/>
      <c r="X350" s="6"/>
      <c r="Y350" s="6"/>
      <c r="Z350" s="6"/>
      <c r="AA350" s="6"/>
      <c r="AB350" s="6"/>
      <c r="AC350" s="6"/>
      <c r="AD350" s="6"/>
      <c r="AE350" s="6"/>
      <c r="AF350" s="6"/>
      <c r="AG350" s="6"/>
      <c r="AH350" s="6"/>
      <c r="AI350" s="6"/>
      <c r="AJ350" s="6"/>
      <c r="AK350" s="6"/>
      <c r="AL350" s="57" t="s">
        <v>279</v>
      </c>
      <c r="AM350" s="57">
        <v>45495</v>
      </c>
      <c r="AN350" s="57" t="s">
        <v>19</v>
      </c>
      <c r="AO350" s="57" t="s">
        <v>13</v>
      </c>
      <c r="AP350" s="57" t="s">
        <v>38</v>
      </c>
      <c r="AQ350" s="57" t="s">
        <v>23</v>
      </c>
      <c r="AR350" s="57">
        <v>14</v>
      </c>
      <c r="AS350" s="57" t="s">
        <v>568</v>
      </c>
      <c r="AT350" s="57">
        <v>45</v>
      </c>
      <c r="AU350" s="57">
        <v>69</v>
      </c>
      <c r="AV350" s="57">
        <v>13</v>
      </c>
      <c r="AW350" s="57">
        <v>453</v>
      </c>
      <c r="AX350" s="57">
        <v>859</v>
      </c>
      <c r="AY350" s="57" t="e">
        <v>#VALUE!</v>
      </c>
      <c r="AZ350" s="57" t="s">
        <v>569</v>
      </c>
      <c r="BA350" s="57" t="s">
        <v>23</v>
      </c>
      <c r="BB350" s="57">
        <v>0</v>
      </c>
      <c r="BC350" s="57" t="s">
        <v>552</v>
      </c>
      <c r="BD350" s="57" t="s">
        <v>556</v>
      </c>
      <c r="BE350" s="57">
        <v>12026</v>
      </c>
    </row>
    <row r="351" spans="1:57" x14ac:dyDescent="0.3">
      <c r="A351" s="44" t="s">
        <v>384</v>
      </c>
      <c r="B351" s="45">
        <v>45630</v>
      </c>
      <c r="C351" s="44" t="s">
        <v>19</v>
      </c>
      <c r="D351" s="44" t="s">
        <v>13</v>
      </c>
      <c r="E351" s="44" t="s">
        <v>21</v>
      </c>
      <c r="F351" s="40">
        <v>68</v>
      </c>
      <c r="G351" s="44">
        <v>116</v>
      </c>
      <c r="H351" s="44">
        <f>IFERROR('Automated raw'!$F351+'Automated raw'!$G351,"-")</f>
        <v>184</v>
      </c>
      <c r="I351" s="44">
        <v>53</v>
      </c>
      <c r="J351" s="44">
        <v>58</v>
      </c>
      <c r="K351" s="44">
        <v>2</v>
      </c>
      <c r="L351" s="44">
        <v>1682</v>
      </c>
      <c r="M351" s="44">
        <v>2843</v>
      </c>
      <c r="N351" s="44">
        <f>'Automated raw'!$G351/'Automated raw'!$H351</f>
        <v>0.63043478260869568</v>
      </c>
      <c r="O351" s="46">
        <f>IFERROR('Automated raw'!$G351/'Automated raw'!$H351,"incomplete")</f>
        <v>0.63043478260869568</v>
      </c>
      <c r="P351" s="44">
        <f>'Automated raw'!$F351</f>
        <v>68</v>
      </c>
      <c r="Q351" s="47">
        <f>IFERROR('Automated raw'!$P351*'Automated raw'!$L351,0)</f>
        <v>114376</v>
      </c>
      <c r="R351" s="44" t="str">
        <f>IF('Automated raw'!$O351&gt;=60%,"High",IF('Automated raw'!$O351&gt;=30%,"Avg",IF('Automated raw'!$O351&lt;30%,"Dead Stock","Incomplete")))</f>
        <v>High</v>
      </c>
      <c r="S351" s="48" t="str">
        <f>TEXT('Automated raw'!$B351,"mmm")</f>
        <v>Dec</v>
      </c>
      <c r="T351" s="83">
        <f>'Automated raw'!$G351*'Automated raw'!$M351</f>
        <v>329788</v>
      </c>
      <c r="U351" s="6">
        <f>IFERROR((Table7[[#This Row],[Stock In(Total)]]+Table7[[#This Row],[In Stock or Remaining]])/2,"-")</f>
        <v>126</v>
      </c>
      <c r="V351" s="93">
        <f>IFERROR(Table7[[#This Row],[Stock_Out]]/Table7[[#This Row],[Avg Inventory]],"-")</f>
        <v>0.92063492063492058</v>
      </c>
      <c r="W351" s="6"/>
      <c r="X351" s="6"/>
      <c r="Y351" s="6"/>
      <c r="Z351" s="6"/>
      <c r="AA351" s="6"/>
      <c r="AB351" s="6"/>
      <c r="AC351" s="6"/>
      <c r="AD351" s="6"/>
      <c r="AE351" s="6"/>
      <c r="AF351" s="6"/>
      <c r="AG351" s="6"/>
      <c r="AH351" s="6"/>
      <c r="AI351" s="6"/>
      <c r="AJ351" s="6"/>
      <c r="AK351" s="6"/>
      <c r="AL351" s="57" t="s">
        <v>390</v>
      </c>
      <c r="AM351" s="57">
        <v>45523</v>
      </c>
      <c r="AN351" s="57" t="s">
        <v>19</v>
      </c>
      <c r="AO351" s="57" t="s">
        <v>20</v>
      </c>
      <c r="AP351" s="57" t="s">
        <v>33</v>
      </c>
      <c r="AQ351" s="57" t="s">
        <v>23</v>
      </c>
      <c r="AR351" s="57">
        <v>5</v>
      </c>
      <c r="AS351" s="57" t="s">
        <v>568</v>
      </c>
      <c r="AT351" s="57">
        <v>216</v>
      </c>
      <c r="AU351" s="57">
        <v>41</v>
      </c>
      <c r="AV351" s="57">
        <v>11</v>
      </c>
      <c r="AW351" s="57">
        <v>719</v>
      </c>
      <c r="AX351" s="57">
        <v>1875</v>
      </c>
      <c r="AY351" s="57" t="e">
        <v>#VALUE!</v>
      </c>
      <c r="AZ351" s="57" t="s">
        <v>569</v>
      </c>
      <c r="BA351" s="57" t="s">
        <v>23</v>
      </c>
      <c r="BB351" s="57">
        <v>0</v>
      </c>
      <c r="BC351" s="57" t="s">
        <v>552</v>
      </c>
      <c r="BD351" s="57" t="s">
        <v>554</v>
      </c>
      <c r="BE351" s="57">
        <v>9375</v>
      </c>
    </row>
    <row r="352" spans="1:57" x14ac:dyDescent="0.3">
      <c r="A352" s="44" t="s">
        <v>152</v>
      </c>
      <c r="B352" s="45">
        <v>45439</v>
      </c>
      <c r="C352" s="44" t="s">
        <v>30</v>
      </c>
      <c r="D352" s="44" t="s">
        <v>20</v>
      </c>
      <c r="E352" s="44" t="s">
        <v>23</v>
      </c>
      <c r="F352" s="40">
        <v>76</v>
      </c>
      <c r="G352" s="44">
        <v>70</v>
      </c>
      <c r="H352" s="44">
        <f>IFERROR('Automated raw'!$F123+'Automated raw'!$G123,"-")</f>
        <v>52</v>
      </c>
      <c r="I352" s="44">
        <v>98</v>
      </c>
      <c r="J352" s="44">
        <v>48</v>
      </c>
      <c r="K352" s="44">
        <v>12</v>
      </c>
      <c r="L352" s="44">
        <v>765</v>
      </c>
      <c r="M352" s="44">
        <v>1661</v>
      </c>
      <c r="N352" s="44">
        <f>'Automated raw'!$G123/'Automated raw'!$H123</f>
        <v>0.10326086956521739</v>
      </c>
      <c r="O352" s="46">
        <f>IFERROR('Automated raw'!$G123/'Automated raw'!$H123,"incomplete")</f>
        <v>0.10326086956521739</v>
      </c>
      <c r="P352" s="44">
        <f>'Automated raw'!$F123</f>
        <v>33</v>
      </c>
      <c r="Q352" s="47">
        <f>IFERROR('Automated raw'!$P123*'Automated raw'!$L123,0)</f>
        <v>198315</v>
      </c>
      <c r="R352" s="44" t="str">
        <f>IF('Automated raw'!$O123&gt;=60%,"High",IF('Automated raw'!$O123&gt;=30%,"Avg",IF('Automated raw'!$O123&lt;30%,"Dead Stock","Incomplete")))</f>
        <v>Dead Stock</v>
      </c>
      <c r="S352" s="48" t="str">
        <f>TEXT('Automated raw'!$B123,"mmm")</f>
        <v>Oct</v>
      </c>
      <c r="T352" s="83">
        <f>'Automated raw'!$G123*'Automated raw'!$M123</f>
        <v>54606</v>
      </c>
      <c r="U352" s="6">
        <f>IFERROR((Table7[[#This Row],[Stock In(Total)]]+Table7[[#This Row],[In Stock or Remaining]])/2,"-")</f>
        <v>64</v>
      </c>
      <c r="V352" s="93">
        <f>IFERROR(Table7[[#This Row],[Stock_Out]]/Table7[[#This Row],[Avg Inventory]],"-")</f>
        <v>1.09375</v>
      </c>
      <c r="W352" s="6"/>
      <c r="X352" s="6"/>
      <c r="Y352" s="6"/>
      <c r="Z352" s="6"/>
      <c r="AA352" s="6"/>
      <c r="AB352" s="6"/>
      <c r="AC352" s="6"/>
      <c r="AD352" s="6"/>
      <c r="AE352" s="6"/>
      <c r="AF352" s="6"/>
      <c r="AG352" s="6"/>
      <c r="AH352" s="6"/>
      <c r="AI352" s="6"/>
      <c r="AJ352" s="6"/>
      <c r="AK352" s="6"/>
    </row>
    <row r="353" spans="1:57" x14ac:dyDescent="0.3">
      <c r="A353" s="44" t="s">
        <v>386</v>
      </c>
      <c r="B353" s="45">
        <v>45369</v>
      </c>
      <c r="C353" s="44" t="s">
        <v>16</v>
      </c>
      <c r="D353" s="44" t="s">
        <v>17</v>
      </c>
      <c r="E353" s="44" t="s">
        <v>33</v>
      </c>
      <c r="F353" s="40">
        <v>82</v>
      </c>
      <c r="G353" s="44">
        <v>32</v>
      </c>
      <c r="H353" s="44">
        <f>IFERROR('Automated raw'!$F353+'Automated raw'!$G353,"-")</f>
        <v>114</v>
      </c>
      <c r="I353" s="44">
        <v>253</v>
      </c>
      <c r="J353" s="44">
        <v>67</v>
      </c>
      <c r="K353" s="44">
        <v>2</v>
      </c>
      <c r="L353" s="44">
        <v>1750</v>
      </c>
      <c r="M353" s="44">
        <v>3162</v>
      </c>
      <c r="N353" s="44">
        <f>'Automated raw'!$G353/'Automated raw'!$H353</f>
        <v>0.2807017543859649</v>
      </c>
      <c r="O353" s="46">
        <f>IFERROR('Automated raw'!$G353/'Automated raw'!$H353,"incomplete")</f>
        <v>0.2807017543859649</v>
      </c>
      <c r="P353" s="44">
        <f>'Automated raw'!$F353</f>
        <v>82</v>
      </c>
      <c r="Q353" s="47">
        <f>IFERROR('Automated raw'!$P353*'Automated raw'!$L353,0)</f>
        <v>143500</v>
      </c>
      <c r="R353" s="44" t="str">
        <f>IF('Automated raw'!$O353&gt;=60%,"High",IF('Automated raw'!$O353&gt;=30%,"Avg",IF('Automated raw'!$O353&lt;30%,"Dead Stock","Incomplete")))</f>
        <v>Dead Stock</v>
      </c>
      <c r="S353" s="48" t="str">
        <f>TEXT('Automated raw'!$B353,"mmm")</f>
        <v>Mar</v>
      </c>
      <c r="T353" s="83">
        <f>'Automated raw'!$G353*'Automated raw'!$M353</f>
        <v>101184</v>
      </c>
      <c r="U353" s="6">
        <f>IFERROR((Table7[[#This Row],[Stock In(Total)]]+Table7[[#This Row],[In Stock or Remaining]])/2,"-")</f>
        <v>98</v>
      </c>
      <c r="V353" s="93">
        <f>IFERROR(Table7[[#This Row],[Stock_Out]]/Table7[[#This Row],[Avg Inventory]],"-")</f>
        <v>0.32653061224489793</v>
      </c>
      <c r="W353" s="6"/>
      <c r="X353" s="6"/>
      <c r="Y353" s="6"/>
      <c r="Z353" s="6"/>
      <c r="AA353" s="6"/>
      <c r="AB353" s="6"/>
      <c r="AC353" s="6"/>
      <c r="AD353" s="6"/>
      <c r="AE353" s="6"/>
      <c r="AF353" s="6"/>
      <c r="AG353" s="6"/>
      <c r="AH353" s="6"/>
      <c r="AI353" s="6"/>
      <c r="AJ353" s="6"/>
      <c r="AK353" s="6"/>
    </row>
    <row r="354" spans="1:57" x14ac:dyDescent="0.3">
      <c r="A354" s="38" t="s">
        <v>387</v>
      </c>
      <c r="B354" s="39">
        <v>45527</v>
      </c>
      <c r="C354" s="38" t="s">
        <v>53</v>
      </c>
      <c r="D354" s="38" t="s">
        <v>20</v>
      </c>
      <c r="E354" s="38" t="s">
        <v>14</v>
      </c>
      <c r="F354" s="40">
        <v>40</v>
      </c>
      <c r="G354" s="38">
        <v>15</v>
      </c>
      <c r="H354" s="38">
        <f>IFERROR('Automated raw'!$F354+'Automated raw'!$G354,"-")</f>
        <v>55</v>
      </c>
      <c r="I354" s="38">
        <v>30</v>
      </c>
      <c r="J354" s="38">
        <v>52</v>
      </c>
      <c r="K354" s="38">
        <v>7</v>
      </c>
      <c r="L354" s="38">
        <v>1667</v>
      </c>
      <c r="M354" s="38">
        <v>2069</v>
      </c>
      <c r="N354" s="38">
        <f>'Automated raw'!$G354/'Automated raw'!$H354</f>
        <v>0.27272727272727271</v>
      </c>
      <c r="O354" s="41">
        <f>IFERROR('Automated raw'!$G354/'Automated raw'!$H354,"incomplete")</f>
        <v>0.27272727272727271</v>
      </c>
      <c r="P354" s="38">
        <f>'Automated raw'!$F354</f>
        <v>40</v>
      </c>
      <c r="Q354" s="42">
        <f>IFERROR('Automated raw'!$P354*'Automated raw'!$L354,0)</f>
        <v>66680</v>
      </c>
      <c r="R354" s="38" t="str">
        <f>IF('Automated raw'!$O354&gt;=60%,"High",IF('Automated raw'!$O354&gt;=30%,"Avg",IF('Automated raw'!$O354&lt;30%,"Dead Stock","Incomplete")))</f>
        <v>Dead Stock</v>
      </c>
      <c r="S354" s="43" t="str">
        <f>TEXT('Automated raw'!$B354,"mmm")</f>
        <v>Aug</v>
      </c>
      <c r="T354" s="82">
        <f>'Automated raw'!$G354*'Automated raw'!$M354</f>
        <v>31035</v>
      </c>
      <c r="U354" s="6">
        <f>IFERROR((Table7[[#This Row],[Stock In(Total)]]+Table7[[#This Row],[In Stock or Remaining]])/2,"-")</f>
        <v>47.5</v>
      </c>
      <c r="V354" s="93">
        <f>IFERROR(Table7[[#This Row],[Stock_Out]]/Table7[[#This Row],[Avg Inventory]],"-")</f>
        <v>0.31578947368421051</v>
      </c>
      <c r="W354" s="6"/>
      <c r="X354" s="6"/>
      <c r="Y354" s="6"/>
      <c r="Z354" s="6"/>
      <c r="AA354" s="6"/>
      <c r="AB354" s="6"/>
      <c r="AC354" s="6"/>
      <c r="AD354" s="6"/>
      <c r="AE354" s="6"/>
      <c r="AF354" s="6"/>
      <c r="AG354" s="6"/>
      <c r="AH354" s="6"/>
      <c r="AI354" s="6"/>
      <c r="AJ354" s="6"/>
      <c r="AK354" s="6"/>
      <c r="AL354" t="s">
        <v>551</v>
      </c>
    </row>
    <row r="355" spans="1:57" x14ac:dyDescent="0.3">
      <c r="A355" s="44" t="s">
        <v>388</v>
      </c>
      <c r="B355" s="45">
        <v>45496</v>
      </c>
      <c r="C355" s="44" t="s">
        <v>45</v>
      </c>
      <c r="D355" s="44" t="s">
        <v>20</v>
      </c>
      <c r="E355" s="44" t="s">
        <v>38</v>
      </c>
      <c r="F355" s="40">
        <v>19</v>
      </c>
      <c r="G355" s="44">
        <v>53</v>
      </c>
      <c r="H355" s="44">
        <f>IFERROR('Automated raw'!$F355+'Automated raw'!$G355,"-")</f>
        <v>72</v>
      </c>
      <c r="I355" s="44">
        <v>38</v>
      </c>
      <c r="J355" s="44">
        <v>63</v>
      </c>
      <c r="K355" s="44">
        <v>8</v>
      </c>
      <c r="L355" s="44">
        <v>546</v>
      </c>
      <c r="M355" s="44">
        <v>746</v>
      </c>
      <c r="N355" s="44">
        <f>'Automated raw'!$G355/'Automated raw'!$H355</f>
        <v>0.73611111111111116</v>
      </c>
      <c r="O355" s="46">
        <f>IFERROR('Automated raw'!$G355/'Automated raw'!$H355,"incomplete")</f>
        <v>0.73611111111111116</v>
      </c>
      <c r="P355" s="44">
        <f>'Automated raw'!$F355</f>
        <v>19</v>
      </c>
      <c r="Q355" s="47">
        <f>IFERROR('Automated raw'!$P355*'Automated raw'!$L355,0)</f>
        <v>10374</v>
      </c>
      <c r="R355" s="44" t="str">
        <f>IF('Automated raw'!$O355&gt;=60%,"High",IF('Automated raw'!$O355&gt;=30%,"Avg",IF('Automated raw'!$O355&lt;30%,"Dead Stock","Incomplete")))</f>
        <v>High</v>
      </c>
      <c r="S355" s="48" t="str">
        <f>TEXT('Automated raw'!$B355,"mmm")</f>
        <v>Jul</v>
      </c>
      <c r="T355" s="83">
        <f>'Automated raw'!$G355*'Automated raw'!$M355</f>
        <v>39538</v>
      </c>
      <c r="U355" s="6">
        <f>IFERROR((Table7[[#This Row],[Stock In(Total)]]+Table7[[#This Row],[In Stock or Remaining]])/2,"-")</f>
        <v>45.5</v>
      </c>
      <c r="V355" s="93">
        <f>IFERROR(Table7[[#This Row],[Stock_Out]]/Table7[[#This Row],[Avg Inventory]],"-")</f>
        <v>1.1648351648351649</v>
      </c>
      <c r="W355" s="6"/>
      <c r="X355" s="6"/>
      <c r="Y355" s="6"/>
      <c r="Z355" s="6"/>
      <c r="AA355" s="6"/>
      <c r="AB355" s="6"/>
      <c r="AC355" s="6"/>
      <c r="AD355" s="6"/>
      <c r="AE355" s="6"/>
      <c r="AF355" s="6"/>
      <c r="AG355" s="6"/>
      <c r="AH355" s="6"/>
      <c r="AI355" s="6"/>
      <c r="AJ355" s="6"/>
      <c r="AK355" s="6"/>
    </row>
    <row r="356" spans="1:57" x14ac:dyDescent="0.3">
      <c r="A356" s="38" t="s">
        <v>389</v>
      </c>
      <c r="B356" s="39">
        <v>45481</v>
      </c>
      <c r="C356" s="38" t="s">
        <v>37</v>
      </c>
      <c r="D356" s="38" t="s">
        <v>17</v>
      </c>
      <c r="E356" s="38" t="s">
        <v>21</v>
      </c>
      <c r="F356" s="40">
        <v>141</v>
      </c>
      <c r="G356" s="38">
        <v>34</v>
      </c>
      <c r="H356" s="38">
        <f>IFERROR('Automated raw'!$F356+'Automated raw'!$G356,"-")</f>
        <v>175</v>
      </c>
      <c r="I356" s="38">
        <v>243</v>
      </c>
      <c r="J356" s="38">
        <v>37</v>
      </c>
      <c r="K356" s="38">
        <v>2</v>
      </c>
      <c r="L356" s="38">
        <v>1460</v>
      </c>
      <c r="M356" s="38">
        <v>1891</v>
      </c>
      <c r="N356" s="38">
        <f>'Automated raw'!$G356/'Automated raw'!$H356</f>
        <v>0.19428571428571428</v>
      </c>
      <c r="O356" s="41">
        <f>IFERROR('Automated raw'!$G356/'Automated raw'!$H356,"incomplete")</f>
        <v>0.19428571428571428</v>
      </c>
      <c r="P356" s="38">
        <f>'Automated raw'!$F356</f>
        <v>141</v>
      </c>
      <c r="Q356" s="42">
        <f>IFERROR('Automated raw'!$P356*'Automated raw'!$L356,0)</f>
        <v>205860</v>
      </c>
      <c r="R356" s="38" t="str">
        <f>IF('Automated raw'!$O356&gt;=60%,"High",IF('Automated raw'!$O356&gt;=30%,"Avg",IF('Automated raw'!$O356&lt;30%,"Dead Stock","Incomplete")))</f>
        <v>Dead Stock</v>
      </c>
      <c r="S356" s="43" t="str">
        <f>TEXT('Automated raw'!$B356,"mmm")</f>
        <v>Jul</v>
      </c>
      <c r="T356" s="82">
        <f>'Automated raw'!$G356*'Automated raw'!$M356</f>
        <v>64294</v>
      </c>
      <c r="U356" s="6">
        <f>IFERROR((Table7[[#This Row],[Stock In(Total)]]+Table7[[#This Row],[In Stock or Remaining]])/2,"-")</f>
        <v>158</v>
      </c>
      <c r="V356" s="93">
        <f>IFERROR(Table7[[#This Row],[Stock_Out]]/Table7[[#This Row],[Avg Inventory]],"-")</f>
        <v>0.21518987341772153</v>
      </c>
      <c r="W356" s="6"/>
      <c r="X356" s="6"/>
      <c r="Y356" s="6"/>
      <c r="Z356" s="6"/>
      <c r="AA356" s="6"/>
      <c r="AB356" s="6"/>
      <c r="AC356" s="6"/>
      <c r="AD356" s="6"/>
      <c r="AE356" s="6"/>
      <c r="AF356" s="6"/>
      <c r="AG356" s="6"/>
      <c r="AH356" s="6"/>
      <c r="AI356" s="6"/>
      <c r="AJ356" s="6"/>
      <c r="AK356" s="6"/>
    </row>
    <row r="357" spans="1:57" x14ac:dyDescent="0.3">
      <c r="A357" s="44" t="s">
        <v>390</v>
      </c>
      <c r="B357" s="45">
        <v>45523</v>
      </c>
      <c r="C357" s="44" t="s">
        <v>19</v>
      </c>
      <c r="D357" s="44" t="s">
        <v>20</v>
      </c>
      <c r="E357" s="44" t="s">
        <v>33</v>
      </c>
      <c r="F357" s="40" t="s">
        <v>23</v>
      </c>
      <c r="G357" s="44">
        <v>5</v>
      </c>
      <c r="H357" s="44" t="str">
        <f>IFERROR('Automated raw'!$F357+'Automated raw'!$G357,"-")</f>
        <v>-</v>
      </c>
      <c r="I357" s="44">
        <v>216</v>
      </c>
      <c r="J357" s="44">
        <v>41</v>
      </c>
      <c r="K357" s="44">
        <v>11</v>
      </c>
      <c r="L357" s="44">
        <v>719</v>
      </c>
      <c r="M357" s="44">
        <v>1875</v>
      </c>
      <c r="N357" s="44" t="e">
        <f>'Automated raw'!$G357/'Automated raw'!$H357</f>
        <v>#VALUE!</v>
      </c>
      <c r="O357" s="51" t="str">
        <f>IFERROR('Automated raw'!$G357/'Automated raw'!$H357,"incomplete")</f>
        <v>incomplete</v>
      </c>
      <c r="P357" s="44" t="str">
        <f>'Automated raw'!$F357</f>
        <v>Not Available</v>
      </c>
      <c r="Q357" s="47">
        <f>IFERROR('Automated raw'!$P357*'Automated raw'!$L357,0)</f>
        <v>0</v>
      </c>
      <c r="R357" s="44" t="str">
        <f>IF('Automated raw'!$O357&gt;=60%,"High",IF('Automated raw'!$O357&gt;=30%,"Avg",IF('Automated raw'!$O357&lt;30%,"Dead Stock","Incomplete")))</f>
        <v>High</v>
      </c>
      <c r="S357" s="48" t="str">
        <f>TEXT('Automated raw'!$B357,"mmm")</f>
        <v>Aug</v>
      </c>
      <c r="T357" s="83">
        <f>'Automated raw'!$G357*'Automated raw'!$M357</f>
        <v>9375</v>
      </c>
      <c r="U357" s="6" t="str">
        <f>IFERROR((Table7[[#This Row],[Stock In(Total)]]+Table7[[#This Row],[In Stock or Remaining]])/2,"-")</f>
        <v>-</v>
      </c>
      <c r="V357" s="93" t="str">
        <f>IFERROR(Table7[[#This Row],[Stock_Out]]/Table7[[#This Row],[Avg Inventory]],"-")</f>
        <v>-</v>
      </c>
      <c r="W357" s="6"/>
      <c r="X357" s="6"/>
      <c r="Y357" s="6"/>
      <c r="Z357" s="6"/>
      <c r="AA357" s="6"/>
      <c r="AB357" s="6"/>
      <c r="AC357" s="6"/>
      <c r="AD357" s="6"/>
      <c r="AE357" s="6"/>
      <c r="AF357" s="6"/>
      <c r="AG357" s="6"/>
      <c r="AH357" s="6"/>
      <c r="AI357" s="6"/>
      <c r="AJ357" s="6"/>
      <c r="AK357" s="6"/>
      <c r="AL357" s="64" t="s">
        <v>0</v>
      </c>
      <c r="AM357" s="52" t="s">
        <v>1</v>
      </c>
      <c r="AN357" s="8" t="s">
        <v>2</v>
      </c>
      <c r="AO357" s="8" t="s">
        <v>3</v>
      </c>
      <c r="AP357" s="8" t="s">
        <v>4</v>
      </c>
      <c r="AQ357" s="8" t="s">
        <v>540</v>
      </c>
      <c r="AR357" s="8" t="s">
        <v>5</v>
      </c>
      <c r="AS357" s="8" t="s">
        <v>542</v>
      </c>
      <c r="AT357" s="8" t="s">
        <v>6</v>
      </c>
      <c r="AU357" s="8" t="s">
        <v>7</v>
      </c>
      <c r="AV357" s="8" t="s">
        <v>8</v>
      </c>
      <c r="AW357" s="8" t="s">
        <v>9</v>
      </c>
      <c r="AX357" s="8" t="s">
        <v>10</v>
      </c>
      <c r="AY357" s="8" t="s">
        <v>541</v>
      </c>
      <c r="AZ357" s="53" t="s">
        <v>537</v>
      </c>
      <c r="BA357" s="8" t="s">
        <v>535</v>
      </c>
      <c r="BB357" s="54" t="s">
        <v>536</v>
      </c>
      <c r="BC357" s="8" t="s">
        <v>538</v>
      </c>
      <c r="BD357" s="55" t="s">
        <v>550</v>
      </c>
      <c r="BE357" s="65" t="s">
        <v>566</v>
      </c>
    </row>
    <row r="358" spans="1:57" x14ac:dyDescent="0.3">
      <c r="A358" s="38" t="s">
        <v>465</v>
      </c>
      <c r="B358" s="39">
        <v>45568</v>
      </c>
      <c r="C358" s="38" t="s">
        <v>12</v>
      </c>
      <c r="D358" s="38" t="s">
        <v>13</v>
      </c>
      <c r="E358" s="38" t="s">
        <v>38</v>
      </c>
      <c r="F358" s="40">
        <v>112</v>
      </c>
      <c r="G358" s="38">
        <v>104</v>
      </c>
      <c r="H358" s="38">
        <f>IFERROR('Automated raw'!$F432+'Automated raw'!$G432,"-")</f>
        <v>131</v>
      </c>
      <c r="I358" s="38">
        <v>22</v>
      </c>
      <c r="J358" s="38">
        <v>32</v>
      </c>
      <c r="K358" s="38">
        <v>5</v>
      </c>
      <c r="L358" s="38">
        <v>1463</v>
      </c>
      <c r="M358" s="38">
        <v>2440</v>
      </c>
      <c r="N358" s="38">
        <f>'Automated raw'!$G432/'Automated raw'!$H432</f>
        <v>0.60683760683760679</v>
      </c>
      <c r="O358" s="41">
        <f>IFERROR('Automated raw'!$G432/'Automated raw'!$H432,"incomplete")</f>
        <v>0.60683760683760679</v>
      </c>
      <c r="P358" s="38">
        <f>'Automated raw'!$F432</f>
        <v>60</v>
      </c>
      <c r="Q358" s="42">
        <f>IFERROR('Automated raw'!$P432*'Automated raw'!$L432,0)</f>
        <v>32994</v>
      </c>
      <c r="R358" s="38" t="str">
        <f>IF('Automated raw'!$O432&gt;=60%,"High",IF('Automated raw'!$O432&gt;=30%,"Avg",IF('Automated raw'!$O432&lt;30%,"Dead Stock","Incomplete")))</f>
        <v>Avg</v>
      </c>
      <c r="S358" s="43" t="str">
        <f>TEXT('Automated raw'!$B432,"mmm")</f>
        <v>Feb</v>
      </c>
      <c r="T358" s="82">
        <f>'Automated raw'!$G432*'Automated raw'!$M432</f>
        <v>135326</v>
      </c>
      <c r="U358" s="6">
        <f>IFERROR((Table7[[#This Row],[Stock In(Total)]]+Table7[[#This Row],[In Stock or Remaining]])/2,"-")</f>
        <v>121.5</v>
      </c>
      <c r="V358" s="93">
        <f>IFERROR(Table7[[#This Row],[Stock_Out]]/Table7[[#This Row],[Avg Inventory]],"-")</f>
        <v>0.8559670781893004</v>
      </c>
      <c r="W358" s="6"/>
      <c r="X358" s="6"/>
      <c r="Y358" s="6"/>
      <c r="Z358" s="6"/>
      <c r="AA358" s="6"/>
      <c r="AB358" s="6"/>
      <c r="AC358" s="6"/>
      <c r="AD358" s="6"/>
      <c r="AE358" s="6"/>
      <c r="AF358" s="6"/>
      <c r="AG358" s="6"/>
      <c r="AH358" s="6"/>
      <c r="AI358" s="6"/>
      <c r="AJ358" s="6"/>
      <c r="AK358" s="6"/>
      <c r="AL358" t="s">
        <v>18</v>
      </c>
      <c r="AM358">
        <v>45521</v>
      </c>
      <c r="AN358" t="s">
        <v>19</v>
      </c>
      <c r="AO358" t="s">
        <v>20</v>
      </c>
      <c r="AP358" t="s">
        <v>21</v>
      </c>
      <c r="AQ358">
        <v>147</v>
      </c>
      <c r="AR358">
        <v>77</v>
      </c>
      <c r="AS358">
        <v>224</v>
      </c>
      <c r="AT358">
        <v>160</v>
      </c>
      <c r="AU358">
        <v>36</v>
      </c>
      <c r="AV358">
        <v>5</v>
      </c>
      <c r="AW358">
        <v>247</v>
      </c>
      <c r="AX358">
        <v>1178</v>
      </c>
      <c r="AY358">
        <v>0.34375</v>
      </c>
      <c r="AZ358">
        <v>0.34375</v>
      </c>
      <c r="BA358">
        <v>147</v>
      </c>
      <c r="BB358">
        <v>36309</v>
      </c>
      <c r="BC358" t="s">
        <v>551</v>
      </c>
      <c r="BD358" t="s">
        <v>554</v>
      </c>
      <c r="BE358">
        <v>90706</v>
      </c>
    </row>
    <row r="359" spans="1:57" x14ac:dyDescent="0.3">
      <c r="A359" s="44" t="s">
        <v>392</v>
      </c>
      <c r="B359" s="45">
        <v>45356</v>
      </c>
      <c r="C359" s="44" t="s">
        <v>30</v>
      </c>
      <c r="D359" s="44" t="s">
        <v>17</v>
      </c>
      <c r="E359" s="44" t="s">
        <v>38</v>
      </c>
      <c r="F359" s="40">
        <v>36</v>
      </c>
      <c r="G359" s="44">
        <v>90</v>
      </c>
      <c r="H359" s="44">
        <f>IFERROR('Automated raw'!$F359+'Automated raw'!$G359,"-")</f>
        <v>126</v>
      </c>
      <c r="I359" s="44">
        <v>94</v>
      </c>
      <c r="J359" s="44">
        <v>40</v>
      </c>
      <c r="K359" s="44">
        <v>8</v>
      </c>
      <c r="L359" s="44">
        <v>1858</v>
      </c>
      <c r="M359" s="44">
        <v>2528</v>
      </c>
      <c r="N359" s="44">
        <f>'Automated raw'!$G359/'Automated raw'!$H359</f>
        <v>0.7142857142857143</v>
      </c>
      <c r="O359" s="46">
        <f>IFERROR('Automated raw'!$G359/'Automated raw'!$H359,"incomplete")</f>
        <v>0.7142857142857143</v>
      </c>
      <c r="P359" s="44">
        <f>'Automated raw'!$F359</f>
        <v>36</v>
      </c>
      <c r="Q359" s="47">
        <f>IFERROR('Automated raw'!$P359*'Automated raw'!$L359,0)</f>
        <v>66888</v>
      </c>
      <c r="R359" s="44" t="str">
        <f>IF('Automated raw'!$O359&gt;=60%,"High",IF('Automated raw'!$O359&gt;=30%,"Avg",IF('Automated raw'!$O359&lt;30%,"Dead Stock","Incomplete")))</f>
        <v>High</v>
      </c>
      <c r="S359" s="48" t="str">
        <f>TEXT('Automated raw'!$B359,"mmm")</f>
        <v>Mar</v>
      </c>
      <c r="T359" s="83">
        <f>'Automated raw'!$G359*'Automated raw'!$M359</f>
        <v>227520</v>
      </c>
      <c r="U359" s="6">
        <f>IFERROR((Table7[[#This Row],[Stock In(Total)]]+Table7[[#This Row],[In Stock or Remaining]])/2,"-")</f>
        <v>81</v>
      </c>
      <c r="V359" s="93">
        <f>IFERROR(Table7[[#This Row],[Stock_Out]]/Table7[[#This Row],[Avg Inventory]],"-")</f>
        <v>1.1111111111111112</v>
      </c>
      <c r="W359" s="6"/>
      <c r="X359" s="6"/>
      <c r="Y359" s="6"/>
      <c r="Z359" s="6"/>
      <c r="AA359" s="6"/>
      <c r="AB359" s="6"/>
      <c r="AC359" s="6"/>
      <c r="AD359" s="6"/>
      <c r="AE359" s="6"/>
      <c r="AF359" s="6"/>
      <c r="AG359" s="6"/>
      <c r="AH359" s="6"/>
      <c r="AI359" s="6"/>
      <c r="AJ359" s="6"/>
      <c r="AK359" s="6"/>
      <c r="AL359" t="s">
        <v>29</v>
      </c>
      <c r="AM359">
        <v>45501</v>
      </c>
      <c r="AN359" t="s">
        <v>30</v>
      </c>
      <c r="AO359" t="s">
        <v>13</v>
      </c>
      <c r="AP359" t="s">
        <v>21</v>
      </c>
      <c r="AQ359">
        <v>135</v>
      </c>
      <c r="AR359">
        <v>86</v>
      </c>
      <c r="AS359">
        <v>221</v>
      </c>
      <c r="AT359">
        <v>94</v>
      </c>
      <c r="AU359">
        <v>71</v>
      </c>
      <c r="AV359">
        <v>6</v>
      </c>
      <c r="AW359">
        <v>1571</v>
      </c>
      <c r="AX359">
        <v>2690</v>
      </c>
      <c r="AY359">
        <v>0.38914027149321267</v>
      </c>
      <c r="AZ359">
        <v>0.38914027149321267</v>
      </c>
      <c r="BA359">
        <v>135</v>
      </c>
      <c r="BB359">
        <v>212085</v>
      </c>
      <c r="BC359" t="s">
        <v>551</v>
      </c>
      <c r="BD359" t="s">
        <v>556</v>
      </c>
      <c r="BE359">
        <v>231340</v>
      </c>
    </row>
    <row r="360" spans="1:57" x14ac:dyDescent="0.3">
      <c r="A360" s="38" t="s">
        <v>461</v>
      </c>
      <c r="B360" s="39">
        <v>45428</v>
      </c>
      <c r="C360" s="38" t="s">
        <v>26</v>
      </c>
      <c r="D360" s="38" t="s">
        <v>17</v>
      </c>
      <c r="E360" s="38" t="s">
        <v>23</v>
      </c>
      <c r="F360" s="40">
        <v>117</v>
      </c>
      <c r="G360" s="38">
        <v>109</v>
      </c>
      <c r="H360" s="38">
        <f>IFERROR('Automated raw'!$F428+'Automated raw'!$G428,"-")</f>
        <v>159</v>
      </c>
      <c r="I360" s="38">
        <v>238</v>
      </c>
      <c r="J360" s="38">
        <v>61</v>
      </c>
      <c r="K360" s="38">
        <v>4</v>
      </c>
      <c r="L360" s="38">
        <v>1055</v>
      </c>
      <c r="M360" s="38">
        <v>1991</v>
      </c>
      <c r="N360" s="38">
        <f>'Automated raw'!$G428/'Automated raw'!$H428</f>
        <v>0.49704142011834318</v>
      </c>
      <c r="O360" s="41">
        <f>IFERROR('Automated raw'!$G428/'Automated raw'!$H428,"incomplete")</f>
        <v>0.49704142011834318</v>
      </c>
      <c r="P360" s="38">
        <f>'Automated raw'!$F428</f>
        <v>75</v>
      </c>
      <c r="Q360" s="42">
        <f>IFERROR('Automated raw'!$P428*'Automated raw'!$L428,0)</f>
        <v>89001</v>
      </c>
      <c r="R360" s="38" t="str">
        <f>IF('Automated raw'!$O428&gt;=60%,"High",IF('Automated raw'!$O428&gt;=30%,"Avg",IF('Automated raw'!$O428&lt;30%,"Dead Stock","Incomplete")))</f>
        <v>High</v>
      </c>
      <c r="S360" s="43" t="str">
        <f>TEXT('Automated raw'!$B428,"mmm")</f>
        <v>May</v>
      </c>
      <c r="T360" s="82">
        <f>'Automated raw'!$G428*'Automated raw'!$M428</f>
        <v>186144</v>
      </c>
      <c r="U360" s="6">
        <f>IFERROR((Table7[[#This Row],[Stock In(Total)]]+Table7[[#This Row],[In Stock or Remaining]])/2,"-")</f>
        <v>138</v>
      </c>
      <c r="V360" s="93">
        <f>IFERROR(Table7[[#This Row],[Stock_Out]]/Table7[[#This Row],[Avg Inventory]],"-")</f>
        <v>0.78985507246376807</v>
      </c>
      <c r="W360" s="6"/>
      <c r="X360" s="6"/>
      <c r="Y360" s="6"/>
      <c r="Z360" s="6"/>
      <c r="AA360" s="6"/>
      <c r="AB360" s="6"/>
      <c r="AC360" s="6"/>
      <c r="AD360" s="6"/>
      <c r="AE360" s="6"/>
      <c r="AF360" s="6"/>
      <c r="AG360" s="6"/>
      <c r="AH360" s="6"/>
      <c r="AI360" s="6"/>
      <c r="AJ360" s="6"/>
      <c r="AK360" s="6"/>
      <c r="AL360" t="s">
        <v>31</v>
      </c>
      <c r="AM360">
        <v>45588</v>
      </c>
      <c r="AN360" t="s">
        <v>30</v>
      </c>
      <c r="AO360" t="s">
        <v>17</v>
      </c>
      <c r="AP360" t="s">
        <v>21</v>
      </c>
      <c r="AQ360">
        <v>79</v>
      </c>
      <c r="AR360">
        <v>108</v>
      </c>
      <c r="AS360">
        <v>187</v>
      </c>
      <c r="AT360">
        <v>122</v>
      </c>
      <c r="AU360">
        <v>43</v>
      </c>
      <c r="AV360">
        <v>5</v>
      </c>
      <c r="AW360">
        <v>754</v>
      </c>
      <c r="AX360">
        <v>2150</v>
      </c>
      <c r="AY360">
        <v>0.57754010695187163</v>
      </c>
      <c r="AZ360">
        <v>0.57754010695187163</v>
      </c>
      <c r="BA360">
        <v>79</v>
      </c>
      <c r="BB360">
        <v>59566</v>
      </c>
      <c r="BC360" t="s">
        <v>551</v>
      </c>
      <c r="BD360" t="s">
        <v>565</v>
      </c>
      <c r="BE360" s="5">
        <v>232200</v>
      </c>
    </row>
    <row r="361" spans="1:57" x14ac:dyDescent="0.3">
      <c r="A361" s="38" t="s">
        <v>71</v>
      </c>
      <c r="B361" s="39">
        <v>45598</v>
      </c>
      <c r="C361" s="38" t="s">
        <v>16</v>
      </c>
      <c r="D361" s="38" t="s">
        <v>20</v>
      </c>
      <c r="E361" s="38" t="s">
        <v>38</v>
      </c>
      <c r="F361" s="40">
        <v>105</v>
      </c>
      <c r="G361" s="38">
        <v>98</v>
      </c>
      <c r="H361" s="38">
        <f>IFERROR('Automated raw'!$F44+'Automated raw'!$G44,"-")</f>
        <v>132</v>
      </c>
      <c r="I361" s="38">
        <v>5</v>
      </c>
      <c r="J361" s="38">
        <v>75</v>
      </c>
      <c r="K361" s="38">
        <v>5</v>
      </c>
      <c r="L361" s="38">
        <v>1004</v>
      </c>
      <c r="M361" s="38">
        <v>1367</v>
      </c>
      <c r="N361" s="38">
        <f>'Automated raw'!$G44/'Automated raw'!$H44</f>
        <v>0.16867469879518071</v>
      </c>
      <c r="O361" s="41">
        <f>IFERROR('Automated raw'!$G44/'Automated raw'!$H44,"incomplete")</f>
        <v>0.16867469879518071</v>
      </c>
      <c r="P361" s="38">
        <f>'Automated raw'!$F44</f>
        <v>90</v>
      </c>
      <c r="Q361" s="42">
        <f>IFERROR('Automated raw'!$P44*'Automated raw'!$L44,0)</f>
        <v>184539</v>
      </c>
      <c r="R361" s="38" t="str">
        <f>IF('Automated raw'!$O44&gt;=60%,"High",IF('Automated raw'!$O44&gt;=30%,"Avg",IF('Automated raw'!$O44&lt;30%,"Dead Stock","Incomplete")))</f>
        <v>High</v>
      </c>
      <c r="S361" s="43" t="str">
        <f>TEXT('Automated raw'!$B44,"mmm")</f>
        <v>Jul</v>
      </c>
      <c r="T361" s="82">
        <f>'Automated raw'!$G44*'Automated raw'!$M44</f>
        <v>118986</v>
      </c>
      <c r="U361" s="6">
        <f>IFERROR((Table7[[#This Row],[Stock In(Total)]]+Table7[[#This Row],[In Stock or Remaining]])/2,"-")</f>
        <v>118.5</v>
      </c>
      <c r="V361" s="93">
        <f>IFERROR(Table7[[#This Row],[Stock_Out]]/Table7[[#This Row],[Avg Inventory]],"-")</f>
        <v>0.8270042194092827</v>
      </c>
      <c r="W361" s="6"/>
      <c r="X361" s="6"/>
      <c r="Y361" s="6"/>
      <c r="Z361" s="6"/>
      <c r="AA361" s="6"/>
      <c r="AB361" s="6"/>
      <c r="AC361" s="6"/>
      <c r="AD361" s="6"/>
      <c r="AE361" s="6"/>
      <c r="AF361" s="6"/>
      <c r="AG361" s="6"/>
      <c r="AH361" s="6"/>
      <c r="AI361" s="6"/>
      <c r="AJ361" s="6"/>
      <c r="AK361" s="6"/>
      <c r="AL361" t="s">
        <v>32</v>
      </c>
      <c r="AM361">
        <v>45475</v>
      </c>
      <c r="AN361" t="s">
        <v>30</v>
      </c>
      <c r="AO361" t="s">
        <v>20</v>
      </c>
      <c r="AP361" t="s">
        <v>33</v>
      </c>
      <c r="AQ361">
        <v>41</v>
      </c>
      <c r="AR361">
        <v>60</v>
      </c>
      <c r="AS361">
        <v>101</v>
      </c>
      <c r="AT361">
        <v>247</v>
      </c>
      <c r="AU361">
        <v>48</v>
      </c>
      <c r="AV361">
        <v>2</v>
      </c>
      <c r="AW361">
        <v>1362</v>
      </c>
      <c r="AX361">
        <v>1988</v>
      </c>
      <c r="AY361">
        <v>0.59405940594059403</v>
      </c>
      <c r="AZ361">
        <v>0.59405940594059403</v>
      </c>
      <c r="BA361">
        <v>41</v>
      </c>
      <c r="BB361">
        <v>55842</v>
      </c>
      <c r="BC361" t="s">
        <v>551</v>
      </c>
      <c r="BD361" t="s">
        <v>556</v>
      </c>
      <c r="BE361">
        <v>119280</v>
      </c>
    </row>
    <row r="362" spans="1:57" x14ac:dyDescent="0.3">
      <c r="A362" s="44" t="s">
        <v>278</v>
      </c>
      <c r="B362" s="45">
        <v>45654</v>
      </c>
      <c r="C362" s="44" t="s">
        <v>37</v>
      </c>
      <c r="D362" s="44" t="s">
        <v>17</v>
      </c>
      <c r="E362" s="44" t="s">
        <v>33</v>
      </c>
      <c r="F362" s="40">
        <v>78</v>
      </c>
      <c r="G362" s="44">
        <v>73</v>
      </c>
      <c r="H362" s="44">
        <f>IFERROR('Automated raw'!$F247+'Automated raw'!$G247,"-")</f>
        <v>255</v>
      </c>
      <c r="I362" s="44">
        <v>10</v>
      </c>
      <c r="J362" s="44">
        <v>75</v>
      </c>
      <c r="K362" s="44">
        <v>12</v>
      </c>
      <c r="L362" s="44">
        <v>640</v>
      </c>
      <c r="M362" s="44">
        <v>1430</v>
      </c>
      <c r="N362" s="44">
        <f>'Automated raw'!$G247/'Automated raw'!$H247</f>
        <v>0.72847682119205293</v>
      </c>
      <c r="O362" s="46">
        <f>IFERROR('Automated raw'!$G247/'Automated raw'!$H247,"incomplete")</f>
        <v>0.72847682119205293</v>
      </c>
      <c r="P362" s="44">
        <f>'Automated raw'!$F247</f>
        <v>145</v>
      </c>
      <c r="Q362" s="47">
        <f>IFERROR('Automated raw'!$P247*'Automated raw'!$L247,0)</f>
        <v>186018</v>
      </c>
      <c r="R362" s="44" t="str">
        <f>IF('Automated raw'!$O247&gt;=60%,"High",IF('Automated raw'!$O247&gt;=30%,"Avg",IF('Automated raw'!$O247&lt;30%,"Dead Stock","Incomplete")))</f>
        <v>Avg</v>
      </c>
      <c r="S362" s="48" t="str">
        <f>TEXT('Automated raw'!$B247,"mmm")</f>
        <v>Nov</v>
      </c>
      <c r="T362" s="83">
        <f>'Automated raw'!$G247*'Automated raw'!$M247</f>
        <v>358820</v>
      </c>
      <c r="U362" s="6">
        <f>IFERROR((Table7[[#This Row],[Stock In(Total)]]+Table7[[#This Row],[In Stock or Remaining]])/2,"-")</f>
        <v>166.5</v>
      </c>
      <c r="V362" s="93">
        <f>IFERROR(Table7[[#This Row],[Stock_Out]]/Table7[[#This Row],[Avg Inventory]],"-")</f>
        <v>0.43843843843843844</v>
      </c>
      <c r="W362" s="6"/>
      <c r="X362" s="6"/>
      <c r="Y362" s="6"/>
      <c r="Z362" s="6"/>
      <c r="AA362" s="6"/>
      <c r="AB362" s="6"/>
      <c r="AC362" s="6"/>
      <c r="AD362" s="6"/>
      <c r="AE362" s="6"/>
      <c r="AF362" s="6"/>
      <c r="AG362" s="6"/>
      <c r="AH362" s="6"/>
      <c r="AI362" s="6"/>
      <c r="AJ362" s="6"/>
      <c r="AK362" s="6"/>
      <c r="AL362" t="s">
        <v>34</v>
      </c>
      <c r="AM362">
        <v>45298</v>
      </c>
      <c r="AN362" t="s">
        <v>35</v>
      </c>
      <c r="AO362" t="s">
        <v>20</v>
      </c>
      <c r="AP362" t="s">
        <v>14</v>
      </c>
      <c r="AQ362">
        <v>123</v>
      </c>
      <c r="AR362">
        <v>73</v>
      </c>
      <c r="AS362">
        <v>196</v>
      </c>
      <c r="AT362">
        <v>229</v>
      </c>
      <c r="AU362">
        <v>48</v>
      </c>
      <c r="AV362">
        <v>8</v>
      </c>
      <c r="AW362">
        <v>723</v>
      </c>
      <c r="AX362">
        <v>1158</v>
      </c>
      <c r="AY362">
        <v>0.37244897959183676</v>
      </c>
      <c r="AZ362">
        <v>0.37244897959183676</v>
      </c>
      <c r="BA362">
        <v>123</v>
      </c>
      <c r="BB362">
        <v>88929</v>
      </c>
      <c r="BC362" t="s">
        <v>551</v>
      </c>
      <c r="BD362" t="s">
        <v>557</v>
      </c>
      <c r="BE362">
        <v>84534</v>
      </c>
    </row>
    <row r="363" spans="1:57" x14ac:dyDescent="0.3">
      <c r="A363" s="44" t="s">
        <v>526</v>
      </c>
      <c r="B363" s="45">
        <v>45423</v>
      </c>
      <c r="C363" s="44" t="s">
        <v>19</v>
      </c>
      <c r="D363" s="44" t="s">
        <v>20</v>
      </c>
      <c r="E363" s="44" t="s">
        <v>33</v>
      </c>
      <c r="F363" s="40">
        <v>116</v>
      </c>
      <c r="G363" s="44">
        <v>110</v>
      </c>
      <c r="H363" s="44">
        <f>IFERROR('Automated raw'!$F493+'Automated raw'!$G493,"-")</f>
        <v>142</v>
      </c>
      <c r="I363" s="44">
        <v>202</v>
      </c>
      <c r="J363" s="44">
        <v>31</v>
      </c>
      <c r="K363" s="44">
        <v>11</v>
      </c>
      <c r="L363" s="44">
        <v>1216</v>
      </c>
      <c r="M363" s="44">
        <v>2503</v>
      </c>
      <c r="N363" s="44">
        <f>'Automated raw'!$G493/'Automated raw'!$H493</f>
        <v>0.42424242424242425</v>
      </c>
      <c r="O363" s="46">
        <f>IFERROR('Automated raw'!$G493/'Automated raw'!$H493,"incomplete")</f>
        <v>0.42424242424242425</v>
      </c>
      <c r="P363" s="44">
        <f>'Automated raw'!$F493</f>
        <v>58</v>
      </c>
      <c r="Q363" s="47">
        <f>IFERROR('Automated raw'!$P493*'Automated raw'!$L493,0)</f>
        <v>32760</v>
      </c>
      <c r="R363" s="44" t="str">
        <f>IF('Automated raw'!$O493&gt;=60%,"High",IF('Automated raw'!$O493&gt;=30%,"Avg",IF('Automated raw'!$O493&lt;30%,"Dead Stock","Incomplete")))</f>
        <v>Avg</v>
      </c>
      <c r="S363" s="48" t="str">
        <f>TEXT('Automated raw'!$B493,"mmm")</f>
        <v>Mar</v>
      </c>
      <c r="T363" s="83">
        <f>'Automated raw'!$G493*'Automated raw'!$M493</f>
        <v>107100</v>
      </c>
      <c r="U363" s="6">
        <f>IFERROR((Table7[[#This Row],[Stock In(Total)]]+Table7[[#This Row],[In Stock or Remaining]])/2,"-")</f>
        <v>129</v>
      </c>
      <c r="V363" s="93">
        <f>IFERROR(Table7[[#This Row],[Stock_Out]]/Table7[[#This Row],[Avg Inventory]],"-")</f>
        <v>0.8527131782945736</v>
      </c>
      <c r="W363" s="6"/>
      <c r="X363" s="6"/>
      <c r="Y363" s="6"/>
      <c r="Z363" s="6"/>
      <c r="AA363" s="6"/>
      <c r="AB363" s="6"/>
      <c r="AC363" s="6"/>
      <c r="AD363" s="6"/>
      <c r="AE363" s="6"/>
      <c r="AF363" s="6"/>
      <c r="AG363" s="6"/>
      <c r="AH363" s="6"/>
      <c r="AI363" s="6"/>
      <c r="AJ363" s="6"/>
      <c r="AK363" s="6"/>
      <c r="AL363" t="s">
        <v>40</v>
      </c>
      <c r="AM363">
        <v>45293</v>
      </c>
      <c r="AN363" t="s">
        <v>16</v>
      </c>
      <c r="AO363" t="s">
        <v>17</v>
      </c>
      <c r="AP363" t="s">
        <v>38</v>
      </c>
      <c r="AQ363">
        <v>79</v>
      </c>
      <c r="AR363">
        <v>114</v>
      </c>
      <c r="AS363">
        <v>193</v>
      </c>
      <c r="AT363">
        <v>24</v>
      </c>
      <c r="AU363">
        <v>36</v>
      </c>
      <c r="AV363">
        <v>6</v>
      </c>
      <c r="AW363">
        <v>416</v>
      </c>
      <c r="AX363">
        <v>1455</v>
      </c>
      <c r="AY363">
        <v>0.59067357512953367</v>
      </c>
      <c r="AZ363">
        <v>0.59067357512953367</v>
      </c>
      <c r="BA363">
        <v>79</v>
      </c>
      <c r="BB363">
        <v>32864</v>
      </c>
      <c r="BC363" t="s">
        <v>551</v>
      </c>
      <c r="BD363" t="s">
        <v>557</v>
      </c>
      <c r="BE363">
        <v>165870</v>
      </c>
    </row>
    <row r="364" spans="1:57" x14ac:dyDescent="0.3">
      <c r="A364" s="38" t="s">
        <v>397</v>
      </c>
      <c r="B364" s="39">
        <v>45627</v>
      </c>
      <c r="C364" s="38" t="s">
        <v>19</v>
      </c>
      <c r="D364" s="38" t="s">
        <v>17</v>
      </c>
      <c r="E364" s="38" t="s">
        <v>38</v>
      </c>
      <c r="F364" s="40">
        <v>40</v>
      </c>
      <c r="G364" s="38">
        <v>10</v>
      </c>
      <c r="H364" s="38">
        <f>IFERROR('Automated raw'!$F364+'Automated raw'!$G364,"-")</f>
        <v>50</v>
      </c>
      <c r="I364" s="38">
        <v>224</v>
      </c>
      <c r="J364" s="38">
        <v>54</v>
      </c>
      <c r="K364" s="38">
        <v>8</v>
      </c>
      <c r="L364" s="38">
        <v>350</v>
      </c>
      <c r="M364" s="38">
        <v>1354</v>
      </c>
      <c r="N364" s="38">
        <f>'Automated raw'!$G364/'Automated raw'!$H364</f>
        <v>0.2</v>
      </c>
      <c r="O364" s="41">
        <f>IFERROR('Automated raw'!$G364/'Automated raw'!$H364,"incomplete")</f>
        <v>0.2</v>
      </c>
      <c r="P364" s="38">
        <f>'Automated raw'!$F364</f>
        <v>40</v>
      </c>
      <c r="Q364" s="42">
        <f>IFERROR('Automated raw'!$P364*'Automated raw'!$L364,0)</f>
        <v>14000</v>
      </c>
      <c r="R364" s="38" t="str">
        <f>IF('Automated raw'!$O364&gt;=60%,"High",IF('Automated raw'!$O364&gt;=30%,"Avg",IF('Automated raw'!$O364&lt;30%,"Dead Stock","Incomplete")))</f>
        <v>Dead Stock</v>
      </c>
      <c r="S364" s="43" t="str">
        <f>TEXT('Automated raw'!$B364,"mmm")</f>
        <v>Dec</v>
      </c>
      <c r="T364" s="82">
        <f>'Automated raw'!$G364*'Automated raw'!$M364</f>
        <v>13540</v>
      </c>
      <c r="U364" s="6">
        <f>IFERROR((Table7[[#This Row],[Stock In(Total)]]+Table7[[#This Row],[In Stock or Remaining]])/2,"-")</f>
        <v>45</v>
      </c>
      <c r="V364" s="93">
        <f>IFERROR(Table7[[#This Row],[Stock_Out]]/Table7[[#This Row],[Avg Inventory]],"-")</f>
        <v>0.22222222222222221</v>
      </c>
      <c r="W364" s="6"/>
      <c r="X364" s="6"/>
      <c r="Y364" s="6"/>
      <c r="Z364" s="6"/>
      <c r="AA364" s="6"/>
      <c r="AB364" s="6"/>
      <c r="AC364" s="6"/>
      <c r="AD364" s="6"/>
      <c r="AE364" s="6"/>
      <c r="AF364" s="6"/>
      <c r="AG364" s="6"/>
      <c r="AH364" s="6"/>
      <c r="AI364" s="6"/>
      <c r="AJ364" s="6"/>
      <c r="AK364" s="6"/>
      <c r="AL364" t="s">
        <v>42</v>
      </c>
      <c r="AM364">
        <v>45393</v>
      </c>
      <c r="AN364" t="s">
        <v>12</v>
      </c>
      <c r="AO364" t="s">
        <v>17</v>
      </c>
      <c r="AP364" t="s">
        <v>38</v>
      </c>
      <c r="AQ364">
        <v>120</v>
      </c>
      <c r="AR364">
        <v>106</v>
      </c>
      <c r="AS364">
        <v>226</v>
      </c>
      <c r="AT364">
        <v>278</v>
      </c>
      <c r="AU364">
        <v>69</v>
      </c>
      <c r="AV364">
        <v>14</v>
      </c>
      <c r="AW364">
        <v>1289</v>
      </c>
      <c r="AX364">
        <v>2411</v>
      </c>
      <c r="AY364">
        <v>0.46902654867256638</v>
      </c>
      <c r="AZ364">
        <v>0.46902654867256638</v>
      </c>
      <c r="BA364">
        <v>120</v>
      </c>
      <c r="BB364">
        <v>154680</v>
      </c>
      <c r="BC364" t="s">
        <v>551</v>
      </c>
      <c r="BD364" t="s">
        <v>558</v>
      </c>
      <c r="BE364" s="5">
        <v>255566</v>
      </c>
    </row>
    <row r="365" spans="1:57" x14ac:dyDescent="0.3">
      <c r="A365" s="38" t="s">
        <v>521</v>
      </c>
      <c r="B365" s="39">
        <v>45638</v>
      </c>
      <c r="C365" s="38" t="s">
        <v>53</v>
      </c>
      <c r="D365" s="38" t="s">
        <v>20</v>
      </c>
      <c r="E365" s="38" t="s">
        <v>14</v>
      </c>
      <c r="F365" s="40">
        <v>70</v>
      </c>
      <c r="G365" s="38">
        <v>67</v>
      </c>
      <c r="H365" s="38">
        <f>IFERROR('Automated raw'!$F488+'Automated raw'!$G488,"-")</f>
        <v>39</v>
      </c>
      <c r="I365" s="38">
        <v>120</v>
      </c>
      <c r="J365" s="38">
        <v>73</v>
      </c>
      <c r="K365" s="38">
        <v>15</v>
      </c>
      <c r="L365" s="38">
        <v>487</v>
      </c>
      <c r="M365" s="38">
        <v>1045</v>
      </c>
      <c r="N365" s="38">
        <f>'Automated raw'!$G488/'Automated raw'!$H488</f>
        <v>0.15972222222222221</v>
      </c>
      <c r="O365" s="41">
        <f>IFERROR('Automated raw'!$G488/'Automated raw'!$H488,"incomplete")</f>
        <v>0.15972222222222221</v>
      </c>
      <c r="P365" s="38">
        <f>'Automated raw'!$F488</f>
        <v>16</v>
      </c>
      <c r="Q365" s="42">
        <f>IFERROR('Automated raw'!$P488*'Automated raw'!$L488,0)</f>
        <v>53534</v>
      </c>
      <c r="R365" s="38" t="str">
        <f>IF('Automated raw'!$O488&gt;=60%,"High",IF('Automated raw'!$O488&gt;=30%,"Avg",IF('Automated raw'!$O488&lt;30%,"Dead Stock","Incomplete")))</f>
        <v>Avg</v>
      </c>
      <c r="S365" s="43" t="str">
        <f>TEXT('Automated raw'!$B488,"mmm")</f>
        <v>Aug</v>
      </c>
      <c r="T365" s="82">
        <f>'Automated raw'!$G488*'Automated raw'!$M488</f>
        <v>29693</v>
      </c>
      <c r="U365" s="6">
        <f>IFERROR((Table7[[#This Row],[Stock In(Total)]]+Table7[[#This Row],[In Stock or Remaining]])/2,"-")</f>
        <v>54.5</v>
      </c>
      <c r="V365" s="93">
        <f>IFERROR(Table7[[#This Row],[Stock_Out]]/Table7[[#This Row],[Avg Inventory]],"-")</f>
        <v>1.2293577981651376</v>
      </c>
      <c r="W365" s="6"/>
      <c r="X365" s="6"/>
      <c r="Y365" s="6"/>
      <c r="Z365" s="6"/>
      <c r="AA365" s="6"/>
      <c r="AB365" s="6"/>
      <c r="AC365" s="6"/>
      <c r="AD365" s="6"/>
      <c r="AE365" s="6"/>
      <c r="AF365" s="6"/>
      <c r="AG365" s="6"/>
      <c r="AH365" s="6"/>
      <c r="AI365" s="6"/>
      <c r="AJ365" s="6"/>
      <c r="AK365" s="6"/>
      <c r="AL365" t="s">
        <v>43</v>
      </c>
      <c r="AM365">
        <v>45585</v>
      </c>
      <c r="AN365" t="s">
        <v>16</v>
      </c>
      <c r="AO365" t="s">
        <v>17</v>
      </c>
      <c r="AP365" t="s">
        <v>33</v>
      </c>
      <c r="AQ365">
        <v>68</v>
      </c>
      <c r="AR365">
        <v>39</v>
      </c>
      <c r="AS365">
        <v>107</v>
      </c>
      <c r="AT365">
        <v>291</v>
      </c>
      <c r="AU365">
        <v>52</v>
      </c>
      <c r="AV365">
        <v>10</v>
      </c>
      <c r="AW365">
        <v>733</v>
      </c>
      <c r="AX365">
        <v>912</v>
      </c>
      <c r="AY365">
        <v>0.3644859813084112</v>
      </c>
      <c r="AZ365">
        <v>0.3644859813084112</v>
      </c>
      <c r="BA365">
        <v>68</v>
      </c>
      <c r="BB365">
        <v>49844</v>
      </c>
      <c r="BC365" t="s">
        <v>551</v>
      </c>
      <c r="BD365" t="s">
        <v>565</v>
      </c>
      <c r="BE365">
        <v>35568</v>
      </c>
    </row>
    <row r="366" spans="1:57" x14ac:dyDescent="0.3">
      <c r="A366" s="44" t="s">
        <v>410</v>
      </c>
      <c r="B366" s="45">
        <v>45342</v>
      </c>
      <c r="C366" s="44" t="s">
        <v>45</v>
      </c>
      <c r="D366" s="44" t="s">
        <v>17</v>
      </c>
      <c r="E366" s="44" t="s">
        <v>21</v>
      </c>
      <c r="F366" s="40">
        <v>26</v>
      </c>
      <c r="G366" s="44">
        <v>25</v>
      </c>
      <c r="H366" s="44">
        <f>IFERROR('Automated raw'!$F377+'Automated raw'!$G377,"-")</f>
        <v>219</v>
      </c>
      <c r="I366" s="44">
        <v>56</v>
      </c>
      <c r="J366" s="44">
        <v>41</v>
      </c>
      <c r="K366" s="44">
        <v>13</v>
      </c>
      <c r="L366" s="44">
        <v>1309</v>
      </c>
      <c r="M366" s="44">
        <v>1485</v>
      </c>
      <c r="N366" s="44">
        <f>'Automated raw'!$G377/'Automated raw'!$H377</f>
        <v>0.43253968253968256</v>
      </c>
      <c r="O366" s="46">
        <f>IFERROR('Automated raw'!$G377/'Automated raw'!$H377,"incomplete")</f>
        <v>0.43253968253968256</v>
      </c>
      <c r="P366" s="44">
        <f>'Automated raw'!$F377</f>
        <v>110</v>
      </c>
      <c r="Q366" s="47">
        <f>IFERROR('Automated raw'!$P377*'Automated raw'!$L377,0)</f>
        <v>205800</v>
      </c>
      <c r="R366" s="44" t="str">
        <f>IF('Automated raw'!$O377&gt;=60%,"High",IF('Automated raw'!$O377&gt;=30%,"Avg",IF('Automated raw'!$O377&lt;30%,"Dead Stock","Incomplete")))</f>
        <v>High</v>
      </c>
      <c r="S366" s="48" t="str">
        <f>TEXT('Automated raw'!$B377,"mmm")</f>
        <v>Dec</v>
      </c>
      <c r="T366" s="83">
        <f>'Automated raw'!$G377*'Automated raw'!$M377</f>
        <v>179196</v>
      </c>
      <c r="U366" s="6">
        <f>IFERROR((Table7[[#This Row],[Stock In(Total)]]+Table7[[#This Row],[In Stock or Remaining]])/2,"-")</f>
        <v>122.5</v>
      </c>
      <c r="V366" s="93">
        <f>IFERROR(Table7[[#This Row],[Stock_Out]]/Table7[[#This Row],[Avg Inventory]],"-")</f>
        <v>0.20408163265306123</v>
      </c>
      <c r="W366" s="6"/>
      <c r="X366" s="6"/>
      <c r="Y366" s="6"/>
      <c r="Z366" s="6"/>
      <c r="AA366" s="6"/>
      <c r="AB366" s="6"/>
      <c r="AC366" s="6"/>
      <c r="AD366" s="6"/>
      <c r="AE366" s="6"/>
      <c r="AF366" s="6"/>
      <c r="AG366" s="6"/>
      <c r="AH366" s="6"/>
      <c r="AI366" s="6"/>
      <c r="AJ366" s="6"/>
      <c r="AK366" s="6"/>
      <c r="AL366" t="s">
        <v>49</v>
      </c>
      <c r="AM366">
        <v>45598</v>
      </c>
      <c r="AN366" t="s">
        <v>50</v>
      </c>
      <c r="AO366" t="s">
        <v>20</v>
      </c>
      <c r="AP366" t="s">
        <v>33</v>
      </c>
      <c r="AQ366">
        <v>115</v>
      </c>
      <c r="AR366">
        <v>117</v>
      </c>
      <c r="AS366">
        <v>232</v>
      </c>
      <c r="AT366">
        <v>1</v>
      </c>
      <c r="AU366">
        <v>45</v>
      </c>
      <c r="AV366">
        <v>11</v>
      </c>
      <c r="AW366">
        <v>596</v>
      </c>
      <c r="AX366">
        <v>774</v>
      </c>
      <c r="AY366">
        <v>0.50431034482758619</v>
      </c>
      <c r="AZ366">
        <v>0.50431034482758619</v>
      </c>
      <c r="BA366">
        <v>115</v>
      </c>
      <c r="BB366">
        <v>68540</v>
      </c>
      <c r="BC366" t="s">
        <v>551</v>
      </c>
      <c r="BD366" t="s">
        <v>564</v>
      </c>
      <c r="BE366">
        <v>90558</v>
      </c>
    </row>
    <row r="367" spans="1:57" x14ac:dyDescent="0.3">
      <c r="A367" s="44" t="s">
        <v>400</v>
      </c>
      <c r="B367" s="45">
        <v>45611</v>
      </c>
      <c r="C367" s="44" t="s">
        <v>35</v>
      </c>
      <c r="D367" s="44" t="s">
        <v>20</v>
      </c>
      <c r="E367" s="44" t="s">
        <v>33</v>
      </c>
      <c r="F367" s="40">
        <v>146</v>
      </c>
      <c r="G367" s="44">
        <v>18</v>
      </c>
      <c r="H367" s="44">
        <f>IFERROR('Automated raw'!$F367+'Automated raw'!$G367,"-")</f>
        <v>164</v>
      </c>
      <c r="I367" s="44">
        <v>40</v>
      </c>
      <c r="J367" s="44">
        <v>51</v>
      </c>
      <c r="K367" s="44">
        <v>6</v>
      </c>
      <c r="L367" s="44">
        <v>1868</v>
      </c>
      <c r="M367" s="44">
        <v>2725</v>
      </c>
      <c r="N367" s="44">
        <f>'Automated raw'!$G367/'Automated raw'!$H367</f>
        <v>0.10975609756097561</v>
      </c>
      <c r="O367" s="46">
        <f>IFERROR('Automated raw'!$G367/'Automated raw'!$H367,"incomplete")</f>
        <v>0.10975609756097561</v>
      </c>
      <c r="P367" s="44">
        <f>'Automated raw'!$F367</f>
        <v>146</v>
      </c>
      <c r="Q367" s="47">
        <f>IFERROR('Automated raw'!$P367*'Automated raw'!$L367,0)</f>
        <v>272728</v>
      </c>
      <c r="R367" s="44" t="str">
        <f>IF('Automated raw'!$O367&gt;=60%,"High",IF('Automated raw'!$O367&gt;=30%,"Avg",IF('Automated raw'!$O367&lt;30%,"Dead Stock","Incomplete")))</f>
        <v>Dead Stock</v>
      </c>
      <c r="S367" s="48" t="str">
        <f>TEXT('Automated raw'!$B367,"mmm")</f>
        <v>Nov</v>
      </c>
      <c r="T367" s="83">
        <f>'Automated raw'!$G367*'Automated raw'!$M367</f>
        <v>49050</v>
      </c>
      <c r="U367" s="6">
        <f>IFERROR((Table7[[#This Row],[Stock In(Total)]]+Table7[[#This Row],[In Stock or Remaining]])/2,"-")</f>
        <v>155</v>
      </c>
      <c r="V367" s="93">
        <f>IFERROR(Table7[[#This Row],[Stock_Out]]/Table7[[#This Row],[Avg Inventory]],"-")</f>
        <v>0.11612903225806452</v>
      </c>
      <c r="W367" s="6"/>
      <c r="X367" s="6"/>
      <c r="Y367" s="6"/>
      <c r="Z367" s="6"/>
      <c r="AA367" s="6"/>
      <c r="AB367" s="6"/>
      <c r="AC367" s="6"/>
      <c r="AD367" s="6"/>
      <c r="AE367" s="6"/>
      <c r="AF367" s="6"/>
      <c r="AG367" s="6"/>
      <c r="AH367" s="6"/>
      <c r="AI367" s="6"/>
      <c r="AJ367" s="6"/>
      <c r="AK367" s="6"/>
      <c r="AL367" t="s">
        <v>51</v>
      </c>
      <c r="AM367">
        <v>45620</v>
      </c>
      <c r="AN367" t="s">
        <v>16</v>
      </c>
      <c r="AO367" t="s">
        <v>20</v>
      </c>
      <c r="AP367" t="s">
        <v>14</v>
      </c>
      <c r="AQ367">
        <v>140</v>
      </c>
      <c r="AR367">
        <v>115</v>
      </c>
      <c r="AS367">
        <v>255</v>
      </c>
      <c r="AT367">
        <v>255</v>
      </c>
      <c r="AU367">
        <v>44</v>
      </c>
      <c r="AV367">
        <v>6</v>
      </c>
      <c r="AW367">
        <v>373</v>
      </c>
      <c r="AX367">
        <v>858</v>
      </c>
      <c r="AY367">
        <v>0.45098039215686275</v>
      </c>
      <c r="AZ367">
        <v>0.45098039215686275</v>
      </c>
      <c r="BA367">
        <v>140</v>
      </c>
      <c r="BB367">
        <v>52220</v>
      </c>
      <c r="BC367" t="s">
        <v>551</v>
      </c>
      <c r="BD367" t="s">
        <v>564</v>
      </c>
      <c r="BE367">
        <v>98670</v>
      </c>
    </row>
    <row r="368" spans="1:57" x14ac:dyDescent="0.3">
      <c r="A368" s="38" t="s">
        <v>401</v>
      </c>
      <c r="B368" s="39">
        <v>45563</v>
      </c>
      <c r="C368" s="38" t="s">
        <v>16</v>
      </c>
      <c r="D368" s="38" t="s">
        <v>20</v>
      </c>
      <c r="E368" s="38" t="s">
        <v>33</v>
      </c>
      <c r="F368" s="40">
        <v>89</v>
      </c>
      <c r="G368" s="38">
        <v>29</v>
      </c>
      <c r="H368" s="38">
        <f>IFERROR('Automated raw'!$F368+'Automated raw'!$G368,"-")</f>
        <v>118</v>
      </c>
      <c r="I368" s="38">
        <v>269</v>
      </c>
      <c r="J368" s="38">
        <v>35</v>
      </c>
      <c r="K368" s="38">
        <v>13</v>
      </c>
      <c r="L368" s="38">
        <v>1240</v>
      </c>
      <c r="M368" s="38">
        <v>2164</v>
      </c>
      <c r="N368" s="38">
        <f>'Automated raw'!$G368/'Automated raw'!$H368</f>
        <v>0.24576271186440679</v>
      </c>
      <c r="O368" s="41">
        <f>IFERROR('Automated raw'!$G368/'Automated raw'!$H368,"incomplete")</f>
        <v>0.24576271186440679</v>
      </c>
      <c r="P368" s="38">
        <f>'Automated raw'!$F368</f>
        <v>89</v>
      </c>
      <c r="Q368" s="42">
        <f>IFERROR('Automated raw'!$P368*'Automated raw'!$L368,0)</f>
        <v>110360</v>
      </c>
      <c r="R368" s="38" t="str">
        <f>IF('Automated raw'!$O368&gt;=60%,"High",IF('Automated raw'!$O368&gt;=30%,"Avg",IF('Automated raw'!$O368&lt;30%,"Dead Stock","Incomplete")))</f>
        <v>Dead Stock</v>
      </c>
      <c r="S368" s="43" t="str">
        <f>TEXT('Automated raw'!$B368,"mmm")</f>
        <v>Sep</v>
      </c>
      <c r="T368" s="82">
        <f>'Automated raw'!$G368*'Automated raw'!$M368</f>
        <v>62756</v>
      </c>
      <c r="U368" s="6">
        <f>IFERROR((Table7[[#This Row],[Stock In(Total)]]+Table7[[#This Row],[In Stock or Remaining]])/2,"-")</f>
        <v>103.5</v>
      </c>
      <c r="V368" s="93">
        <f>IFERROR(Table7[[#This Row],[Stock_Out]]/Table7[[#This Row],[Avg Inventory]],"-")</f>
        <v>0.28019323671497587</v>
      </c>
      <c r="W368" s="6"/>
      <c r="X368" s="6"/>
      <c r="Y368" s="6"/>
      <c r="Z368" s="6"/>
      <c r="AA368" s="6"/>
      <c r="AB368" s="6"/>
      <c r="AC368" s="6"/>
      <c r="AD368" s="6"/>
      <c r="AE368" s="6"/>
      <c r="AF368" s="6"/>
      <c r="AG368" s="6"/>
      <c r="AH368" s="6"/>
      <c r="AI368" s="6"/>
      <c r="AJ368" s="6"/>
      <c r="AK368" s="6"/>
      <c r="AL368" t="s">
        <v>52</v>
      </c>
      <c r="AM368">
        <v>45467</v>
      </c>
      <c r="AN368" t="s">
        <v>53</v>
      </c>
      <c r="AO368" t="s">
        <v>17</v>
      </c>
      <c r="AP368" t="s">
        <v>14</v>
      </c>
      <c r="AQ368">
        <v>45</v>
      </c>
      <c r="AR368">
        <v>57</v>
      </c>
      <c r="AS368">
        <v>102</v>
      </c>
      <c r="AT368">
        <v>100</v>
      </c>
      <c r="AU368">
        <v>66</v>
      </c>
      <c r="AV368">
        <v>15</v>
      </c>
      <c r="AW368">
        <v>713</v>
      </c>
      <c r="AX368">
        <v>1903</v>
      </c>
      <c r="AY368">
        <v>0.55882352941176472</v>
      </c>
      <c r="AZ368">
        <v>0.55882352941176472</v>
      </c>
      <c r="BA368">
        <v>45</v>
      </c>
      <c r="BB368">
        <v>32085</v>
      </c>
      <c r="BC368" t="s">
        <v>551</v>
      </c>
      <c r="BD368" t="s">
        <v>559</v>
      </c>
      <c r="BE368">
        <v>108471</v>
      </c>
    </row>
    <row r="369" spans="1:57" x14ac:dyDescent="0.3">
      <c r="A369" s="44" t="s">
        <v>402</v>
      </c>
      <c r="B369" s="45">
        <v>45424</v>
      </c>
      <c r="C369" s="44" t="s">
        <v>19</v>
      </c>
      <c r="D369" s="44" t="s">
        <v>17</v>
      </c>
      <c r="E369" s="44" t="s">
        <v>21</v>
      </c>
      <c r="F369" s="40">
        <v>14</v>
      </c>
      <c r="G369" s="44">
        <v>78</v>
      </c>
      <c r="H369" s="44">
        <f>IFERROR('Automated raw'!$F369+'Automated raw'!$G369,"-")</f>
        <v>92</v>
      </c>
      <c r="I369" s="44">
        <v>62</v>
      </c>
      <c r="J369" s="44">
        <v>73</v>
      </c>
      <c r="K369" s="44">
        <v>2</v>
      </c>
      <c r="L369" s="44">
        <v>1000</v>
      </c>
      <c r="M369" s="44">
        <v>2407</v>
      </c>
      <c r="N369" s="44">
        <f>'Automated raw'!$G369/'Automated raw'!$H369</f>
        <v>0.84782608695652173</v>
      </c>
      <c r="O369" s="46">
        <f>IFERROR('Automated raw'!$G369/'Automated raw'!$H369,"incomplete")</f>
        <v>0.84782608695652173</v>
      </c>
      <c r="P369" s="44">
        <f>'Automated raw'!$F369</f>
        <v>14</v>
      </c>
      <c r="Q369" s="47">
        <f>IFERROR('Automated raw'!$P369*'Automated raw'!$L369,0)</f>
        <v>14000</v>
      </c>
      <c r="R369" s="44" t="str">
        <f>IF('Automated raw'!$O369&gt;=60%,"High",IF('Automated raw'!$O369&gt;=30%,"Avg",IF('Automated raw'!$O369&lt;30%,"Dead Stock","Incomplete")))</f>
        <v>High</v>
      </c>
      <c r="S369" s="48" t="str">
        <f>TEXT('Automated raw'!$B369,"mmm")</f>
        <v>May</v>
      </c>
      <c r="T369" s="83">
        <f>'Automated raw'!$G369*'Automated raw'!$M369</f>
        <v>187746</v>
      </c>
      <c r="U369" s="6">
        <f>IFERROR((Table7[[#This Row],[Stock In(Total)]]+Table7[[#This Row],[In Stock or Remaining]])/2,"-")</f>
        <v>53</v>
      </c>
      <c r="V369" s="93">
        <f>IFERROR(Table7[[#This Row],[Stock_Out]]/Table7[[#This Row],[Avg Inventory]],"-")</f>
        <v>1.4716981132075471</v>
      </c>
      <c r="W369" s="6"/>
      <c r="X369" s="6"/>
      <c r="Y369" s="6"/>
      <c r="Z369" s="6"/>
      <c r="AA369" s="6"/>
      <c r="AB369" s="6"/>
      <c r="AC369" s="6"/>
      <c r="AD369" s="6"/>
      <c r="AE369" s="6"/>
      <c r="AF369" s="6"/>
      <c r="AG369" s="6"/>
      <c r="AH369" s="6"/>
      <c r="AI369" s="6"/>
      <c r="AJ369" s="6"/>
      <c r="AK369" s="6"/>
      <c r="AL369" t="s">
        <v>56</v>
      </c>
      <c r="AM369">
        <v>45360</v>
      </c>
      <c r="AN369" t="s">
        <v>30</v>
      </c>
      <c r="AO369" t="s">
        <v>13</v>
      </c>
      <c r="AP369" t="s">
        <v>21</v>
      </c>
      <c r="AQ369">
        <v>87</v>
      </c>
      <c r="AR369">
        <v>74</v>
      </c>
      <c r="AS369">
        <v>161</v>
      </c>
      <c r="AT369">
        <v>128</v>
      </c>
      <c r="AU369">
        <v>56</v>
      </c>
      <c r="AV369">
        <v>13</v>
      </c>
      <c r="AW369">
        <v>666</v>
      </c>
      <c r="AX369">
        <v>1457</v>
      </c>
      <c r="AY369">
        <v>0.45962732919254656</v>
      </c>
      <c r="AZ369">
        <v>0.45962732919254656</v>
      </c>
      <c r="BA369">
        <v>87</v>
      </c>
      <c r="BB369">
        <v>57942</v>
      </c>
      <c r="BC369" t="s">
        <v>551</v>
      </c>
      <c r="BD369" t="s">
        <v>562</v>
      </c>
      <c r="BE369">
        <v>107818</v>
      </c>
    </row>
    <row r="370" spans="1:57" x14ac:dyDescent="0.3">
      <c r="A370" s="38" t="s">
        <v>403</v>
      </c>
      <c r="B370" s="39">
        <v>45552</v>
      </c>
      <c r="C370" s="38" t="s">
        <v>53</v>
      </c>
      <c r="D370" s="38" t="s">
        <v>17</v>
      </c>
      <c r="E370" s="38" t="s">
        <v>21</v>
      </c>
      <c r="F370" s="40" t="s">
        <v>23</v>
      </c>
      <c r="G370" s="38">
        <v>72</v>
      </c>
      <c r="H370" s="38" t="str">
        <f>IFERROR('Automated raw'!$F370+'Automated raw'!$G370,"-")</f>
        <v>-</v>
      </c>
      <c r="I370" s="38">
        <v>210</v>
      </c>
      <c r="J370" s="38">
        <v>63</v>
      </c>
      <c r="K370" s="38">
        <v>12</v>
      </c>
      <c r="L370" s="38">
        <v>1703</v>
      </c>
      <c r="M370" s="38">
        <v>2273</v>
      </c>
      <c r="N370" s="38" t="e">
        <f>'Automated raw'!$G370/'Automated raw'!$H370</f>
        <v>#VALUE!</v>
      </c>
      <c r="O370" s="49" t="str">
        <f>IFERROR('Automated raw'!$G370/'Automated raw'!$H370,"incomplete")</f>
        <v>incomplete</v>
      </c>
      <c r="P370" s="38" t="str">
        <f>'Automated raw'!$F370</f>
        <v>Not Available</v>
      </c>
      <c r="Q370" s="42">
        <f>IFERROR('Automated raw'!$P370*'Automated raw'!$L370,0)</f>
        <v>0</v>
      </c>
      <c r="R370" s="38" t="str">
        <f>IF('Automated raw'!$O370&gt;=60%,"High",IF('Automated raw'!$O370&gt;=30%,"Avg",IF('Automated raw'!$O370&lt;30%,"Dead Stock","Incomplete")))</f>
        <v>High</v>
      </c>
      <c r="S370" s="43" t="str">
        <f>TEXT('Automated raw'!$B370,"mmm")</f>
        <v>Sep</v>
      </c>
      <c r="T370" s="82">
        <f>'Automated raw'!$G370*'Automated raw'!$M370</f>
        <v>163656</v>
      </c>
      <c r="U370" s="6" t="str">
        <f>IFERROR((Table7[[#This Row],[Stock In(Total)]]+Table7[[#This Row],[In Stock or Remaining]])/2,"-")</f>
        <v>-</v>
      </c>
      <c r="V370" s="93" t="str">
        <f>IFERROR(Table7[[#This Row],[Stock_Out]]/Table7[[#This Row],[Avg Inventory]],"-")</f>
        <v>-</v>
      </c>
      <c r="W370" s="6"/>
      <c r="X370" s="6"/>
      <c r="Y370" s="6"/>
      <c r="Z370" s="6"/>
      <c r="AA370" s="6"/>
      <c r="AB370" s="6"/>
      <c r="AC370" s="6"/>
      <c r="AD370" s="6"/>
      <c r="AE370" s="6"/>
      <c r="AF370" s="6"/>
      <c r="AG370" s="6"/>
      <c r="AH370" s="6"/>
      <c r="AI370" s="6"/>
      <c r="AJ370" s="6"/>
      <c r="AK370" s="6"/>
      <c r="AL370" t="s">
        <v>57</v>
      </c>
      <c r="AM370">
        <v>45532</v>
      </c>
      <c r="AN370" t="s">
        <v>37</v>
      </c>
      <c r="AO370" t="s">
        <v>13</v>
      </c>
      <c r="AP370" t="s">
        <v>21</v>
      </c>
      <c r="AQ370">
        <v>91</v>
      </c>
      <c r="AR370">
        <v>42</v>
      </c>
      <c r="AS370">
        <v>133</v>
      </c>
      <c r="AT370">
        <v>181</v>
      </c>
      <c r="AU370">
        <v>38</v>
      </c>
      <c r="AV370">
        <v>10</v>
      </c>
      <c r="AW370">
        <v>541</v>
      </c>
      <c r="AX370">
        <v>1787</v>
      </c>
      <c r="AY370">
        <v>0.31578947368421051</v>
      </c>
      <c r="AZ370">
        <v>0.31578947368421051</v>
      </c>
      <c r="BA370">
        <v>91</v>
      </c>
      <c r="BB370">
        <v>49231</v>
      </c>
      <c r="BC370" t="s">
        <v>551</v>
      </c>
      <c r="BD370" t="s">
        <v>554</v>
      </c>
      <c r="BE370">
        <v>75054</v>
      </c>
    </row>
    <row r="371" spans="1:57" x14ac:dyDescent="0.3">
      <c r="A371" s="38" t="s">
        <v>439</v>
      </c>
      <c r="B371" s="39">
        <v>45559</v>
      </c>
      <c r="C371" s="38" t="s">
        <v>12</v>
      </c>
      <c r="D371" s="38" t="s">
        <v>13</v>
      </c>
      <c r="E371" s="38" t="s">
        <v>21</v>
      </c>
      <c r="F371" s="40">
        <v>33</v>
      </c>
      <c r="G371" s="38">
        <v>32</v>
      </c>
      <c r="H371" s="38">
        <f>IFERROR('Automated raw'!$F406+'Automated raw'!$G406,"-")</f>
        <v>150</v>
      </c>
      <c r="I371" s="38">
        <v>268</v>
      </c>
      <c r="J371" s="38">
        <v>49</v>
      </c>
      <c r="K371" s="38">
        <v>5</v>
      </c>
      <c r="L371" s="38">
        <v>698</v>
      </c>
      <c r="M371" s="38">
        <v>1939</v>
      </c>
      <c r="N371" s="38">
        <f>'Automated raw'!$G406/'Automated raw'!$H406</f>
        <v>0.7</v>
      </c>
      <c r="O371" s="41">
        <f>IFERROR('Automated raw'!$G406/'Automated raw'!$H406,"incomplete")</f>
        <v>0.7</v>
      </c>
      <c r="P371" s="38">
        <f>'Automated raw'!$F406</f>
        <v>73</v>
      </c>
      <c r="Q371" s="42">
        <f>IFERROR('Automated raw'!$P406*'Automated raw'!$L406,0)</f>
        <v>13908</v>
      </c>
      <c r="R371" s="38" t="str">
        <f>IF('Automated raw'!$O406&gt;=60%,"High",IF('Automated raw'!$O406&gt;=30%,"Avg",IF('Automated raw'!$O406&lt;30%,"Dead Stock","Incomplete")))</f>
        <v>Dead Stock</v>
      </c>
      <c r="S371" s="43" t="str">
        <f>TEXT('Automated raw'!$B406,"mmm")</f>
        <v>Jun</v>
      </c>
      <c r="T371" s="82">
        <f>'Automated raw'!$G406*'Automated raw'!$M406</f>
        <v>122661</v>
      </c>
      <c r="U371" s="6">
        <f>IFERROR((Table7[[#This Row],[Stock In(Total)]]+Table7[[#This Row],[In Stock or Remaining]])/2,"-")</f>
        <v>91.5</v>
      </c>
      <c r="V371" s="93">
        <f>IFERROR(Table7[[#This Row],[Stock_Out]]/Table7[[#This Row],[Avg Inventory]],"-")</f>
        <v>0.34972677595628415</v>
      </c>
      <c r="W371" s="6"/>
      <c r="X371" s="6"/>
      <c r="Y371" s="6"/>
      <c r="Z371" s="6"/>
      <c r="AA371" s="6"/>
      <c r="AB371" s="6"/>
      <c r="AC371" s="6"/>
      <c r="AD371" s="6"/>
      <c r="AE371" s="6"/>
      <c r="AF371" s="6"/>
      <c r="AG371" s="6"/>
      <c r="AH371" s="6"/>
      <c r="AI371" s="6"/>
      <c r="AJ371" s="6"/>
      <c r="AK371" s="6"/>
      <c r="AL371" t="s">
        <v>59</v>
      </c>
      <c r="AM371">
        <v>45601</v>
      </c>
      <c r="AN371" t="s">
        <v>53</v>
      </c>
      <c r="AO371" t="s">
        <v>13</v>
      </c>
      <c r="AP371" t="s">
        <v>21</v>
      </c>
      <c r="AQ371">
        <v>99</v>
      </c>
      <c r="AR371">
        <v>115</v>
      </c>
      <c r="AS371">
        <v>214</v>
      </c>
      <c r="AT371">
        <v>17</v>
      </c>
      <c r="AU371">
        <v>72</v>
      </c>
      <c r="AV371">
        <v>14</v>
      </c>
      <c r="AW371">
        <v>1405</v>
      </c>
      <c r="AX371">
        <v>1787</v>
      </c>
      <c r="AY371">
        <v>0.53738317757009346</v>
      </c>
      <c r="AZ371">
        <v>0.53738317757009346</v>
      </c>
      <c r="BA371">
        <v>99</v>
      </c>
      <c r="BB371">
        <v>139095</v>
      </c>
      <c r="BC371" t="s">
        <v>551</v>
      </c>
      <c r="BD371" t="s">
        <v>564</v>
      </c>
      <c r="BE371">
        <v>205505</v>
      </c>
    </row>
    <row r="372" spans="1:57" x14ac:dyDescent="0.3">
      <c r="A372" s="38" t="s">
        <v>405</v>
      </c>
      <c r="B372" s="39">
        <v>45588</v>
      </c>
      <c r="C372" s="38" t="s">
        <v>45</v>
      </c>
      <c r="D372" s="38" t="s">
        <v>20</v>
      </c>
      <c r="E372" s="38" t="s">
        <v>14</v>
      </c>
      <c r="F372" s="40">
        <v>11</v>
      </c>
      <c r="G372" s="38">
        <v>88</v>
      </c>
      <c r="H372" s="38">
        <f>IFERROR('Automated raw'!$F372+'Automated raw'!$G372,"-")</f>
        <v>99</v>
      </c>
      <c r="I372" s="38">
        <v>32</v>
      </c>
      <c r="J372" s="38">
        <v>75</v>
      </c>
      <c r="K372" s="38">
        <v>6</v>
      </c>
      <c r="L372" s="38">
        <v>1453</v>
      </c>
      <c r="M372" s="38">
        <v>2567</v>
      </c>
      <c r="N372" s="38">
        <f>'Automated raw'!$G372/'Automated raw'!$H372</f>
        <v>0.88888888888888884</v>
      </c>
      <c r="O372" s="41">
        <f>IFERROR('Automated raw'!$G372/'Automated raw'!$H372,"incomplete")</f>
        <v>0.88888888888888884</v>
      </c>
      <c r="P372" s="38">
        <f>'Automated raw'!$F372</f>
        <v>11</v>
      </c>
      <c r="Q372" s="42">
        <f>IFERROR('Automated raw'!$P372*'Automated raw'!$L372,0)</f>
        <v>15983</v>
      </c>
      <c r="R372" s="38" t="str">
        <f>IF('Automated raw'!$O372&gt;=60%,"High",IF('Automated raw'!$O372&gt;=30%,"Avg",IF('Automated raw'!$O372&lt;30%,"Dead Stock","Incomplete")))</f>
        <v>High</v>
      </c>
      <c r="S372" s="43" t="str">
        <f>TEXT('Automated raw'!$B372,"mmm")</f>
        <v>Oct</v>
      </c>
      <c r="T372" s="82">
        <f>'Automated raw'!$G372*'Automated raw'!$M372</f>
        <v>225896</v>
      </c>
      <c r="U372" s="6">
        <f>IFERROR((Table7[[#This Row],[Stock In(Total)]]+Table7[[#This Row],[In Stock or Remaining]])/2,"-")</f>
        <v>55</v>
      </c>
      <c r="V372" s="93">
        <f>IFERROR(Table7[[#This Row],[Stock_Out]]/Table7[[#This Row],[Avg Inventory]],"-")</f>
        <v>1.6</v>
      </c>
      <c r="W372" s="6"/>
      <c r="X372" s="6"/>
      <c r="Y372" s="6"/>
      <c r="Z372" s="6"/>
      <c r="AA372" s="6"/>
      <c r="AB372" s="6"/>
      <c r="AC372" s="6"/>
      <c r="AD372" s="6"/>
      <c r="AE372" s="6"/>
      <c r="AF372" s="6"/>
      <c r="AG372" s="6"/>
      <c r="AH372" s="6"/>
      <c r="AI372" s="6"/>
      <c r="AJ372" s="6"/>
      <c r="AK372" s="6"/>
      <c r="AL372" t="s">
        <v>61</v>
      </c>
      <c r="AM372">
        <v>45474</v>
      </c>
      <c r="AN372" t="s">
        <v>26</v>
      </c>
      <c r="AO372" t="s">
        <v>17</v>
      </c>
      <c r="AP372" t="s">
        <v>38</v>
      </c>
      <c r="AQ372">
        <v>116</v>
      </c>
      <c r="AR372">
        <v>114</v>
      </c>
      <c r="AS372">
        <v>230</v>
      </c>
      <c r="AT372">
        <v>260</v>
      </c>
      <c r="AU372">
        <v>43</v>
      </c>
      <c r="AV372">
        <v>2</v>
      </c>
      <c r="AW372">
        <v>1400</v>
      </c>
      <c r="AX372">
        <v>2251</v>
      </c>
      <c r="AY372">
        <v>0.4956521739130435</v>
      </c>
      <c r="AZ372">
        <v>0.4956521739130435</v>
      </c>
      <c r="BA372">
        <v>116</v>
      </c>
      <c r="BB372">
        <v>162400</v>
      </c>
      <c r="BC372" t="s">
        <v>551</v>
      </c>
      <c r="BD372" t="s">
        <v>556</v>
      </c>
      <c r="BE372" s="5">
        <v>256614</v>
      </c>
    </row>
    <row r="373" spans="1:57" x14ac:dyDescent="0.3">
      <c r="A373" s="44" t="s">
        <v>406</v>
      </c>
      <c r="B373" s="45">
        <v>45529</v>
      </c>
      <c r="C373" s="44" t="s">
        <v>53</v>
      </c>
      <c r="D373" s="44" t="s">
        <v>13</v>
      </c>
      <c r="E373" s="44" t="s">
        <v>38</v>
      </c>
      <c r="F373" s="40">
        <v>104</v>
      </c>
      <c r="G373" s="44">
        <v>36</v>
      </c>
      <c r="H373" s="44">
        <f>IFERROR('Automated raw'!$F373+'Automated raw'!$G373,"-")</f>
        <v>140</v>
      </c>
      <c r="I373" s="44">
        <v>250</v>
      </c>
      <c r="J373" s="44">
        <v>39</v>
      </c>
      <c r="K373" s="44">
        <v>11</v>
      </c>
      <c r="L373" s="44">
        <v>709</v>
      </c>
      <c r="M373" s="44">
        <v>991</v>
      </c>
      <c r="N373" s="44">
        <f>'Automated raw'!$G373/'Automated raw'!$H373</f>
        <v>0.25714285714285712</v>
      </c>
      <c r="O373" s="46">
        <f>IFERROR('Automated raw'!$G373/'Automated raw'!$H373,"incomplete")</f>
        <v>0.25714285714285712</v>
      </c>
      <c r="P373" s="44">
        <f>'Automated raw'!$F373</f>
        <v>104</v>
      </c>
      <c r="Q373" s="47">
        <f>IFERROR('Automated raw'!$P373*'Automated raw'!$L373,0)</f>
        <v>73736</v>
      </c>
      <c r="R373" s="44" t="str">
        <f>IF('Automated raw'!$O373&gt;=60%,"High",IF('Automated raw'!$O373&gt;=30%,"Avg",IF('Automated raw'!$O373&lt;30%,"Dead Stock","Incomplete")))</f>
        <v>Dead Stock</v>
      </c>
      <c r="S373" s="48" t="str">
        <f>TEXT('Automated raw'!$B373,"mmm")</f>
        <v>Aug</v>
      </c>
      <c r="T373" s="83">
        <f>'Automated raw'!$G373*'Automated raw'!$M373</f>
        <v>35676</v>
      </c>
      <c r="U373" s="6">
        <f>IFERROR((Table7[[#This Row],[Stock In(Total)]]+Table7[[#This Row],[In Stock or Remaining]])/2,"-")</f>
        <v>122</v>
      </c>
      <c r="V373" s="93">
        <f>IFERROR(Table7[[#This Row],[Stock_Out]]/Table7[[#This Row],[Avg Inventory]],"-")</f>
        <v>0.29508196721311475</v>
      </c>
      <c r="W373" s="6"/>
      <c r="X373" s="6"/>
      <c r="Y373" s="6"/>
      <c r="Z373" s="6"/>
      <c r="AA373" s="6"/>
      <c r="AB373" s="6"/>
      <c r="AC373" s="6"/>
      <c r="AD373" s="6"/>
      <c r="AE373" s="6"/>
      <c r="AF373" s="6"/>
      <c r="AG373" s="6"/>
      <c r="AH373" s="6"/>
      <c r="AI373" s="6"/>
      <c r="AJ373" s="6"/>
      <c r="AK373" s="6"/>
      <c r="AL373" t="s">
        <v>64</v>
      </c>
      <c r="AM373">
        <v>45373</v>
      </c>
      <c r="AN373" t="s">
        <v>12</v>
      </c>
      <c r="AO373" t="s">
        <v>13</v>
      </c>
      <c r="AP373" t="s">
        <v>14</v>
      </c>
      <c r="AQ373">
        <v>104</v>
      </c>
      <c r="AR373">
        <v>50</v>
      </c>
      <c r="AS373">
        <v>154</v>
      </c>
      <c r="AT373">
        <v>261</v>
      </c>
      <c r="AU373">
        <v>66</v>
      </c>
      <c r="AV373">
        <v>8</v>
      </c>
      <c r="AW373">
        <v>1272</v>
      </c>
      <c r="AX373">
        <v>2318</v>
      </c>
      <c r="AY373">
        <v>0.32467532467532467</v>
      </c>
      <c r="AZ373">
        <v>0.32467532467532467</v>
      </c>
      <c r="BA373">
        <v>104</v>
      </c>
      <c r="BB373">
        <v>132288</v>
      </c>
      <c r="BC373" t="s">
        <v>551</v>
      </c>
      <c r="BD373" t="s">
        <v>562</v>
      </c>
      <c r="BE373">
        <v>115900</v>
      </c>
    </row>
    <row r="374" spans="1:57" x14ac:dyDescent="0.3">
      <c r="A374" s="44" t="s">
        <v>98</v>
      </c>
      <c r="B374" s="45">
        <v>45358</v>
      </c>
      <c r="C374" s="44" t="s">
        <v>30</v>
      </c>
      <c r="D374" s="44" t="s">
        <v>17</v>
      </c>
      <c r="E374" s="44" t="s">
        <v>21</v>
      </c>
      <c r="F374" s="40">
        <v>48</v>
      </c>
      <c r="G374" s="44">
        <v>47</v>
      </c>
      <c r="H374" s="44">
        <f>IFERROR('Automated raw'!$F71+'Automated raw'!$G71,"-")</f>
        <v>171</v>
      </c>
      <c r="I374" s="44">
        <v>232</v>
      </c>
      <c r="J374" s="44">
        <v>60</v>
      </c>
      <c r="K374" s="44">
        <v>14</v>
      </c>
      <c r="L374" s="44">
        <v>966</v>
      </c>
      <c r="M374" s="44">
        <v>1255</v>
      </c>
      <c r="N374" s="44">
        <f>'Automated raw'!$G71/'Automated raw'!$H71</f>
        <v>0.41726618705035973</v>
      </c>
      <c r="O374" s="46">
        <f>IFERROR('Automated raw'!$G71/'Automated raw'!$H71,"incomplete")</f>
        <v>0.41726618705035973</v>
      </c>
      <c r="P374" s="44">
        <f>'Automated raw'!$F71</f>
        <v>113</v>
      </c>
      <c r="Q374" s="47">
        <f>IFERROR('Automated raw'!$P71*'Automated raw'!$L71,0)</f>
        <v>112590</v>
      </c>
      <c r="R374" s="44" t="str">
        <f>IF('Automated raw'!$O71&gt;=60%,"High",IF('Automated raw'!$O71&gt;=30%,"Avg",IF('Automated raw'!$O71&lt;30%,"Dead Stock","Incomplete")))</f>
        <v>High</v>
      </c>
      <c r="S374" s="48" t="str">
        <f>TEXT('Automated raw'!$B71,"mmm")</f>
        <v>Oct</v>
      </c>
      <c r="T374" s="83">
        <f>'Automated raw'!$G71*'Automated raw'!$M71</f>
        <v>98658</v>
      </c>
      <c r="U374" s="6">
        <f>IFERROR((Table7[[#This Row],[Stock In(Total)]]+Table7[[#This Row],[In Stock or Remaining]])/2,"-")</f>
        <v>109.5</v>
      </c>
      <c r="V374" s="93">
        <f>IFERROR(Table7[[#This Row],[Stock_Out]]/Table7[[#This Row],[Avg Inventory]],"-")</f>
        <v>0.42922374429223742</v>
      </c>
      <c r="W374" s="6"/>
      <c r="X374" s="6"/>
      <c r="Y374" s="6"/>
      <c r="Z374" s="6"/>
      <c r="AA374" s="6"/>
      <c r="AB374" s="6"/>
      <c r="AC374" s="6"/>
      <c r="AD374" s="6"/>
      <c r="AE374" s="6"/>
      <c r="AF374" s="6"/>
      <c r="AG374" s="6"/>
      <c r="AH374" s="6"/>
      <c r="AI374" s="6"/>
      <c r="AJ374" s="6"/>
      <c r="AK374" s="6"/>
      <c r="AL374" t="s">
        <v>66</v>
      </c>
      <c r="AM374">
        <v>45598</v>
      </c>
      <c r="AN374" t="s">
        <v>45</v>
      </c>
      <c r="AO374" t="s">
        <v>20</v>
      </c>
      <c r="AP374" t="s">
        <v>14</v>
      </c>
      <c r="AQ374">
        <v>145</v>
      </c>
      <c r="AR374">
        <v>110</v>
      </c>
      <c r="AS374">
        <v>255</v>
      </c>
      <c r="AT374">
        <v>191</v>
      </c>
      <c r="AU374">
        <v>35</v>
      </c>
      <c r="AV374">
        <v>14</v>
      </c>
      <c r="AW374">
        <v>1806</v>
      </c>
      <c r="AX374">
        <v>3262</v>
      </c>
      <c r="AY374">
        <v>0.43137254901960786</v>
      </c>
      <c r="AZ374">
        <v>0.43137254901960786</v>
      </c>
      <c r="BA374">
        <v>145</v>
      </c>
      <c r="BB374">
        <v>261870</v>
      </c>
      <c r="BC374" t="s">
        <v>551</v>
      </c>
      <c r="BD374" t="s">
        <v>564</v>
      </c>
      <c r="BE374" s="5">
        <v>358820</v>
      </c>
    </row>
    <row r="375" spans="1:57" x14ac:dyDescent="0.3">
      <c r="A375" s="38" t="s">
        <v>61</v>
      </c>
      <c r="B375" s="39">
        <v>45474</v>
      </c>
      <c r="C375" s="38" t="s">
        <v>26</v>
      </c>
      <c r="D375" s="38" t="s">
        <v>17</v>
      </c>
      <c r="E375" s="38" t="s">
        <v>38</v>
      </c>
      <c r="F375" s="40">
        <v>116</v>
      </c>
      <c r="G375" s="38">
        <v>114</v>
      </c>
      <c r="H375" s="38">
        <f>IFERROR('Automated raw'!$F34+'Automated raw'!$G34,"-")</f>
        <v>133</v>
      </c>
      <c r="I375" s="38">
        <v>260</v>
      </c>
      <c r="J375" s="38">
        <v>43</v>
      </c>
      <c r="K375" s="38">
        <v>2</v>
      </c>
      <c r="L375" s="38">
        <v>1400</v>
      </c>
      <c r="M375" s="38">
        <v>2251</v>
      </c>
      <c r="N375" s="38">
        <f>'Automated raw'!$G34/'Automated raw'!$H34</f>
        <v>0.21989528795811519</v>
      </c>
      <c r="O375" s="41">
        <f>IFERROR('Automated raw'!$G34/'Automated raw'!$H34,"incomplete")</f>
        <v>0.21989528795811519</v>
      </c>
      <c r="P375" s="38">
        <f>'Automated raw'!$F34</f>
        <v>91</v>
      </c>
      <c r="Q375" s="42">
        <f>IFERROR('Automated raw'!$P34*'Automated raw'!$L34,0)</f>
        <v>70871</v>
      </c>
      <c r="R375" s="38" t="str">
        <f>IF('Automated raw'!$O34&gt;=60%,"High",IF('Automated raw'!$O34&gt;=30%,"Avg",IF('Automated raw'!$O34&lt;30%,"Dead Stock","Incomplete")))</f>
        <v>Dead Stock</v>
      </c>
      <c r="S375" s="43" t="str">
        <f>TEXT('Automated raw'!$B34,"mmm")</f>
        <v>Aug</v>
      </c>
      <c r="T375" s="82">
        <f>'Automated raw'!$G34*'Automated raw'!$M34</f>
        <v>75054</v>
      </c>
      <c r="U375" s="6">
        <f>IFERROR((Table7[[#This Row],[Stock In(Total)]]+Table7[[#This Row],[In Stock or Remaining]])/2,"-")</f>
        <v>124.5</v>
      </c>
      <c r="V375" s="93">
        <f>IFERROR(Table7[[#This Row],[Stock_Out]]/Table7[[#This Row],[Avg Inventory]],"-")</f>
        <v>0.91566265060240959</v>
      </c>
      <c r="W375" s="6"/>
      <c r="X375" s="6"/>
      <c r="Y375" s="6"/>
      <c r="Z375" s="6"/>
      <c r="AA375" s="6"/>
      <c r="AB375" s="6"/>
      <c r="AC375" s="6"/>
      <c r="AD375" s="6"/>
      <c r="AE375" s="6"/>
      <c r="AF375" s="6"/>
      <c r="AG375" s="6"/>
      <c r="AH375" s="6"/>
      <c r="AI375" s="6"/>
      <c r="AJ375" s="6"/>
      <c r="AK375" s="6"/>
      <c r="AL375" t="s">
        <v>67</v>
      </c>
      <c r="AM375">
        <v>45552</v>
      </c>
      <c r="AN375" t="s">
        <v>16</v>
      </c>
      <c r="AO375" t="s">
        <v>20</v>
      </c>
      <c r="AP375" t="s">
        <v>21</v>
      </c>
      <c r="AQ375">
        <v>111</v>
      </c>
      <c r="AR375">
        <v>52</v>
      </c>
      <c r="AS375">
        <v>163</v>
      </c>
      <c r="AT375">
        <v>139</v>
      </c>
      <c r="AU375">
        <v>60</v>
      </c>
      <c r="AV375">
        <v>3</v>
      </c>
      <c r="AW375">
        <v>747</v>
      </c>
      <c r="AX375">
        <v>1121</v>
      </c>
      <c r="AY375">
        <v>0.31901840490797545</v>
      </c>
      <c r="AZ375">
        <v>0.31901840490797545</v>
      </c>
      <c r="BA375">
        <v>111</v>
      </c>
      <c r="BB375">
        <v>82917</v>
      </c>
      <c r="BC375" t="s">
        <v>551</v>
      </c>
      <c r="BD375" t="s">
        <v>560</v>
      </c>
      <c r="BE375">
        <v>58292</v>
      </c>
    </row>
    <row r="376" spans="1:57" x14ac:dyDescent="0.3">
      <c r="A376" s="38" t="s">
        <v>409</v>
      </c>
      <c r="B376" s="39">
        <v>45599</v>
      </c>
      <c r="C376" s="38" t="s">
        <v>30</v>
      </c>
      <c r="D376" s="38" t="s">
        <v>17</v>
      </c>
      <c r="E376" s="38" t="s">
        <v>38</v>
      </c>
      <c r="F376" s="40">
        <v>12</v>
      </c>
      <c r="G376" s="38">
        <v>32</v>
      </c>
      <c r="H376" s="38">
        <f>IFERROR('Automated raw'!$F376+'Automated raw'!$G376,"-")</f>
        <v>44</v>
      </c>
      <c r="I376" s="38">
        <v>88</v>
      </c>
      <c r="J376" s="38">
        <v>67</v>
      </c>
      <c r="K376" s="38">
        <v>2</v>
      </c>
      <c r="L376" s="38">
        <v>599</v>
      </c>
      <c r="M376" s="38">
        <v>954</v>
      </c>
      <c r="N376" s="38">
        <f>'Automated raw'!$G376/'Automated raw'!$H376</f>
        <v>0.72727272727272729</v>
      </c>
      <c r="O376" s="41">
        <f>IFERROR('Automated raw'!$G376/'Automated raw'!$H376,"incomplete")</f>
        <v>0.72727272727272729</v>
      </c>
      <c r="P376" s="38">
        <f>'Automated raw'!$F376</f>
        <v>12</v>
      </c>
      <c r="Q376" s="42">
        <f>IFERROR('Automated raw'!$P376*'Automated raw'!$L376,0)</f>
        <v>7188</v>
      </c>
      <c r="R376" s="38" t="str">
        <f>IF('Automated raw'!$O376&gt;=60%,"High",IF('Automated raw'!$O376&gt;=30%,"Avg",IF('Automated raw'!$O376&lt;30%,"Dead Stock","Incomplete")))</f>
        <v>High</v>
      </c>
      <c r="S376" s="43" t="str">
        <f>TEXT('Automated raw'!$B376,"mmm")</f>
        <v>Nov</v>
      </c>
      <c r="T376" s="82">
        <f>'Automated raw'!$G376*'Automated raw'!$M376</f>
        <v>30528</v>
      </c>
      <c r="U376" s="6">
        <f>IFERROR((Table7[[#This Row],[Stock In(Total)]]+Table7[[#This Row],[In Stock or Remaining]])/2,"-")</f>
        <v>28</v>
      </c>
      <c r="V376" s="93">
        <f>IFERROR(Table7[[#This Row],[Stock_Out]]/Table7[[#This Row],[Avg Inventory]],"-")</f>
        <v>1.1428571428571428</v>
      </c>
      <c r="W376" s="6"/>
      <c r="X376" s="6"/>
      <c r="Y376" s="6"/>
      <c r="Z376" s="6"/>
      <c r="AA376" s="6"/>
      <c r="AB376" s="6"/>
      <c r="AC376" s="6"/>
      <c r="AD376" s="6"/>
      <c r="AE376" s="6"/>
      <c r="AF376" s="6"/>
      <c r="AG376" s="6"/>
      <c r="AH376" s="6"/>
      <c r="AI376" s="6"/>
      <c r="AJ376" s="6"/>
      <c r="AK376" s="6"/>
      <c r="AL376" t="s">
        <v>71</v>
      </c>
      <c r="AM376">
        <v>45598</v>
      </c>
      <c r="AN376" t="s">
        <v>16</v>
      </c>
      <c r="AO376" t="s">
        <v>20</v>
      </c>
      <c r="AP376" t="s">
        <v>38</v>
      </c>
      <c r="AQ376">
        <v>105</v>
      </c>
      <c r="AR376">
        <v>98</v>
      </c>
      <c r="AS376">
        <v>203</v>
      </c>
      <c r="AT376">
        <v>5</v>
      </c>
      <c r="AU376">
        <v>75</v>
      </c>
      <c r="AV376">
        <v>5</v>
      </c>
      <c r="AW376">
        <v>1004</v>
      </c>
      <c r="AX376">
        <v>1367</v>
      </c>
      <c r="AY376">
        <v>0.48275862068965519</v>
      </c>
      <c r="AZ376">
        <v>0.48275862068965519</v>
      </c>
      <c r="BA376">
        <v>105</v>
      </c>
      <c r="BB376">
        <v>105420</v>
      </c>
      <c r="BC376" t="s">
        <v>551</v>
      </c>
      <c r="BD376" t="s">
        <v>564</v>
      </c>
      <c r="BE376">
        <v>133966</v>
      </c>
    </row>
    <row r="377" spans="1:57" x14ac:dyDescent="0.3">
      <c r="A377" s="38" t="s">
        <v>254</v>
      </c>
      <c r="B377" s="39">
        <v>45634</v>
      </c>
      <c r="C377" s="38" t="s">
        <v>30</v>
      </c>
      <c r="D377" s="38" t="s">
        <v>13</v>
      </c>
      <c r="E377" s="38" t="s">
        <v>21</v>
      </c>
      <c r="F377" s="40">
        <v>110</v>
      </c>
      <c r="G377" s="38">
        <v>109</v>
      </c>
      <c r="H377" s="38">
        <f>IFERROR('Automated raw'!$F224+'Automated raw'!$G224,"-")</f>
        <v>252</v>
      </c>
      <c r="I377" s="38">
        <v>277</v>
      </c>
      <c r="J377" s="38">
        <v>42</v>
      </c>
      <c r="K377" s="38">
        <v>14</v>
      </c>
      <c r="L377" s="38">
        <v>1400</v>
      </c>
      <c r="M377" s="38">
        <v>1644</v>
      </c>
      <c r="N377" s="38">
        <f>'Automated raw'!$G224/'Automated raw'!$H224</f>
        <v>0.88983050847457623</v>
      </c>
      <c r="O377" s="41">
        <f>IFERROR('Automated raw'!$G224/'Automated raw'!$H224,"incomplete")</f>
        <v>0.88983050847457623</v>
      </c>
      <c r="P377" s="38">
        <f>'Automated raw'!$F224</f>
        <v>147</v>
      </c>
      <c r="Q377" s="42">
        <f>IFERROR('Automated raw'!$P224*'Automated raw'!$L224,0)</f>
        <v>46592</v>
      </c>
      <c r="R377" s="38" t="str">
        <f>IF('Automated raw'!$O224&gt;=60%,"High",IF('Automated raw'!$O224&gt;=30%,"Avg",IF('Automated raw'!$O224&lt;30%,"Dead Stock","Incomplete")))</f>
        <v>Avg</v>
      </c>
      <c r="S377" s="43" t="str">
        <f>TEXT('Automated raw'!$B224,"mmm")</f>
        <v>Sep</v>
      </c>
      <c r="T377" s="82">
        <f>'Automated raw'!$G224*'Automated raw'!$M224</f>
        <v>139020</v>
      </c>
      <c r="U377" s="6">
        <f>IFERROR((Table7[[#This Row],[Stock In(Total)]]+Table7[[#This Row],[In Stock or Remaining]])/2,"-")</f>
        <v>181</v>
      </c>
      <c r="V377" s="93">
        <f>IFERROR(Table7[[#This Row],[Stock_Out]]/Table7[[#This Row],[Avg Inventory]],"-")</f>
        <v>0.60220994475138123</v>
      </c>
      <c r="W377" s="6"/>
      <c r="X377" s="6"/>
      <c r="Y377" s="6"/>
      <c r="Z377" s="6"/>
      <c r="AA377" s="6"/>
      <c r="AB377" s="6"/>
      <c r="AC377" s="6"/>
      <c r="AD377" s="6"/>
      <c r="AE377" s="6"/>
      <c r="AF377" s="6"/>
      <c r="AG377" s="6"/>
      <c r="AH377" s="6"/>
      <c r="AI377" s="6"/>
      <c r="AJ377" s="6"/>
      <c r="AK377" s="6"/>
      <c r="AL377" t="s">
        <v>76</v>
      </c>
      <c r="AM377">
        <v>45601</v>
      </c>
      <c r="AN377" t="s">
        <v>30</v>
      </c>
      <c r="AO377" t="s">
        <v>20</v>
      </c>
      <c r="AP377" t="s">
        <v>14</v>
      </c>
      <c r="AQ377">
        <v>132</v>
      </c>
      <c r="AR377">
        <v>112</v>
      </c>
      <c r="AS377">
        <v>244</v>
      </c>
      <c r="AT377">
        <v>42</v>
      </c>
      <c r="AU377">
        <v>57</v>
      </c>
      <c r="AV377">
        <v>14</v>
      </c>
      <c r="AW377">
        <v>314</v>
      </c>
      <c r="AX377">
        <v>1294</v>
      </c>
      <c r="AY377">
        <v>0.45901639344262296</v>
      </c>
      <c r="AZ377">
        <v>0.45901639344262296</v>
      </c>
      <c r="BA377">
        <v>132</v>
      </c>
      <c r="BB377">
        <v>41448</v>
      </c>
      <c r="BC377" t="s">
        <v>551</v>
      </c>
      <c r="BD377" t="s">
        <v>564</v>
      </c>
      <c r="BE377">
        <v>144928</v>
      </c>
    </row>
    <row r="378" spans="1:57" x14ac:dyDescent="0.3">
      <c r="A378" s="38" t="s">
        <v>411</v>
      </c>
      <c r="B378" s="39">
        <v>45322</v>
      </c>
      <c r="C378" s="38" t="s">
        <v>30</v>
      </c>
      <c r="D378" s="38" t="s">
        <v>20</v>
      </c>
      <c r="E378" s="38" t="s">
        <v>14</v>
      </c>
      <c r="F378" s="40">
        <v>60</v>
      </c>
      <c r="G378" s="38">
        <v>97</v>
      </c>
      <c r="H378" s="38">
        <f>IFERROR('Automated raw'!$F378+'Automated raw'!$G378,"-")</f>
        <v>157</v>
      </c>
      <c r="I378" s="38">
        <v>194</v>
      </c>
      <c r="J378" s="38">
        <v>74</v>
      </c>
      <c r="K378" s="38">
        <v>2</v>
      </c>
      <c r="L378" s="38">
        <v>529</v>
      </c>
      <c r="M378" s="38">
        <v>934</v>
      </c>
      <c r="N378" s="38">
        <f>'Automated raw'!$G378/'Automated raw'!$H378</f>
        <v>0.61783439490445857</v>
      </c>
      <c r="O378" s="41">
        <f>IFERROR('Automated raw'!$G378/'Automated raw'!$H378,"incomplete")</f>
        <v>0.61783439490445857</v>
      </c>
      <c r="P378" s="38">
        <f>'Automated raw'!$F378</f>
        <v>60</v>
      </c>
      <c r="Q378" s="42">
        <f>IFERROR('Automated raw'!$P378*'Automated raw'!$L378,0)</f>
        <v>31740</v>
      </c>
      <c r="R378" s="38" t="str">
        <f>IF('Automated raw'!$O378&gt;=60%,"High",IF('Automated raw'!$O378&gt;=30%,"Avg",IF('Automated raw'!$O378&lt;30%,"Dead Stock","Incomplete")))</f>
        <v>High</v>
      </c>
      <c r="S378" s="43" t="str">
        <f>TEXT('Automated raw'!$B378,"mmm")</f>
        <v>Jan</v>
      </c>
      <c r="T378" s="82">
        <f>'Automated raw'!$G378*'Automated raw'!$M378</f>
        <v>90598</v>
      </c>
      <c r="U378" s="6">
        <f>IFERROR((Table7[[#This Row],[Stock In(Total)]]+Table7[[#This Row],[In Stock or Remaining]])/2,"-")</f>
        <v>108.5</v>
      </c>
      <c r="V378" s="93">
        <f>IFERROR(Table7[[#This Row],[Stock_Out]]/Table7[[#This Row],[Avg Inventory]],"-")</f>
        <v>0.89400921658986177</v>
      </c>
      <c r="W378" s="6"/>
      <c r="X378" s="6"/>
      <c r="Y378" s="6"/>
      <c r="Z378" s="6"/>
      <c r="AA378" s="6"/>
      <c r="AB378" s="6"/>
      <c r="AC378" s="6"/>
      <c r="AD378" s="6"/>
      <c r="AE378" s="6"/>
      <c r="AF378" s="6"/>
      <c r="AG378" s="6"/>
      <c r="AH378" s="6"/>
      <c r="AI378" s="6"/>
      <c r="AJ378" s="6"/>
      <c r="AK378" s="6"/>
      <c r="AL378" t="s">
        <v>79</v>
      </c>
      <c r="AM378">
        <v>45459</v>
      </c>
      <c r="AN378" t="s">
        <v>19</v>
      </c>
      <c r="AO378" t="s">
        <v>13</v>
      </c>
      <c r="AP378" t="s">
        <v>33</v>
      </c>
      <c r="AQ378">
        <v>144</v>
      </c>
      <c r="AR378">
        <v>75</v>
      </c>
      <c r="AS378">
        <v>219</v>
      </c>
      <c r="AT378">
        <v>178</v>
      </c>
      <c r="AU378">
        <v>74</v>
      </c>
      <c r="AV378">
        <v>5</v>
      </c>
      <c r="AW378">
        <v>1839</v>
      </c>
      <c r="AX378">
        <v>2710</v>
      </c>
      <c r="AY378">
        <v>0.34246575342465752</v>
      </c>
      <c r="AZ378">
        <v>0.34246575342465752</v>
      </c>
      <c r="BA378">
        <v>144</v>
      </c>
      <c r="BB378">
        <v>264816</v>
      </c>
      <c r="BC378" t="s">
        <v>551</v>
      </c>
      <c r="BD378" t="s">
        <v>559</v>
      </c>
      <c r="BE378">
        <v>203250</v>
      </c>
    </row>
    <row r="379" spans="1:57" x14ac:dyDescent="0.3">
      <c r="A379" s="38" t="s">
        <v>519</v>
      </c>
      <c r="B379" s="39">
        <v>45606</v>
      </c>
      <c r="C379" s="38" t="s">
        <v>37</v>
      </c>
      <c r="D379" s="38" t="s">
        <v>17</v>
      </c>
      <c r="E379" s="38" t="s">
        <v>14</v>
      </c>
      <c r="F379" s="40">
        <v>91</v>
      </c>
      <c r="G379" s="38">
        <v>92</v>
      </c>
      <c r="H379" s="38">
        <f>IFERROR('Automated raw'!$F486+'Automated raw'!$G486,"-")</f>
        <v>163</v>
      </c>
      <c r="I379" s="38">
        <v>137</v>
      </c>
      <c r="J379" s="38">
        <v>32</v>
      </c>
      <c r="K379" s="38">
        <v>7</v>
      </c>
      <c r="L379" s="38">
        <v>1909</v>
      </c>
      <c r="M379" s="38">
        <v>3079</v>
      </c>
      <c r="N379" s="38">
        <f>'Automated raw'!$G486/'Automated raw'!$H486</f>
        <v>0.41304347826086957</v>
      </c>
      <c r="O379" s="41">
        <f>IFERROR('Automated raw'!$G486/'Automated raw'!$H486,"incomplete")</f>
        <v>0.41304347826086957</v>
      </c>
      <c r="P379" s="38">
        <f>'Automated raw'!$F486</f>
        <v>68</v>
      </c>
      <c r="Q379" s="42">
        <f>IFERROR('Automated raw'!$P486*'Automated raw'!$L486,0)</f>
        <v>149564</v>
      </c>
      <c r="R379" s="38" t="str">
        <f>IF('Automated raw'!$O486&gt;=60%,"High",IF('Automated raw'!$O486&gt;=30%,"Avg",IF('Automated raw'!$O486&lt;30%,"Dead Stock","Incomplete")))</f>
        <v>High</v>
      </c>
      <c r="S379" s="43" t="str">
        <f>TEXT('Automated raw'!$B486,"mmm")</f>
        <v>Nov</v>
      </c>
      <c r="T379" s="82">
        <f>'Automated raw'!$G486*'Automated raw'!$M486</f>
        <v>196080</v>
      </c>
      <c r="U379" s="6">
        <f>IFERROR((Table7[[#This Row],[Stock In(Total)]]+Table7[[#This Row],[In Stock or Remaining]])/2,"-")</f>
        <v>127</v>
      </c>
      <c r="V379" s="93">
        <f>IFERROR(Table7[[#This Row],[Stock_Out]]/Table7[[#This Row],[Avg Inventory]],"-")</f>
        <v>0.72440944881889768</v>
      </c>
      <c r="W379" s="6"/>
      <c r="X379" s="6"/>
      <c r="Y379" s="6"/>
      <c r="Z379" s="6"/>
      <c r="AA379" s="6"/>
      <c r="AB379" s="6"/>
      <c r="AC379" s="6"/>
      <c r="AD379" s="6"/>
      <c r="AE379" s="6"/>
      <c r="AF379" s="6"/>
      <c r="AG379" s="6"/>
      <c r="AH379" s="6"/>
      <c r="AI379" s="6"/>
      <c r="AJ379" s="6"/>
      <c r="AK379" s="6"/>
      <c r="AL379" t="s">
        <v>80</v>
      </c>
      <c r="AM379">
        <v>45310</v>
      </c>
      <c r="AN379" t="s">
        <v>26</v>
      </c>
      <c r="AO379" t="s">
        <v>17</v>
      </c>
      <c r="AP379" t="s">
        <v>33</v>
      </c>
      <c r="AQ379">
        <v>59</v>
      </c>
      <c r="AR379">
        <v>62</v>
      </c>
      <c r="AS379">
        <v>121</v>
      </c>
      <c r="AT379">
        <v>169</v>
      </c>
      <c r="AU379">
        <v>40</v>
      </c>
      <c r="AV379">
        <v>8</v>
      </c>
      <c r="AW379">
        <v>628</v>
      </c>
      <c r="AX379">
        <v>1124</v>
      </c>
      <c r="AY379">
        <v>0.51239669421487599</v>
      </c>
      <c r="AZ379">
        <v>0.51239669421487599</v>
      </c>
      <c r="BA379">
        <v>59</v>
      </c>
      <c r="BB379">
        <v>37052</v>
      </c>
      <c r="BC379" t="s">
        <v>551</v>
      </c>
      <c r="BD379" t="s">
        <v>557</v>
      </c>
      <c r="BE379">
        <v>69688</v>
      </c>
    </row>
    <row r="380" spans="1:57" x14ac:dyDescent="0.3">
      <c r="A380" s="38" t="s">
        <v>413</v>
      </c>
      <c r="B380" s="39">
        <v>45443</v>
      </c>
      <c r="C380" s="38" t="s">
        <v>50</v>
      </c>
      <c r="D380" s="38" t="s">
        <v>20</v>
      </c>
      <c r="E380" s="38" t="s">
        <v>21</v>
      </c>
      <c r="F380" s="40">
        <v>78</v>
      </c>
      <c r="G380" s="38">
        <v>30</v>
      </c>
      <c r="H380" s="38">
        <f>IFERROR('Automated raw'!$F380+'Automated raw'!$G380,"-")</f>
        <v>108</v>
      </c>
      <c r="I380" s="38">
        <v>292</v>
      </c>
      <c r="J380" s="38">
        <v>52</v>
      </c>
      <c r="K380" s="38">
        <v>3</v>
      </c>
      <c r="L380" s="38">
        <v>416</v>
      </c>
      <c r="M380" s="38">
        <v>1080</v>
      </c>
      <c r="N380" s="38">
        <f>'Automated raw'!$G380/'Automated raw'!$H380</f>
        <v>0.27777777777777779</v>
      </c>
      <c r="O380" s="41">
        <f>IFERROR('Automated raw'!$G380/'Automated raw'!$H380,"incomplete")</f>
        <v>0.27777777777777779</v>
      </c>
      <c r="P380" s="38">
        <f>'Automated raw'!$F380</f>
        <v>78</v>
      </c>
      <c r="Q380" s="42">
        <f>IFERROR('Automated raw'!$P380*'Automated raw'!$L380,0)</f>
        <v>32448</v>
      </c>
      <c r="R380" s="38" t="str">
        <f>IF('Automated raw'!$O380&gt;=60%,"High",IF('Automated raw'!$O380&gt;=30%,"Avg",IF('Automated raw'!$O380&lt;30%,"Dead Stock","Incomplete")))</f>
        <v>Dead Stock</v>
      </c>
      <c r="S380" s="43" t="str">
        <f>TEXT('Automated raw'!$B380,"mmm")</f>
        <v>May</v>
      </c>
      <c r="T380" s="82">
        <f>'Automated raw'!$G380*'Automated raw'!$M380</f>
        <v>32400</v>
      </c>
      <c r="U380" s="6">
        <f>IFERROR((Table7[[#This Row],[Stock In(Total)]]+Table7[[#This Row],[In Stock or Remaining]])/2,"-")</f>
        <v>93</v>
      </c>
      <c r="V380" s="93">
        <f>IFERROR(Table7[[#This Row],[Stock_Out]]/Table7[[#This Row],[Avg Inventory]],"-")</f>
        <v>0.32258064516129031</v>
      </c>
      <c r="W380" s="6"/>
      <c r="X380" s="6"/>
      <c r="Y380" s="6"/>
      <c r="Z380" s="6"/>
      <c r="AA380" s="6"/>
      <c r="AB380" s="6"/>
      <c r="AC380" s="6"/>
      <c r="AD380" s="6"/>
      <c r="AE380" s="6"/>
      <c r="AF380" s="6"/>
      <c r="AG380" s="6"/>
      <c r="AH380" s="6"/>
      <c r="AI380" s="6"/>
      <c r="AJ380" s="6"/>
      <c r="AK380" s="6"/>
      <c r="AL380" t="s">
        <v>81</v>
      </c>
      <c r="AM380">
        <v>45331</v>
      </c>
      <c r="AN380" t="s">
        <v>30</v>
      </c>
      <c r="AO380" t="s">
        <v>13</v>
      </c>
      <c r="AP380" t="s">
        <v>14</v>
      </c>
      <c r="AQ380">
        <v>88</v>
      </c>
      <c r="AR380">
        <v>94</v>
      </c>
      <c r="AS380">
        <v>182</v>
      </c>
      <c r="AT380">
        <v>143</v>
      </c>
      <c r="AU380">
        <v>38</v>
      </c>
      <c r="AV380">
        <v>7</v>
      </c>
      <c r="AW380">
        <v>683</v>
      </c>
      <c r="AX380">
        <v>1821</v>
      </c>
      <c r="AY380">
        <v>0.51648351648351654</v>
      </c>
      <c r="AZ380">
        <v>0.51648351648351654</v>
      </c>
      <c r="BA380">
        <v>88</v>
      </c>
      <c r="BB380">
        <v>60104</v>
      </c>
      <c r="BC380" t="s">
        <v>551</v>
      </c>
      <c r="BD380" t="s">
        <v>555</v>
      </c>
      <c r="BE380">
        <v>171174</v>
      </c>
    </row>
    <row r="381" spans="1:57" x14ac:dyDescent="0.3">
      <c r="A381" s="44" t="s">
        <v>213</v>
      </c>
      <c r="B381" s="45">
        <v>45447</v>
      </c>
      <c r="C381" s="44" t="s">
        <v>37</v>
      </c>
      <c r="D381" s="44" t="s">
        <v>17</v>
      </c>
      <c r="E381" s="44" t="s">
        <v>38</v>
      </c>
      <c r="F381" s="40">
        <v>63</v>
      </c>
      <c r="G381" s="44">
        <v>64</v>
      </c>
      <c r="H381" s="44">
        <f>IFERROR('Automated raw'!$F183+'Automated raw'!$G183,"-")</f>
        <v>100</v>
      </c>
      <c r="I381" s="44">
        <v>100</v>
      </c>
      <c r="J381" s="44">
        <v>77</v>
      </c>
      <c r="K381" s="44">
        <v>3</v>
      </c>
      <c r="L381" s="44">
        <v>1303</v>
      </c>
      <c r="M381" s="44">
        <v>1836</v>
      </c>
      <c r="N381" s="44">
        <f>'Automated raw'!$G183/'Automated raw'!$H183</f>
        <v>0.21195652173913043</v>
      </c>
      <c r="O381" s="46">
        <f>IFERROR('Automated raw'!$G183/'Automated raw'!$H183,"incomplete")</f>
        <v>0.21195652173913043</v>
      </c>
      <c r="P381" s="44">
        <f>'Automated raw'!$F183</f>
        <v>61</v>
      </c>
      <c r="Q381" s="47">
        <f>IFERROR('Automated raw'!$P183*'Automated raw'!$L183,0)</f>
        <v>112052</v>
      </c>
      <c r="R381" s="44" t="str">
        <f>IF('Automated raw'!$O183&gt;=60%,"High",IF('Automated raw'!$O183&gt;=30%,"Avg",IF('Automated raw'!$O183&lt;30%,"Dead Stock","Incomplete")))</f>
        <v>Avg</v>
      </c>
      <c r="S381" s="48" t="str">
        <f>TEXT('Automated raw'!$B183,"mmm")</f>
        <v>Jan</v>
      </c>
      <c r="T381" s="83">
        <f>'Automated raw'!$G183*'Automated raw'!$M183</f>
        <v>56472</v>
      </c>
      <c r="U381" s="6">
        <f>IFERROR((Table7[[#This Row],[Stock In(Total)]]+Table7[[#This Row],[In Stock or Remaining]])/2,"-")</f>
        <v>81.5</v>
      </c>
      <c r="V381" s="93">
        <f>IFERROR(Table7[[#This Row],[Stock_Out]]/Table7[[#This Row],[Avg Inventory]],"-")</f>
        <v>0.78527607361963192</v>
      </c>
      <c r="W381" s="6"/>
      <c r="X381" s="6"/>
      <c r="Y381" s="6"/>
      <c r="Z381" s="6"/>
      <c r="AA381" s="6"/>
      <c r="AB381" s="6"/>
      <c r="AC381" s="6"/>
      <c r="AD381" s="6"/>
      <c r="AE381" s="6"/>
      <c r="AF381" s="6"/>
      <c r="AG381" s="6"/>
      <c r="AH381" s="6"/>
      <c r="AI381" s="6"/>
      <c r="AJ381" s="6"/>
      <c r="AK381" s="6"/>
      <c r="AL381" t="s">
        <v>83</v>
      </c>
      <c r="AM381">
        <v>45450</v>
      </c>
      <c r="AN381" t="s">
        <v>53</v>
      </c>
      <c r="AO381" t="s">
        <v>13</v>
      </c>
      <c r="AP381" t="s">
        <v>33</v>
      </c>
      <c r="AQ381">
        <v>145</v>
      </c>
      <c r="AR381">
        <v>119</v>
      </c>
      <c r="AS381">
        <v>264</v>
      </c>
      <c r="AT381">
        <v>297</v>
      </c>
      <c r="AU381">
        <v>56</v>
      </c>
      <c r="AV381">
        <v>6</v>
      </c>
      <c r="AW381">
        <v>1281</v>
      </c>
      <c r="AX381">
        <v>2431</v>
      </c>
      <c r="AY381">
        <v>0.45075757575757575</v>
      </c>
      <c r="AZ381">
        <v>0.45075757575757575</v>
      </c>
      <c r="BA381">
        <v>145</v>
      </c>
      <c r="BB381">
        <v>185745</v>
      </c>
      <c r="BC381" t="s">
        <v>551</v>
      </c>
      <c r="BD381" t="s">
        <v>559</v>
      </c>
      <c r="BE381" s="5">
        <v>289289</v>
      </c>
    </row>
    <row r="382" spans="1:57" x14ac:dyDescent="0.3">
      <c r="A382" s="38" t="s">
        <v>415</v>
      </c>
      <c r="B382" s="39">
        <v>45305</v>
      </c>
      <c r="C382" s="38" t="s">
        <v>16</v>
      </c>
      <c r="D382" s="38" t="s">
        <v>20</v>
      </c>
      <c r="E382" s="38" t="s">
        <v>23</v>
      </c>
      <c r="F382" s="40">
        <v>15</v>
      </c>
      <c r="G382" s="38">
        <v>81</v>
      </c>
      <c r="H382" s="38">
        <f>IFERROR('Automated raw'!$F382+'Automated raw'!$G382,"-")</f>
        <v>96</v>
      </c>
      <c r="I382" s="38">
        <v>261</v>
      </c>
      <c r="J382" s="38">
        <v>44</v>
      </c>
      <c r="K382" s="38">
        <v>3</v>
      </c>
      <c r="L382" s="38">
        <v>598</v>
      </c>
      <c r="M382" s="38">
        <v>1359</v>
      </c>
      <c r="N382" s="38">
        <f>'Automated raw'!$G382/'Automated raw'!$H382</f>
        <v>0.84375</v>
      </c>
      <c r="O382" s="41">
        <f>IFERROR('Automated raw'!$G382/'Automated raw'!$H382,"incomplete")</f>
        <v>0.84375</v>
      </c>
      <c r="P382" s="38">
        <f>'Automated raw'!$F382</f>
        <v>15</v>
      </c>
      <c r="Q382" s="42">
        <f>IFERROR('Automated raw'!$P382*'Automated raw'!$L382,0)</f>
        <v>8970</v>
      </c>
      <c r="R382" s="38" t="str">
        <f>IF('Automated raw'!$O382&gt;=60%,"High",IF('Automated raw'!$O382&gt;=30%,"Avg",IF('Automated raw'!$O382&lt;30%,"Dead Stock","Incomplete")))</f>
        <v>High</v>
      </c>
      <c r="S382" s="43" t="str">
        <f>TEXT('Automated raw'!$B382,"mmm")</f>
        <v>Jan</v>
      </c>
      <c r="T382" s="82">
        <f>'Automated raw'!$G382*'Automated raw'!$M382</f>
        <v>110079</v>
      </c>
      <c r="U382" s="6">
        <f>IFERROR((Table7[[#This Row],[Stock In(Total)]]+Table7[[#This Row],[In Stock or Remaining]])/2,"-")</f>
        <v>55.5</v>
      </c>
      <c r="V382" s="93">
        <f>IFERROR(Table7[[#This Row],[Stock_Out]]/Table7[[#This Row],[Avg Inventory]],"-")</f>
        <v>1.4594594594594594</v>
      </c>
      <c r="W382" s="6"/>
      <c r="X382" s="6"/>
      <c r="Y382" s="6"/>
      <c r="Z382" s="6"/>
      <c r="AA382" s="6"/>
      <c r="AB382" s="6"/>
      <c r="AC382" s="6"/>
      <c r="AD382" s="6"/>
      <c r="AE382" s="6"/>
      <c r="AF382" s="6"/>
      <c r="AG382" s="6"/>
      <c r="AH382" s="6"/>
      <c r="AI382" s="6"/>
      <c r="AJ382" s="6"/>
      <c r="AK382" s="6"/>
      <c r="AL382" t="s">
        <v>84</v>
      </c>
      <c r="AM382">
        <v>45367</v>
      </c>
      <c r="AN382" t="s">
        <v>26</v>
      </c>
      <c r="AO382" t="s">
        <v>20</v>
      </c>
      <c r="AP382" t="s">
        <v>33</v>
      </c>
      <c r="AQ382">
        <v>137</v>
      </c>
      <c r="AR382">
        <v>92</v>
      </c>
      <c r="AS382">
        <v>229</v>
      </c>
      <c r="AT382">
        <v>79</v>
      </c>
      <c r="AU382">
        <v>60</v>
      </c>
      <c r="AV382">
        <v>11</v>
      </c>
      <c r="AW382">
        <v>537</v>
      </c>
      <c r="AX382">
        <v>1905</v>
      </c>
      <c r="AY382">
        <v>0.40174672489082969</v>
      </c>
      <c r="AZ382">
        <v>0.40174672489082969</v>
      </c>
      <c r="BA382">
        <v>137</v>
      </c>
      <c r="BB382">
        <v>73569</v>
      </c>
      <c r="BC382" t="s">
        <v>551</v>
      </c>
      <c r="BD382" t="s">
        <v>562</v>
      </c>
      <c r="BE382">
        <v>175260</v>
      </c>
    </row>
    <row r="383" spans="1:57" x14ac:dyDescent="0.3">
      <c r="A383" s="38" t="s">
        <v>49</v>
      </c>
      <c r="B383" s="39">
        <v>45598</v>
      </c>
      <c r="C383" s="38" t="s">
        <v>50</v>
      </c>
      <c r="D383" s="38" t="s">
        <v>20</v>
      </c>
      <c r="E383" s="38" t="s">
        <v>33</v>
      </c>
      <c r="F383" s="40">
        <v>115</v>
      </c>
      <c r="G383" s="38">
        <v>117</v>
      </c>
      <c r="H383" s="38">
        <f>IFERROR('Automated raw'!$F24+'Automated raw'!$G24,"-")</f>
        <v>100</v>
      </c>
      <c r="I383" s="38">
        <v>1</v>
      </c>
      <c r="J383" s="38">
        <v>45</v>
      </c>
      <c r="K383" s="38">
        <v>11</v>
      </c>
      <c r="L383" s="38">
        <v>596</v>
      </c>
      <c r="M383" s="38">
        <v>774</v>
      </c>
      <c r="N383" s="38">
        <f>'Automated raw'!$G24/'Automated raw'!$H24</f>
        <v>0.17032967032967034</v>
      </c>
      <c r="O383" s="41">
        <f>IFERROR('Automated raw'!$G24/'Automated raw'!$H24,"incomplete")</f>
        <v>0.17032967032967034</v>
      </c>
      <c r="P383" s="38">
        <f>'Automated raw'!$F24</f>
        <v>69</v>
      </c>
      <c r="Q383" s="42">
        <f>IFERROR('Automated raw'!$P24*'Automated raw'!$L24,0)</f>
        <v>172304</v>
      </c>
      <c r="R383" s="38" t="str">
        <f>IF('Automated raw'!$O24&gt;=60%,"High",IF('Automated raw'!$O24&gt;=30%,"Avg",IF('Automated raw'!$O24&lt;30%,"Dead Stock","Incomplete")))</f>
        <v>High</v>
      </c>
      <c r="S383" s="43" t="str">
        <f>TEXT('Automated raw'!$B24,"mmm")</f>
        <v>Apr</v>
      </c>
      <c r="T383" s="82">
        <f>'Automated raw'!$G24*'Automated raw'!$M24</f>
        <v>100812</v>
      </c>
      <c r="U383" s="6">
        <f>IFERROR((Table7[[#This Row],[Stock In(Total)]]+Table7[[#This Row],[In Stock or Remaining]])/2,"-")</f>
        <v>107.5</v>
      </c>
      <c r="V383" s="93">
        <f>IFERROR(Table7[[#This Row],[Stock_Out]]/Table7[[#This Row],[Avg Inventory]],"-")</f>
        <v>1.0883720930232559</v>
      </c>
      <c r="W383" s="6"/>
      <c r="X383" s="6"/>
      <c r="Y383" s="6"/>
      <c r="Z383" s="6"/>
      <c r="AA383" s="6"/>
      <c r="AB383" s="6"/>
      <c r="AC383" s="6"/>
      <c r="AD383" s="6"/>
      <c r="AE383" s="6"/>
      <c r="AF383" s="6"/>
      <c r="AG383" s="6"/>
      <c r="AH383" s="6"/>
      <c r="AI383" s="6"/>
      <c r="AJ383" s="6"/>
      <c r="AK383" s="6"/>
      <c r="AL383" t="s">
        <v>85</v>
      </c>
      <c r="AM383">
        <v>45575</v>
      </c>
      <c r="AN383" t="s">
        <v>16</v>
      </c>
      <c r="AO383" t="s">
        <v>20</v>
      </c>
      <c r="AP383" t="s">
        <v>21</v>
      </c>
      <c r="AQ383">
        <v>72</v>
      </c>
      <c r="AR383">
        <v>90</v>
      </c>
      <c r="AS383">
        <v>162</v>
      </c>
      <c r="AT383">
        <v>208</v>
      </c>
      <c r="AU383">
        <v>77</v>
      </c>
      <c r="AV383">
        <v>10</v>
      </c>
      <c r="AW383">
        <v>1226</v>
      </c>
      <c r="AX383">
        <v>2446</v>
      </c>
      <c r="AY383">
        <v>0.55555555555555558</v>
      </c>
      <c r="AZ383">
        <v>0.55555555555555558</v>
      </c>
      <c r="BA383">
        <v>72</v>
      </c>
      <c r="BB383">
        <v>88272</v>
      </c>
      <c r="BC383" t="s">
        <v>551</v>
      </c>
      <c r="BD383" t="s">
        <v>565</v>
      </c>
      <c r="BE383">
        <v>220140</v>
      </c>
    </row>
    <row r="384" spans="1:57" x14ac:dyDescent="0.3">
      <c r="A384" s="38" t="s">
        <v>433</v>
      </c>
      <c r="B384" s="39">
        <v>45370</v>
      </c>
      <c r="C384" s="38" t="s">
        <v>26</v>
      </c>
      <c r="D384" s="38" t="s">
        <v>20</v>
      </c>
      <c r="E384" s="38" t="s">
        <v>21</v>
      </c>
      <c r="F384" s="40">
        <v>73</v>
      </c>
      <c r="G384" s="38">
        <v>75</v>
      </c>
      <c r="H384" s="38">
        <f>IFERROR('Automated raw'!$F400+'Automated raw'!$G400,"-")</f>
        <v>121</v>
      </c>
      <c r="I384" s="38">
        <v>248</v>
      </c>
      <c r="J384" s="38">
        <v>30</v>
      </c>
      <c r="K384" s="38">
        <v>3</v>
      </c>
      <c r="L384" s="38">
        <v>1121</v>
      </c>
      <c r="M384" s="38">
        <v>2543</v>
      </c>
      <c r="N384" s="38">
        <f>'Automated raw'!$G400/'Automated raw'!$H400</f>
        <v>0.39743589743589741</v>
      </c>
      <c r="O384" s="41">
        <f>IFERROR('Automated raw'!$G400/'Automated raw'!$H400,"incomplete")</f>
        <v>0.39743589743589741</v>
      </c>
      <c r="P384" s="38">
        <f>'Automated raw'!$F400</f>
        <v>59</v>
      </c>
      <c r="Q384" s="42">
        <f>IFERROR('Automated raw'!$P400*'Automated raw'!$L400,0)</f>
        <v>66568</v>
      </c>
      <c r="R384" s="38" t="str">
        <f>IF('Automated raw'!$O400&gt;=60%,"High",IF('Automated raw'!$O400&gt;=30%,"Avg",IF('Automated raw'!$O400&lt;30%,"Dead Stock","Incomplete")))</f>
        <v>Avg</v>
      </c>
      <c r="S384" s="43" t="str">
        <f>TEXT('Automated raw'!$B400,"mmm")</f>
        <v>Jan</v>
      </c>
      <c r="T384" s="82">
        <f>'Automated raw'!$G400*'Automated raw'!$M400</f>
        <v>69688</v>
      </c>
      <c r="U384" s="6">
        <f>IFERROR((Table7[[#This Row],[Stock In(Total)]]+Table7[[#This Row],[In Stock or Remaining]])/2,"-")</f>
        <v>97</v>
      </c>
      <c r="V384" s="93">
        <f>IFERROR(Table7[[#This Row],[Stock_Out]]/Table7[[#This Row],[Avg Inventory]],"-")</f>
        <v>0.77319587628865982</v>
      </c>
      <c r="W384" s="6"/>
      <c r="X384" s="6"/>
      <c r="Y384" s="6"/>
      <c r="Z384" s="6"/>
      <c r="AA384" s="6"/>
      <c r="AB384" s="6"/>
      <c r="AC384" s="6"/>
      <c r="AD384" s="6"/>
      <c r="AE384" s="6"/>
      <c r="AF384" s="6"/>
      <c r="AG384" s="6"/>
      <c r="AH384" s="6"/>
      <c r="AI384" s="6"/>
      <c r="AJ384" s="6"/>
      <c r="AK384" s="6"/>
      <c r="AL384" t="s">
        <v>89</v>
      </c>
      <c r="AM384">
        <v>45320</v>
      </c>
      <c r="AN384" t="s">
        <v>30</v>
      </c>
      <c r="AO384" t="s">
        <v>17</v>
      </c>
      <c r="AP384" t="s">
        <v>38</v>
      </c>
      <c r="AQ384">
        <v>43</v>
      </c>
      <c r="AR384">
        <v>32</v>
      </c>
      <c r="AS384">
        <v>75</v>
      </c>
      <c r="AT384">
        <v>21</v>
      </c>
      <c r="AU384">
        <v>74</v>
      </c>
      <c r="AV384">
        <v>7</v>
      </c>
      <c r="AW384">
        <v>527</v>
      </c>
      <c r="AX384">
        <v>1368</v>
      </c>
      <c r="AY384">
        <v>0.42666666666666669</v>
      </c>
      <c r="AZ384">
        <v>0.42666666666666669</v>
      </c>
      <c r="BA384">
        <v>43</v>
      </c>
      <c r="BB384">
        <v>22661</v>
      </c>
      <c r="BC384" t="s">
        <v>551</v>
      </c>
      <c r="BD384" t="s">
        <v>557</v>
      </c>
      <c r="BE384">
        <v>43776</v>
      </c>
    </row>
    <row r="385" spans="1:57" x14ac:dyDescent="0.3">
      <c r="A385" s="38" t="s">
        <v>379</v>
      </c>
      <c r="B385" s="39">
        <v>45548</v>
      </c>
      <c r="C385" s="38" t="s">
        <v>12</v>
      </c>
      <c r="D385" s="38" t="s">
        <v>13</v>
      </c>
      <c r="E385" s="38" t="s">
        <v>14</v>
      </c>
      <c r="F385" s="40">
        <v>105</v>
      </c>
      <c r="G385" s="38">
        <v>108</v>
      </c>
      <c r="H385" s="38">
        <f>IFERROR('Automated raw'!$F346+'Automated raw'!$G346,"-")</f>
        <v>216</v>
      </c>
      <c r="I385" s="38">
        <v>159</v>
      </c>
      <c r="J385" s="38">
        <v>35</v>
      </c>
      <c r="K385" s="38">
        <v>7</v>
      </c>
      <c r="L385" s="38">
        <v>613</v>
      </c>
      <c r="M385" s="38">
        <v>1471</v>
      </c>
      <c r="N385" s="38">
        <f>'Automated raw'!$G346/'Automated raw'!$H346</f>
        <v>0.61676646706586824</v>
      </c>
      <c r="O385" s="41">
        <f>IFERROR('Automated raw'!$G346/'Automated raw'!$H346,"incomplete")</f>
        <v>0.61676646706586824</v>
      </c>
      <c r="P385" s="38">
        <f>'Automated raw'!$F346</f>
        <v>113</v>
      </c>
      <c r="Q385" s="42">
        <f>IFERROR('Automated raw'!$P346*'Automated raw'!$L346,0)</f>
        <v>59908</v>
      </c>
      <c r="R385" s="38" t="str">
        <f>IF('Automated raw'!$O346&gt;=60%,"High",IF('Automated raw'!$O346&gt;=30%,"Avg",IF('Automated raw'!$O346&lt;30%,"Dead Stock","Incomplete")))</f>
        <v>High</v>
      </c>
      <c r="S385" s="43" t="str">
        <f>TEXT('Automated raw'!$B346,"mmm")</f>
        <v>Apr</v>
      </c>
      <c r="T385" s="82">
        <f>'Automated raw'!$G346*'Automated raw'!$M346</f>
        <v>231750</v>
      </c>
      <c r="U385" s="6">
        <f>IFERROR((Table7[[#This Row],[Stock In(Total)]]+Table7[[#This Row],[In Stock or Remaining]])/2,"-")</f>
        <v>160.5</v>
      </c>
      <c r="V385" s="93">
        <f>IFERROR(Table7[[#This Row],[Stock_Out]]/Table7[[#This Row],[Avg Inventory]],"-")</f>
        <v>0.67289719626168221</v>
      </c>
      <c r="W385" s="6"/>
      <c r="X385" s="6"/>
      <c r="Y385" s="6"/>
      <c r="Z385" s="6"/>
      <c r="AA385" s="6"/>
      <c r="AB385" s="6"/>
      <c r="AC385" s="6"/>
      <c r="AD385" s="6"/>
      <c r="AE385" s="6"/>
      <c r="AF385" s="6"/>
      <c r="AG385" s="6"/>
      <c r="AH385" s="6"/>
      <c r="AI385" s="6"/>
      <c r="AJ385" s="6"/>
      <c r="AK385" s="6"/>
      <c r="AL385" t="s">
        <v>91</v>
      </c>
      <c r="AM385">
        <v>45498</v>
      </c>
      <c r="AN385" t="s">
        <v>26</v>
      </c>
      <c r="AO385" t="s">
        <v>13</v>
      </c>
      <c r="AP385" t="s">
        <v>14</v>
      </c>
      <c r="AQ385">
        <v>137</v>
      </c>
      <c r="AR385">
        <v>64</v>
      </c>
      <c r="AS385">
        <v>201</v>
      </c>
      <c r="AT385">
        <v>148</v>
      </c>
      <c r="AU385">
        <v>66</v>
      </c>
      <c r="AV385">
        <v>14</v>
      </c>
      <c r="AW385">
        <v>321</v>
      </c>
      <c r="AX385">
        <v>650</v>
      </c>
      <c r="AY385">
        <v>0.31840796019900497</v>
      </c>
      <c r="AZ385">
        <v>0.31840796019900497</v>
      </c>
      <c r="BA385">
        <v>137</v>
      </c>
      <c r="BB385">
        <v>43977</v>
      </c>
      <c r="BC385" t="s">
        <v>551</v>
      </c>
      <c r="BD385" t="s">
        <v>556</v>
      </c>
      <c r="BE385">
        <v>41600</v>
      </c>
    </row>
    <row r="386" spans="1:57" x14ac:dyDescent="0.3">
      <c r="A386" s="38" t="s">
        <v>419</v>
      </c>
      <c r="B386" s="39">
        <v>45310</v>
      </c>
      <c r="C386" s="38" t="s">
        <v>12</v>
      </c>
      <c r="D386" s="38" t="s">
        <v>17</v>
      </c>
      <c r="E386" s="38" t="s">
        <v>23</v>
      </c>
      <c r="F386" s="40">
        <v>110</v>
      </c>
      <c r="G386" s="38">
        <v>10</v>
      </c>
      <c r="H386" s="38">
        <f>IFERROR('Automated raw'!$F386+'Automated raw'!$G386,"-")</f>
        <v>120</v>
      </c>
      <c r="I386" s="38">
        <v>185</v>
      </c>
      <c r="J386" s="38">
        <v>56</v>
      </c>
      <c r="K386" s="38">
        <v>11</v>
      </c>
      <c r="L386" s="38">
        <v>1081</v>
      </c>
      <c r="M386" s="38">
        <v>1541</v>
      </c>
      <c r="N386" s="38">
        <f>'Automated raw'!$G386/'Automated raw'!$H386</f>
        <v>8.3333333333333329E-2</v>
      </c>
      <c r="O386" s="41">
        <f>IFERROR('Automated raw'!$G386/'Automated raw'!$H386,"incomplete")</f>
        <v>8.3333333333333329E-2</v>
      </c>
      <c r="P386" s="38">
        <f>'Automated raw'!$F386</f>
        <v>110</v>
      </c>
      <c r="Q386" s="42">
        <f>IFERROR('Automated raw'!$P386*'Automated raw'!$L386,0)</f>
        <v>118910</v>
      </c>
      <c r="R386" s="38" t="str">
        <f>IF('Automated raw'!$O386&gt;=60%,"High",IF('Automated raw'!$O386&gt;=30%,"Avg",IF('Automated raw'!$O386&lt;30%,"Dead Stock","Incomplete")))</f>
        <v>Dead Stock</v>
      </c>
      <c r="S386" s="43" t="str">
        <f>TEXT('Automated raw'!$B386,"mmm")</f>
        <v>Jan</v>
      </c>
      <c r="T386" s="82">
        <f>'Automated raw'!$G386*'Automated raw'!$M386</f>
        <v>15410</v>
      </c>
      <c r="U386" s="6">
        <f>IFERROR((Table7[[#This Row],[Stock In(Total)]]+Table7[[#This Row],[In Stock or Remaining]])/2,"-")</f>
        <v>115</v>
      </c>
      <c r="V386" s="93">
        <f>IFERROR(Table7[[#This Row],[Stock_Out]]/Table7[[#This Row],[Avg Inventory]],"-")</f>
        <v>8.6956521739130432E-2</v>
      </c>
      <c r="W386" s="6"/>
      <c r="X386" s="6"/>
      <c r="Y386" s="6"/>
      <c r="Z386" s="6"/>
      <c r="AA386" s="6"/>
      <c r="AB386" s="6"/>
      <c r="AC386" s="6"/>
      <c r="AD386" s="6"/>
      <c r="AE386" s="6"/>
      <c r="AF386" s="6"/>
      <c r="AG386" s="6"/>
      <c r="AH386" s="6"/>
      <c r="AI386" s="6"/>
      <c r="AJ386" s="6"/>
      <c r="AK386" s="6"/>
      <c r="AL386" t="s">
        <v>95</v>
      </c>
      <c r="AM386">
        <v>45389</v>
      </c>
      <c r="AN386" t="s">
        <v>16</v>
      </c>
      <c r="AO386" t="s">
        <v>20</v>
      </c>
      <c r="AP386" t="s">
        <v>38</v>
      </c>
      <c r="AQ386">
        <v>147</v>
      </c>
      <c r="AR386">
        <v>100</v>
      </c>
      <c r="AS386">
        <v>247</v>
      </c>
      <c r="AT386">
        <v>2</v>
      </c>
      <c r="AU386">
        <v>35</v>
      </c>
      <c r="AV386">
        <v>3</v>
      </c>
      <c r="AW386">
        <v>1963</v>
      </c>
      <c r="AX386">
        <v>3359</v>
      </c>
      <c r="AY386">
        <v>0.40485829959514169</v>
      </c>
      <c r="AZ386">
        <v>0.40485829959514169</v>
      </c>
      <c r="BA386">
        <v>147</v>
      </c>
      <c r="BB386">
        <v>288561</v>
      </c>
      <c r="BC386" t="s">
        <v>551</v>
      </c>
      <c r="BD386" t="s">
        <v>558</v>
      </c>
      <c r="BE386" s="5">
        <v>335900</v>
      </c>
    </row>
    <row r="387" spans="1:57" x14ac:dyDescent="0.3">
      <c r="A387" s="44" t="s">
        <v>530</v>
      </c>
      <c r="B387" s="45">
        <v>45641</v>
      </c>
      <c r="C387" s="44" t="s">
        <v>12</v>
      </c>
      <c r="D387" s="44" t="s">
        <v>20</v>
      </c>
      <c r="E387" s="44" t="s">
        <v>33</v>
      </c>
      <c r="F387" s="40">
        <v>58</v>
      </c>
      <c r="G387" s="44">
        <v>60</v>
      </c>
      <c r="H387" s="44">
        <f>IFERROR('Automated raw'!$F497+'Automated raw'!$G497,"-")</f>
        <v>101</v>
      </c>
      <c r="I387" s="44">
        <v>210</v>
      </c>
      <c r="J387" s="44">
        <v>31</v>
      </c>
      <c r="K387" s="44">
        <v>5</v>
      </c>
      <c r="L387" s="44">
        <v>1000</v>
      </c>
      <c r="M387" s="44">
        <v>2479</v>
      </c>
      <c r="N387" s="44">
        <f>'Automated raw'!$G497/'Automated raw'!$H497</f>
        <v>0.5714285714285714</v>
      </c>
      <c r="O387" s="46">
        <f>IFERROR('Automated raw'!$G497/'Automated raw'!$H497,"incomplete")</f>
        <v>0.5714285714285714</v>
      </c>
      <c r="P387" s="44">
        <f>'Automated raw'!$F497</f>
        <v>41</v>
      </c>
      <c r="Q387" s="47">
        <f>IFERROR('Automated raw'!$P497*'Automated raw'!$L497,0)</f>
        <v>99426</v>
      </c>
      <c r="R387" s="44" t="str">
        <f>IF('Automated raw'!$O497&gt;=60%,"High",IF('Automated raw'!$O497&gt;=30%,"Avg",IF('Automated raw'!$O497&lt;30%,"Dead Stock","Incomplete")))</f>
        <v>Dead Stock</v>
      </c>
      <c r="S387" s="48" t="str">
        <f>TEXT('Automated raw'!$B497,"mmm")</f>
        <v>Jul</v>
      </c>
      <c r="T387" s="83">
        <f>'Automated raw'!$G497*'Automated raw'!$M497</f>
        <v>119280</v>
      </c>
      <c r="U387" s="6">
        <f>IFERROR((Table7[[#This Row],[Stock In(Total)]]+Table7[[#This Row],[In Stock or Remaining]])/2,"-")</f>
        <v>79.5</v>
      </c>
      <c r="V387" s="93">
        <f>IFERROR(Table7[[#This Row],[Stock_Out]]/Table7[[#This Row],[Avg Inventory]],"-")</f>
        <v>0.75471698113207553</v>
      </c>
      <c r="W387" s="6"/>
      <c r="X387" s="6"/>
      <c r="Y387" s="6"/>
      <c r="Z387" s="6"/>
      <c r="AA387" s="6"/>
      <c r="AB387" s="6"/>
      <c r="AC387" s="6"/>
      <c r="AD387" s="6"/>
      <c r="AE387" s="6"/>
      <c r="AF387" s="6"/>
      <c r="AG387" s="6"/>
      <c r="AH387" s="6"/>
      <c r="AI387" s="6"/>
      <c r="AJ387" s="6"/>
      <c r="AK387" s="6"/>
      <c r="AL387" t="s">
        <v>96</v>
      </c>
      <c r="AM387">
        <v>45593</v>
      </c>
      <c r="AN387" t="s">
        <v>53</v>
      </c>
      <c r="AO387" t="s">
        <v>17</v>
      </c>
      <c r="AP387" t="s">
        <v>38</v>
      </c>
      <c r="AQ387">
        <v>97</v>
      </c>
      <c r="AR387">
        <v>60</v>
      </c>
      <c r="AS387">
        <v>157</v>
      </c>
      <c r="AT387">
        <v>170</v>
      </c>
      <c r="AU387">
        <v>32</v>
      </c>
      <c r="AV387">
        <v>10</v>
      </c>
      <c r="AW387">
        <v>316</v>
      </c>
      <c r="AX387">
        <v>876</v>
      </c>
      <c r="AY387">
        <v>0.38216560509554143</v>
      </c>
      <c r="AZ387">
        <v>0.38216560509554143</v>
      </c>
      <c r="BA387">
        <v>97</v>
      </c>
      <c r="BB387">
        <v>30652</v>
      </c>
      <c r="BC387" t="s">
        <v>551</v>
      </c>
      <c r="BD387" t="s">
        <v>565</v>
      </c>
      <c r="BE387">
        <v>52560</v>
      </c>
    </row>
    <row r="388" spans="1:57" x14ac:dyDescent="0.3">
      <c r="A388" s="38" t="s">
        <v>421</v>
      </c>
      <c r="B388" s="39">
        <v>45469</v>
      </c>
      <c r="C388" s="38" t="s">
        <v>37</v>
      </c>
      <c r="D388" s="38" t="s">
        <v>17</v>
      </c>
      <c r="E388" s="38" t="s">
        <v>33</v>
      </c>
      <c r="F388" s="40">
        <v>22</v>
      </c>
      <c r="G388" s="38">
        <v>1</v>
      </c>
      <c r="H388" s="38">
        <f>IFERROR('Automated raw'!$F388+'Automated raw'!$G388,"-")</f>
        <v>23</v>
      </c>
      <c r="I388" s="38">
        <v>155</v>
      </c>
      <c r="J388" s="38">
        <v>62</v>
      </c>
      <c r="K388" s="38">
        <v>2</v>
      </c>
      <c r="L388" s="38">
        <v>609</v>
      </c>
      <c r="M388" s="38">
        <v>1240</v>
      </c>
      <c r="N388" s="38">
        <f>'Automated raw'!$G388/'Automated raw'!$H388</f>
        <v>4.3478260869565216E-2</v>
      </c>
      <c r="O388" s="41">
        <f>IFERROR('Automated raw'!$G388/'Automated raw'!$H388,"incomplete")</f>
        <v>4.3478260869565216E-2</v>
      </c>
      <c r="P388" s="38">
        <f>'Automated raw'!$F388</f>
        <v>22</v>
      </c>
      <c r="Q388" s="42">
        <f>IFERROR('Automated raw'!$P388*'Automated raw'!$L388,0)</f>
        <v>13398</v>
      </c>
      <c r="R388" s="38" t="str">
        <f>IF('Automated raw'!$O388&gt;=60%,"High",IF('Automated raw'!$O388&gt;=30%,"Avg",IF('Automated raw'!$O388&lt;30%,"Dead Stock","Incomplete")))</f>
        <v>Dead Stock</v>
      </c>
      <c r="S388" s="43" t="str">
        <f>TEXT('Automated raw'!$B388,"mmm")</f>
        <v>Jun</v>
      </c>
      <c r="T388" s="82">
        <f>'Automated raw'!$G388*'Automated raw'!$M388</f>
        <v>1240</v>
      </c>
      <c r="U388" s="6">
        <f>IFERROR((Table7[[#This Row],[Stock In(Total)]]+Table7[[#This Row],[In Stock or Remaining]])/2,"-")</f>
        <v>22.5</v>
      </c>
      <c r="V388" s="93">
        <f>IFERROR(Table7[[#This Row],[Stock_Out]]/Table7[[#This Row],[Avg Inventory]],"-")</f>
        <v>4.4444444444444446E-2</v>
      </c>
      <c r="W388" s="6"/>
      <c r="X388" s="6"/>
      <c r="Y388" s="6"/>
      <c r="Z388" s="6"/>
      <c r="AA388" s="6"/>
      <c r="AB388" s="6"/>
      <c r="AC388" s="6"/>
      <c r="AD388" s="6"/>
      <c r="AE388" s="6"/>
      <c r="AF388" s="6"/>
      <c r="AG388" s="6"/>
      <c r="AH388" s="6"/>
      <c r="AI388" s="6"/>
      <c r="AJ388" s="6"/>
      <c r="AK388" s="6"/>
      <c r="AL388" t="s">
        <v>97</v>
      </c>
      <c r="AM388">
        <v>45448</v>
      </c>
      <c r="AN388" t="s">
        <v>19</v>
      </c>
      <c r="AO388" t="s">
        <v>13</v>
      </c>
      <c r="AP388" t="s">
        <v>21</v>
      </c>
      <c r="AQ388">
        <v>61</v>
      </c>
      <c r="AR388">
        <v>49</v>
      </c>
      <c r="AS388">
        <v>110</v>
      </c>
      <c r="AT388">
        <v>18</v>
      </c>
      <c r="AU388">
        <v>66</v>
      </c>
      <c r="AV388">
        <v>10</v>
      </c>
      <c r="AW388">
        <v>1761</v>
      </c>
      <c r="AX388">
        <v>2872</v>
      </c>
      <c r="AY388">
        <v>0.44545454545454544</v>
      </c>
      <c r="AZ388">
        <v>0.44545454545454544</v>
      </c>
      <c r="BA388">
        <v>61</v>
      </c>
      <c r="BB388">
        <v>107421</v>
      </c>
      <c r="BC388" t="s">
        <v>551</v>
      </c>
      <c r="BD388" t="s">
        <v>559</v>
      </c>
      <c r="BE388">
        <v>140728</v>
      </c>
    </row>
    <row r="389" spans="1:57" x14ac:dyDescent="0.3">
      <c r="A389" s="44" t="s">
        <v>422</v>
      </c>
      <c r="B389" s="45">
        <v>45328</v>
      </c>
      <c r="C389" s="44" t="s">
        <v>37</v>
      </c>
      <c r="D389" s="44" t="s">
        <v>20</v>
      </c>
      <c r="E389" s="44" t="s">
        <v>21</v>
      </c>
      <c r="F389" s="40">
        <v>59</v>
      </c>
      <c r="G389" s="44">
        <v>114</v>
      </c>
      <c r="H389" s="44">
        <f>IFERROR('Automated raw'!$F389+'Automated raw'!$G389,"-")</f>
        <v>173</v>
      </c>
      <c r="I389" s="44">
        <v>33</v>
      </c>
      <c r="J389" s="44">
        <v>37</v>
      </c>
      <c r="K389" s="44">
        <v>11</v>
      </c>
      <c r="L389" s="44">
        <v>1554</v>
      </c>
      <c r="M389" s="44">
        <v>1870</v>
      </c>
      <c r="N389" s="44">
        <f>'Automated raw'!$G389/'Automated raw'!$H389</f>
        <v>0.65895953757225434</v>
      </c>
      <c r="O389" s="46">
        <f>IFERROR('Automated raw'!$G389/'Automated raw'!$H389,"incomplete")</f>
        <v>0.65895953757225434</v>
      </c>
      <c r="P389" s="44">
        <f>'Automated raw'!$F389</f>
        <v>59</v>
      </c>
      <c r="Q389" s="47">
        <f>IFERROR('Automated raw'!$P389*'Automated raw'!$L389,0)</f>
        <v>91686</v>
      </c>
      <c r="R389" s="44" t="str">
        <f>IF('Automated raw'!$O389&gt;=60%,"High",IF('Automated raw'!$O389&gt;=30%,"Avg",IF('Automated raw'!$O389&lt;30%,"Dead Stock","Incomplete")))</f>
        <v>High</v>
      </c>
      <c r="S389" s="48" t="str">
        <f>TEXT('Automated raw'!$B389,"mmm")</f>
        <v>Feb</v>
      </c>
      <c r="T389" s="83">
        <f>'Automated raw'!$G389*'Automated raw'!$M389</f>
        <v>213180</v>
      </c>
      <c r="U389" s="6">
        <f>IFERROR((Table7[[#This Row],[Stock In(Total)]]+Table7[[#This Row],[In Stock or Remaining]])/2,"-")</f>
        <v>116</v>
      </c>
      <c r="V389" s="93">
        <f>IFERROR(Table7[[#This Row],[Stock_Out]]/Table7[[#This Row],[Avg Inventory]],"-")</f>
        <v>0.98275862068965514</v>
      </c>
      <c r="W389" s="6"/>
      <c r="X389" s="6"/>
      <c r="Y389" s="6"/>
      <c r="Z389" s="6"/>
      <c r="AA389" s="6"/>
      <c r="AB389" s="6"/>
      <c r="AC389" s="6"/>
      <c r="AD389" s="6"/>
      <c r="AE389" s="6"/>
      <c r="AF389" s="6"/>
      <c r="AG389" s="6"/>
      <c r="AH389" s="6"/>
      <c r="AI389" s="6"/>
      <c r="AJ389" s="6"/>
      <c r="AK389" s="6"/>
      <c r="AL389" t="s">
        <v>98</v>
      </c>
      <c r="AM389">
        <v>45358</v>
      </c>
      <c r="AN389" t="s">
        <v>30</v>
      </c>
      <c r="AO389" t="s">
        <v>17</v>
      </c>
      <c r="AP389" t="s">
        <v>21</v>
      </c>
      <c r="AQ389">
        <v>48</v>
      </c>
      <c r="AR389">
        <v>47</v>
      </c>
      <c r="AS389">
        <v>95</v>
      </c>
      <c r="AT389">
        <v>232</v>
      </c>
      <c r="AU389">
        <v>60</v>
      </c>
      <c r="AV389">
        <v>14</v>
      </c>
      <c r="AW389">
        <v>966</v>
      </c>
      <c r="AX389">
        <v>1255</v>
      </c>
      <c r="AY389">
        <v>0.49473684210526314</v>
      </c>
      <c r="AZ389">
        <v>0.49473684210526314</v>
      </c>
      <c r="BA389">
        <v>48</v>
      </c>
      <c r="BB389">
        <v>46368</v>
      </c>
      <c r="BC389" t="s">
        <v>551</v>
      </c>
      <c r="BD389" t="s">
        <v>562</v>
      </c>
      <c r="BE389">
        <v>58985</v>
      </c>
    </row>
    <row r="390" spans="1:57" x14ac:dyDescent="0.3">
      <c r="A390" s="38" t="s">
        <v>423</v>
      </c>
      <c r="B390" s="39">
        <v>45542</v>
      </c>
      <c r="C390" s="38" t="s">
        <v>19</v>
      </c>
      <c r="D390" s="38" t="s">
        <v>17</v>
      </c>
      <c r="E390" s="38" t="s">
        <v>23</v>
      </c>
      <c r="F390" s="40">
        <v>110</v>
      </c>
      <c r="G390" s="38">
        <v>2</v>
      </c>
      <c r="H390" s="38">
        <f>IFERROR('Automated raw'!$F390+'Automated raw'!$G390,"-")</f>
        <v>112</v>
      </c>
      <c r="I390" s="38">
        <v>80</v>
      </c>
      <c r="J390" s="38">
        <v>30</v>
      </c>
      <c r="K390" s="38">
        <v>4</v>
      </c>
      <c r="L390" s="38">
        <v>1170</v>
      </c>
      <c r="M390" s="38">
        <v>2248</v>
      </c>
      <c r="N390" s="38">
        <f>'Automated raw'!$G390/'Automated raw'!$H390</f>
        <v>1.7857142857142856E-2</v>
      </c>
      <c r="O390" s="41">
        <f>IFERROR('Automated raw'!$G390/'Automated raw'!$H390,"incomplete")</f>
        <v>1.7857142857142856E-2</v>
      </c>
      <c r="P390" s="38">
        <f>'Automated raw'!$F390</f>
        <v>110</v>
      </c>
      <c r="Q390" s="42">
        <f>IFERROR('Automated raw'!$P390*'Automated raw'!$L390,0)</f>
        <v>128700</v>
      </c>
      <c r="R390" s="38" t="str">
        <f>IF('Automated raw'!$O390&gt;=60%,"High",IF('Automated raw'!$O390&gt;=30%,"Avg",IF('Automated raw'!$O390&lt;30%,"Dead Stock","Incomplete")))</f>
        <v>Dead Stock</v>
      </c>
      <c r="S390" s="43" t="str">
        <f>TEXT('Automated raw'!$B390,"mmm")</f>
        <v>Sep</v>
      </c>
      <c r="T390" s="82">
        <f>'Automated raw'!$G390*'Automated raw'!$M390</f>
        <v>4496</v>
      </c>
      <c r="U390" s="6">
        <f>IFERROR((Table7[[#This Row],[Stock In(Total)]]+Table7[[#This Row],[In Stock or Remaining]])/2,"-")</f>
        <v>111</v>
      </c>
      <c r="V390" s="93">
        <f>IFERROR(Table7[[#This Row],[Stock_Out]]/Table7[[#This Row],[Avg Inventory]],"-")</f>
        <v>1.8018018018018018E-2</v>
      </c>
      <c r="W390" s="6"/>
      <c r="X390" s="6"/>
      <c r="Y390" s="6"/>
      <c r="Z390" s="6"/>
      <c r="AA390" s="6"/>
      <c r="AB390" s="6"/>
      <c r="AC390" s="6"/>
      <c r="AD390" s="6"/>
      <c r="AE390" s="6"/>
      <c r="AF390" s="6"/>
      <c r="AG390" s="6"/>
      <c r="AH390" s="6"/>
      <c r="AI390" s="6"/>
      <c r="AJ390" s="6"/>
      <c r="AK390" s="6"/>
      <c r="AL390" t="s">
        <v>99</v>
      </c>
      <c r="AM390">
        <v>45514</v>
      </c>
      <c r="AN390" t="s">
        <v>45</v>
      </c>
      <c r="AO390" t="s">
        <v>17</v>
      </c>
      <c r="AP390" t="s">
        <v>21</v>
      </c>
      <c r="AQ390">
        <v>71</v>
      </c>
      <c r="AR390">
        <v>87</v>
      </c>
      <c r="AS390">
        <v>158</v>
      </c>
      <c r="AT390">
        <v>71</v>
      </c>
      <c r="AU390">
        <v>76</v>
      </c>
      <c r="AV390">
        <v>11</v>
      </c>
      <c r="AW390">
        <v>1023</v>
      </c>
      <c r="AX390">
        <v>2007</v>
      </c>
      <c r="AY390">
        <v>0.55063291139240511</v>
      </c>
      <c r="AZ390">
        <v>0.55063291139240511</v>
      </c>
      <c r="BA390">
        <v>71</v>
      </c>
      <c r="BB390">
        <v>72633</v>
      </c>
      <c r="BC390" t="s">
        <v>551</v>
      </c>
      <c r="BD390" t="s">
        <v>554</v>
      </c>
      <c r="BE390">
        <v>174609</v>
      </c>
    </row>
    <row r="391" spans="1:57" x14ac:dyDescent="0.3">
      <c r="A391" s="44" t="s">
        <v>424</v>
      </c>
      <c r="B391" s="45">
        <v>45528</v>
      </c>
      <c r="C391" s="44" t="s">
        <v>37</v>
      </c>
      <c r="D391" s="44" t="s">
        <v>20</v>
      </c>
      <c r="E391" s="44" t="s">
        <v>38</v>
      </c>
      <c r="F391" s="40">
        <v>35</v>
      </c>
      <c r="G391" s="44">
        <v>9</v>
      </c>
      <c r="H391" s="44">
        <f>IFERROR('Automated raw'!$F391+'Automated raw'!$G391,"-")</f>
        <v>44</v>
      </c>
      <c r="I391" s="44">
        <v>31</v>
      </c>
      <c r="J391" s="44">
        <v>53</v>
      </c>
      <c r="K391" s="44">
        <v>3</v>
      </c>
      <c r="L391" s="44">
        <v>375</v>
      </c>
      <c r="M391" s="44">
        <v>1572</v>
      </c>
      <c r="N391" s="44">
        <f>'Automated raw'!$G391/'Automated raw'!$H391</f>
        <v>0.20454545454545456</v>
      </c>
      <c r="O391" s="46">
        <f>IFERROR('Automated raw'!$G391/'Automated raw'!$H391,"incomplete")</f>
        <v>0.20454545454545456</v>
      </c>
      <c r="P391" s="44">
        <f>'Automated raw'!$F391</f>
        <v>35</v>
      </c>
      <c r="Q391" s="47">
        <f>IFERROR('Automated raw'!$P391*'Automated raw'!$L391,0)</f>
        <v>13125</v>
      </c>
      <c r="R391" s="44" t="str">
        <f>IF('Automated raw'!$O391&gt;=60%,"High",IF('Automated raw'!$O391&gt;=30%,"Avg",IF('Automated raw'!$O391&lt;30%,"Dead Stock","Incomplete")))</f>
        <v>Dead Stock</v>
      </c>
      <c r="S391" s="48" t="str">
        <f>TEXT('Automated raw'!$B391,"mmm")</f>
        <v>Aug</v>
      </c>
      <c r="T391" s="83">
        <f>'Automated raw'!$G391*'Automated raw'!$M391</f>
        <v>14148</v>
      </c>
      <c r="U391" s="6">
        <f>IFERROR((Table7[[#This Row],[Stock In(Total)]]+Table7[[#This Row],[In Stock or Remaining]])/2,"-")</f>
        <v>39.5</v>
      </c>
      <c r="V391" s="93">
        <f>IFERROR(Table7[[#This Row],[Stock_Out]]/Table7[[#This Row],[Avg Inventory]],"-")</f>
        <v>0.22784810126582278</v>
      </c>
      <c r="W391" s="6"/>
      <c r="X391" s="6"/>
      <c r="Y391" s="6"/>
      <c r="Z391" s="6"/>
      <c r="AA391" s="6"/>
      <c r="AB391" s="6"/>
      <c r="AC391" s="6"/>
      <c r="AD391" s="6"/>
      <c r="AE391" s="6"/>
      <c r="AF391" s="6"/>
      <c r="AG391" s="6"/>
      <c r="AH391" s="6"/>
      <c r="AI391" s="6"/>
      <c r="AJ391" s="6"/>
      <c r="AK391" s="6"/>
      <c r="AL391" t="s">
        <v>101</v>
      </c>
      <c r="AM391">
        <v>45314</v>
      </c>
      <c r="AN391" t="s">
        <v>45</v>
      </c>
      <c r="AO391" t="s">
        <v>17</v>
      </c>
      <c r="AP391" t="s">
        <v>21</v>
      </c>
      <c r="AQ391">
        <v>112</v>
      </c>
      <c r="AR391">
        <v>96</v>
      </c>
      <c r="AS391">
        <v>208</v>
      </c>
      <c r="AT391">
        <v>193</v>
      </c>
      <c r="AU391">
        <v>56</v>
      </c>
      <c r="AV391">
        <v>8</v>
      </c>
      <c r="AW391">
        <v>1026</v>
      </c>
      <c r="AX391">
        <v>2049</v>
      </c>
      <c r="AY391">
        <v>0.46153846153846156</v>
      </c>
      <c r="AZ391">
        <v>0.46153846153846156</v>
      </c>
      <c r="BA391">
        <v>112</v>
      </c>
      <c r="BB391">
        <v>114912</v>
      </c>
      <c r="BC391" t="s">
        <v>551</v>
      </c>
      <c r="BD391" t="s">
        <v>557</v>
      </c>
      <c r="BE391">
        <v>196704</v>
      </c>
    </row>
    <row r="392" spans="1:57" x14ac:dyDescent="0.3">
      <c r="A392" s="38" t="s">
        <v>425</v>
      </c>
      <c r="B392" s="39">
        <v>45548</v>
      </c>
      <c r="C392" s="38" t="s">
        <v>329</v>
      </c>
      <c r="D392" s="38" t="s">
        <v>13</v>
      </c>
      <c r="E392" s="38" t="s">
        <v>23</v>
      </c>
      <c r="F392" s="40">
        <v>12</v>
      </c>
      <c r="G392" s="38">
        <v>53</v>
      </c>
      <c r="H392" s="38">
        <f>IFERROR('Automated raw'!$F392+'Automated raw'!$G392,"-")</f>
        <v>65</v>
      </c>
      <c r="I392" s="38">
        <v>106</v>
      </c>
      <c r="J392" s="38">
        <v>41</v>
      </c>
      <c r="K392" s="38">
        <v>5</v>
      </c>
      <c r="L392" s="38">
        <v>874</v>
      </c>
      <c r="M392" s="38">
        <v>1308</v>
      </c>
      <c r="N392" s="38">
        <f>'Automated raw'!$G392/'Automated raw'!$H392</f>
        <v>0.81538461538461537</v>
      </c>
      <c r="O392" s="41">
        <f>IFERROR('Automated raw'!$G392/'Automated raw'!$H392,"incomplete")</f>
        <v>0.81538461538461537</v>
      </c>
      <c r="P392" s="38">
        <f>'Automated raw'!$F392</f>
        <v>12</v>
      </c>
      <c r="Q392" s="42">
        <f>IFERROR('Automated raw'!$P392*'Automated raw'!$L392,0)</f>
        <v>10488</v>
      </c>
      <c r="R392" s="38" t="str">
        <f>IF('Automated raw'!$O392&gt;=60%,"High",IF('Automated raw'!$O392&gt;=30%,"Avg",IF('Automated raw'!$O392&lt;30%,"Dead Stock","Incomplete")))</f>
        <v>High</v>
      </c>
      <c r="S392" s="43" t="str">
        <f>TEXT('Automated raw'!$B392,"mmm")</f>
        <v>Sep</v>
      </c>
      <c r="T392" s="82">
        <f>'Automated raw'!$G392*'Automated raw'!$M392</f>
        <v>69324</v>
      </c>
      <c r="U392" s="6">
        <f>IFERROR((Table7[[#This Row],[Stock In(Total)]]+Table7[[#This Row],[In Stock or Remaining]])/2,"-")</f>
        <v>38.5</v>
      </c>
      <c r="V392" s="93">
        <f>IFERROR(Table7[[#This Row],[Stock_Out]]/Table7[[#This Row],[Avg Inventory]],"-")</f>
        <v>1.3766233766233766</v>
      </c>
      <c r="W392" s="6"/>
      <c r="X392" s="6"/>
      <c r="Y392" s="6"/>
      <c r="Z392" s="6"/>
      <c r="AA392" s="6"/>
      <c r="AB392" s="6"/>
      <c r="AC392" s="6"/>
      <c r="AD392" s="6"/>
      <c r="AE392" s="6"/>
      <c r="AF392" s="6"/>
      <c r="AG392" s="6"/>
      <c r="AH392" s="6"/>
      <c r="AI392" s="6"/>
      <c r="AJ392" s="6"/>
      <c r="AK392" s="6"/>
      <c r="AL392" t="s">
        <v>102</v>
      </c>
      <c r="AM392">
        <v>45552</v>
      </c>
      <c r="AN392" t="s">
        <v>45</v>
      </c>
      <c r="AO392" t="s">
        <v>13</v>
      </c>
      <c r="AP392" t="s">
        <v>38</v>
      </c>
      <c r="AQ392">
        <v>46</v>
      </c>
      <c r="AR392">
        <v>62</v>
      </c>
      <c r="AS392">
        <v>108</v>
      </c>
      <c r="AT392">
        <v>2</v>
      </c>
      <c r="AU392">
        <v>69</v>
      </c>
      <c r="AV392">
        <v>3</v>
      </c>
      <c r="AW392">
        <v>410</v>
      </c>
      <c r="AX392">
        <v>987</v>
      </c>
      <c r="AY392">
        <v>0.57407407407407407</v>
      </c>
      <c r="AZ392">
        <v>0.57407407407407407</v>
      </c>
      <c r="BA392">
        <v>46</v>
      </c>
      <c r="BB392">
        <v>18860</v>
      </c>
      <c r="BC392" t="s">
        <v>551</v>
      </c>
      <c r="BD392" t="s">
        <v>560</v>
      </c>
      <c r="BE392">
        <v>61194</v>
      </c>
    </row>
    <row r="393" spans="1:57" x14ac:dyDescent="0.3">
      <c r="A393" s="44" t="s">
        <v>426</v>
      </c>
      <c r="B393" s="45">
        <v>45348</v>
      </c>
      <c r="C393" s="44" t="s">
        <v>45</v>
      </c>
      <c r="D393" s="44" t="s">
        <v>17</v>
      </c>
      <c r="E393" s="44" t="s">
        <v>14</v>
      </c>
      <c r="F393" s="40">
        <v>112</v>
      </c>
      <c r="G393" s="44">
        <v>47</v>
      </c>
      <c r="H393" s="44">
        <f>IFERROR('Automated raw'!$F393+'Automated raw'!$G393,"-")</f>
        <v>159</v>
      </c>
      <c r="I393" s="44">
        <v>25</v>
      </c>
      <c r="J393" s="44">
        <v>73</v>
      </c>
      <c r="K393" s="44">
        <v>13</v>
      </c>
      <c r="L393" s="44">
        <v>433</v>
      </c>
      <c r="M393" s="44">
        <v>802</v>
      </c>
      <c r="N393" s="44">
        <f>'Automated raw'!$G393/'Automated raw'!$H393</f>
        <v>0.29559748427672955</v>
      </c>
      <c r="O393" s="46">
        <f>IFERROR('Automated raw'!$G393/'Automated raw'!$H393,"incomplete")</f>
        <v>0.29559748427672955</v>
      </c>
      <c r="P393" s="44">
        <f>'Automated raw'!$F393</f>
        <v>112</v>
      </c>
      <c r="Q393" s="47">
        <f>IFERROR('Automated raw'!$P393*'Automated raw'!$L393,0)</f>
        <v>48496</v>
      </c>
      <c r="R393" s="44" t="str">
        <f>IF('Automated raw'!$O393&gt;=60%,"High",IF('Automated raw'!$O393&gt;=30%,"Avg",IF('Automated raw'!$O393&lt;30%,"Dead Stock","Incomplete")))</f>
        <v>Dead Stock</v>
      </c>
      <c r="S393" s="48" t="str">
        <f>TEXT('Automated raw'!$B393,"mmm")</f>
        <v>Feb</v>
      </c>
      <c r="T393" s="83">
        <f>'Automated raw'!$G393*'Automated raw'!$M393</f>
        <v>37694</v>
      </c>
      <c r="U393" s="6">
        <f>IFERROR((Table7[[#This Row],[Stock In(Total)]]+Table7[[#This Row],[In Stock or Remaining]])/2,"-")</f>
        <v>135.5</v>
      </c>
      <c r="V393" s="93">
        <f>IFERROR(Table7[[#This Row],[Stock_Out]]/Table7[[#This Row],[Avg Inventory]],"-")</f>
        <v>0.34686346863468637</v>
      </c>
      <c r="W393" s="6"/>
      <c r="X393" s="6"/>
      <c r="Y393" s="6"/>
      <c r="Z393" s="6"/>
      <c r="AA393" s="6"/>
      <c r="AB393" s="6"/>
      <c r="AC393" s="6"/>
      <c r="AD393" s="6"/>
      <c r="AE393" s="6"/>
      <c r="AF393" s="6"/>
      <c r="AG393" s="6"/>
      <c r="AH393" s="6"/>
      <c r="AI393" s="6"/>
      <c r="AJ393" s="6"/>
      <c r="AK393" s="6"/>
      <c r="AL393" t="s">
        <v>103</v>
      </c>
      <c r="AM393">
        <v>45408</v>
      </c>
      <c r="AN393" t="s">
        <v>30</v>
      </c>
      <c r="AO393" t="s">
        <v>13</v>
      </c>
      <c r="AP393" t="s">
        <v>38</v>
      </c>
      <c r="AQ393">
        <v>36</v>
      </c>
      <c r="AR393">
        <v>23</v>
      </c>
      <c r="AS393">
        <v>59</v>
      </c>
      <c r="AT393">
        <v>40</v>
      </c>
      <c r="AU393">
        <v>44</v>
      </c>
      <c r="AV393">
        <v>5</v>
      </c>
      <c r="AW393">
        <v>1785</v>
      </c>
      <c r="AX393">
        <v>2840</v>
      </c>
      <c r="AY393">
        <v>0.38983050847457629</v>
      </c>
      <c r="AZ393">
        <v>0.38983050847457629</v>
      </c>
      <c r="BA393">
        <v>36</v>
      </c>
      <c r="BB393">
        <v>64260</v>
      </c>
      <c r="BC393" t="s">
        <v>551</v>
      </c>
      <c r="BD393" t="s">
        <v>558</v>
      </c>
      <c r="BE393">
        <v>65320</v>
      </c>
    </row>
    <row r="394" spans="1:57" x14ac:dyDescent="0.3">
      <c r="A394" s="38" t="s">
        <v>427</v>
      </c>
      <c r="B394" s="39">
        <v>45472</v>
      </c>
      <c r="C394" s="38" t="s">
        <v>30</v>
      </c>
      <c r="D394" s="38" t="s">
        <v>20</v>
      </c>
      <c r="E394" s="38" t="s">
        <v>14</v>
      </c>
      <c r="F394" s="40" t="s">
        <v>23</v>
      </c>
      <c r="G394" s="38">
        <v>95</v>
      </c>
      <c r="H394" s="38" t="str">
        <f>IFERROR('Automated raw'!$F394+'Automated raw'!$G394,"-")</f>
        <v>-</v>
      </c>
      <c r="I394" s="38">
        <v>200</v>
      </c>
      <c r="J394" s="38">
        <v>76</v>
      </c>
      <c r="K394" s="38">
        <v>3</v>
      </c>
      <c r="L394" s="38">
        <v>1469</v>
      </c>
      <c r="M394" s="38">
        <v>1974</v>
      </c>
      <c r="N394" s="38" t="e">
        <f>'Automated raw'!$G394/'Automated raw'!$H394</f>
        <v>#VALUE!</v>
      </c>
      <c r="O394" s="49" t="str">
        <f>IFERROR('Automated raw'!$G394/'Automated raw'!$H394,"incomplete")</f>
        <v>incomplete</v>
      </c>
      <c r="P394" s="38" t="str">
        <f>'Automated raw'!$F394</f>
        <v>Not Available</v>
      </c>
      <c r="Q394" s="42">
        <f>IFERROR('Automated raw'!$P394*'Automated raw'!$L394,0)</f>
        <v>0</v>
      </c>
      <c r="R394" s="38" t="str">
        <f>IF('Automated raw'!$O394&gt;=60%,"High",IF('Automated raw'!$O394&gt;=30%,"Avg",IF('Automated raw'!$O394&lt;30%,"Dead Stock","Incomplete")))</f>
        <v>High</v>
      </c>
      <c r="S394" s="43" t="str">
        <f>TEXT('Automated raw'!$B394,"mmm")</f>
        <v>Jun</v>
      </c>
      <c r="T394" s="82">
        <f>'Automated raw'!$G394*'Automated raw'!$M394</f>
        <v>187530</v>
      </c>
      <c r="U394" s="6" t="str">
        <f>IFERROR((Table7[[#This Row],[Stock In(Total)]]+Table7[[#This Row],[In Stock or Remaining]])/2,"-")</f>
        <v>-</v>
      </c>
      <c r="V394" s="93" t="str">
        <f>IFERROR(Table7[[#This Row],[Stock_Out]]/Table7[[#This Row],[Avg Inventory]],"-")</f>
        <v>-</v>
      </c>
      <c r="W394" s="6"/>
      <c r="X394" s="6"/>
      <c r="Y394" s="6"/>
      <c r="Z394" s="6"/>
      <c r="AA394" s="6"/>
      <c r="AB394" s="6"/>
      <c r="AC394" s="6"/>
      <c r="AD394" s="6"/>
      <c r="AE394" s="6"/>
      <c r="AF394" s="6"/>
      <c r="AG394" s="6"/>
      <c r="AH394" s="6"/>
      <c r="AI394" s="6"/>
      <c r="AJ394" s="6"/>
      <c r="AK394" s="6"/>
      <c r="AL394" t="s">
        <v>104</v>
      </c>
      <c r="AM394">
        <v>45364</v>
      </c>
      <c r="AN394" t="s">
        <v>12</v>
      </c>
      <c r="AO394" t="s">
        <v>17</v>
      </c>
      <c r="AP394" t="s">
        <v>38</v>
      </c>
      <c r="AQ394">
        <v>58</v>
      </c>
      <c r="AR394">
        <v>84</v>
      </c>
      <c r="AS394">
        <v>142</v>
      </c>
      <c r="AT394">
        <v>258</v>
      </c>
      <c r="AU394">
        <v>66</v>
      </c>
      <c r="AV394">
        <v>13</v>
      </c>
      <c r="AW394">
        <v>252</v>
      </c>
      <c r="AX394">
        <v>1275</v>
      </c>
      <c r="AY394">
        <v>0.59154929577464788</v>
      </c>
      <c r="AZ394">
        <v>0.59154929577464788</v>
      </c>
      <c r="BA394">
        <v>58</v>
      </c>
      <c r="BB394">
        <v>14616</v>
      </c>
      <c r="BC394" t="s">
        <v>551</v>
      </c>
      <c r="BD394" t="s">
        <v>562</v>
      </c>
      <c r="BE394">
        <v>107100</v>
      </c>
    </row>
    <row r="395" spans="1:57" x14ac:dyDescent="0.3">
      <c r="A395" s="44" t="s">
        <v>428</v>
      </c>
      <c r="B395" s="45">
        <v>45578</v>
      </c>
      <c r="C395" s="44" t="s">
        <v>53</v>
      </c>
      <c r="D395" s="44" t="s">
        <v>17</v>
      </c>
      <c r="E395" s="44" t="s">
        <v>21</v>
      </c>
      <c r="F395" s="40">
        <v>92</v>
      </c>
      <c r="G395" s="44">
        <v>4</v>
      </c>
      <c r="H395" s="44">
        <f>IFERROR('Automated raw'!$F395+'Automated raw'!$G395,"-")</f>
        <v>96</v>
      </c>
      <c r="I395" s="44">
        <v>286</v>
      </c>
      <c r="J395" s="44">
        <v>35</v>
      </c>
      <c r="K395" s="44">
        <v>12</v>
      </c>
      <c r="L395" s="44">
        <v>769</v>
      </c>
      <c r="M395" s="44">
        <v>1363</v>
      </c>
      <c r="N395" s="44">
        <f>'Automated raw'!$G395/'Automated raw'!$H395</f>
        <v>4.1666666666666664E-2</v>
      </c>
      <c r="O395" s="46">
        <f>IFERROR('Automated raw'!$G395/'Automated raw'!$H395,"incomplete")</f>
        <v>4.1666666666666664E-2</v>
      </c>
      <c r="P395" s="44">
        <f>'Automated raw'!$F395</f>
        <v>92</v>
      </c>
      <c r="Q395" s="47">
        <f>IFERROR('Automated raw'!$P395*'Automated raw'!$L395,0)</f>
        <v>70748</v>
      </c>
      <c r="R395" s="44" t="str">
        <f>IF('Automated raw'!$O395&gt;=60%,"High",IF('Automated raw'!$O395&gt;=30%,"Avg",IF('Automated raw'!$O395&lt;30%,"Dead Stock","Incomplete")))</f>
        <v>Dead Stock</v>
      </c>
      <c r="S395" s="48" t="str">
        <f>TEXT('Automated raw'!$B395,"mmm")</f>
        <v>Oct</v>
      </c>
      <c r="T395" s="83">
        <f>'Automated raw'!$G395*'Automated raw'!$M395</f>
        <v>5452</v>
      </c>
      <c r="U395" s="6">
        <f>IFERROR((Table7[[#This Row],[Stock In(Total)]]+Table7[[#This Row],[In Stock or Remaining]])/2,"-")</f>
        <v>94</v>
      </c>
      <c r="V395" s="93">
        <f>IFERROR(Table7[[#This Row],[Stock_Out]]/Table7[[#This Row],[Avg Inventory]],"-")</f>
        <v>4.2553191489361701E-2</v>
      </c>
      <c r="W395" s="6"/>
      <c r="X395" s="6"/>
      <c r="Y395" s="6"/>
      <c r="Z395" s="6"/>
      <c r="AA395" s="6"/>
      <c r="AB395" s="6"/>
      <c r="AC395" s="6"/>
      <c r="AD395" s="6"/>
      <c r="AE395" s="6"/>
      <c r="AF395" s="6"/>
      <c r="AG395" s="6"/>
      <c r="AH395" s="6"/>
      <c r="AI395" s="6"/>
      <c r="AJ395" s="6"/>
      <c r="AK395" s="6"/>
      <c r="AL395" t="s">
        <v>106</v>
      </c>
      <c r="AM395">
        <v>45566</v>
      </c>
      <c r="AN395" t="s">
        <v>53</v>
      </c>
      <c r="AO395" t="s">
        <v>13</v>
      </c>
      <c r="AP395" t="s">
        <v>38</v>
      </c>
      <c r="AQ395">
        <v>63</v>
      </c>
      <c r="AR395">
        <v>41</v>
      </c>
      <c r="AS395">
        <v>104</v>
      </c>
      <c r="AT395">
        <v>90</v>
      </c>
      <c r="AU395">
        <v>72</v>
      </c>
      <c r="AV395">
        <v>13</v>
      </c>
      <c r="AW395">
        <v>450</v>
      </c>
      <c r="AX395">
        <v>572</v>
      </c>
      <c r="AY395">
        <v>0.39423076923076922</v>
      </c>
      <c r="AZ395">
        <v>0.39423076923076922</v>
      </c>
      <c r="BA395">
        <v>63</v>
      </c>
      <c r="BB395">
        <v>28350</v>
      </c>
      <c r="BC395" t="s">
        <v>551</v>
      </c>
      <c r="BD395" t="s">
        <v>565</v>
      </c>
      <c r="BE395">
        <v>23452</v>
      </c>
    </row>
    <row r="396" spans="1:57" x14ac:dyDescent="0.3">
      <c r="A396" s="38" t="s">
        <v>429</v>
      </c>
      <c r="B396" s="39">
        <v>45485</v>
      </c>
      <c r="C396" s="38" t="s">
        <v>151</v>
      </c>
      <c r="D396" s="38" t="s">
        <v>17</v>
      </c>
      <c r="E396" s="38" t="s">
        <v>23</v>
      </c>
      <c r="F396" s="40">
        <v>31</v>
      </c>
      <c r="G396" s="38">
        <v>70</v>
      </c>
      <c r="H396" s="38">
        <f>IFERROR('Automated raw'!$F396+'Automated raw'!$G396,"-")</f>
        <v>101</v>
      </c>
      <c r="I396" s="38">
        <v>154</v>
      </c>
      <c r="J396" s="38">
        <v>39</v>
      </c>
      <c r="K396" s="38">
        <v>7</v>
      </c>
      <c r="L396" s="38">
        <v>295</v>
      </c>
      <c r="M396" s="38">
        <v>1156</v>
      </c>
      <c r="N396" s="38">
        <f>'Automated raw'!$G396/'Automated raw'!$H396</f>
        <v>0.69306930693069302</v>
      </c>
      <c r="O396" s="41">
        <f>IFERROR('Automated raw'!$G396/'Automated raw'!$H396,"incomplete")</f>
        <v>0.69306930693069302</v>
      </c>
      <c r="P396" s="38">
        <f>'Automated raw'!$F396</f>
        <v>31</v>
      </c>
      <c r="Q396" s="42">
        <f>IFERROR('Automated raw'!$P396*'Automated raw'!$L396,0)</f>
        <v>9145</v>
      </c>
      <c r="R396" s="38" t="str">
        <f>IF('Automated raw'!$O396&gt;=60%,"High",IF('Automated raw'!$O396&gt;=30%,"Avg",IF('Automated raw'!$O396&lt;30%,"Dead Stock","Incomplete")))</f>
        <v>High</v>
      </c>
      <c r="S396" s="43" t="str">
        <f>TEXT('Automated raw'!$B396,"mmm")</f>
        <v>Jul</v>
      </c>
      <c r="T396" s="82">
        <f>'Automated raw'!$G396*'Automated raw'!$M396</f>
        <v>80920</v>
      </c>
      <c r="U396" s="6">
        <f>IFERROR((Table7[[#This Row],[Stock In(Total)]]+Table7[[#This Row],[In Stock or Remaining]])/2,"-")</f>
        <v>66</v>
      </c>
      <c r="V396" s="93">
        <f>IFERROR(Table7[[#This Row],[Stock_Out]]/Table7[[#This Row],[Avg Inventory]],"-")</f>
        <v>1.0606060606060606</v>
      </c>
      <c r="W396" s="6"/>
      <c r="X396" s="6"/>
      <c r="Y396" s="6"/>
      <c r="Z396" s="6"/>
      <c r="AA396" s="6"/>
      <c r="AB396" s="6"/>
      <c r="AC396" s="6"/>
      <c r="AD396" s="6"/>
      <c r="AE396" s="6"/>
      <c r="AF396" s="6"/>
      <c r="AG396" s="6"/>
      <c r="AH396" s="6"/>
      <c r="AI396" s="6"/>
      <c r="AJ396" s="6"/>
      <c r="AK396" s="6"/>
      <c r="AL396" t="s">
        <v>107</v>
      </c>
      <c r="AM396">
        <v>45520</v>
      </c>
      <c r="AN396" t="s">
        <v>30</v>
      </c>
      <c r="AO396" t="s">
        <v>13</v>
      </c>
      <c r="AP396" t="s">
        <v>33</v>
      </c>
      <c r="AQ396">
        <v>130</v>
      </c>
      <c r="AR396">
        <v>68</v>
      </c>
      <c r="AS396">
        <v>198</v>
      </c>
      <c r="AT396">
        <v>185</v>
      </c>
      <c r="AU396">
        <v>40</v>
      </c>
      <c r="AV396">
        <v>10</v>
      </c>
      <c r="AW396">
        <v>866</v>
      </c>
      <c r="AX396">
        <v>2276</v>
      </c>
      <c r="AY396">
        <v>0.34343434343434343</v>
      </c>
      <c r="AZ396">
        <v>0.34343434343434343</v>
      </c>
      <c r="BA396">
        <v>130</v>
      </c>
      <c r="BB396">
        <v>112580</v>
      </c>
      <c r="BC396" t="s">
        <v>551</v>
      </c>
      <c r="BD396" t="s">
        <v>554</v>
      </c>
      <c r="BE396">
        <v>154768</v>
      </c>
    </row>
    <row r="397" spans="1:57" x14ac:dyDescent="0.3">
      <c r="A397" s="38" t="s">
        <v>238</v>
      </c>
      <c r="B397" s="39">
        <v>45408</v>
      </c>
      <c r="C397" s="38" t="s">
        <v>157</v>
      </c>
      <c r="D397" s="38" t="s">
        <v>17</v>
      </c>
      <c r="E397" s="38" t="s">
        <v>38</v>
      </c>
      <c r="F397" s="40">
        <v>47</v>
      </c>
      <c r="G397" s="38">
        <v>49</v>
      </c>
      <c r="H397" s="38">
        <f>IFERROR('Automated raw'!$F208+'Automated raw'!$G208,"-")</f>
        <v>219</v>
      </c>
      <c r="I397" s="38">
        <v>184</v>
      </c>
      <c r="J397" s="38">
        <v>53</v>
      </c>
      <c r="K397" s="38">
        <v>2</v>
      </c>
      <c r="L397" s="38">
        <v>1860</v>
      </c>
      <c r="M397" s="38">
        <v>2779</v>
      </c>
      <c r="N397" s="38">
        <f>'Automated raw'!$G208/'Automated raw'!$H208</f>
        <v>1.4193548387096775</v>
      </c>
      <c r="O397" s="41">
        <f>IFERROR('Automated raw'!$G208/'Automated raw'!$H208,"incomplete")</f>
        <v>1.4193548387096775</v>
      </c>
      <c r="P397" s="38">
        <f>'Automated raw'!$F208</f>
        <v>131</v>
      </c>
      <c r="Q397" s="42">
        <f>IFERROR('Automated raw'!$P208*'Automated raw'!$L208,0)</f>
        <v>14560</v>
      </c>
      <c r="R397" s="38" t="str">
        <f>IF('Automated raw'!$O208&gt;=60%,"High",IF('Automated raw'!$O208&gt;=30%,"Avg",IF('Automated raw'!$O208&lt;30%,"Dead Stock","Incomplete")))</f>
        <v>Avg</v>
      </c>
      <c r="S397" s="43" t="str">
        <f>TEXT('Automated raw'!$B208,"mmm")</f>
        <v>Mar</v>
      </c>
      <c r="T397" s="82">
        <f>'Automated raw'!$G208*'Automated raw'!$M208</f>
        <v>131296</v>
      </c>
      <c r="U397" s="6">
        <f>IFERROR((Table7[[#This Row],[Stock In(Total)]]+Table7[[#This Row],[In Stock or Remaining]])/2,"-")</f>
        <v>133</v>
      </c>
      <c r="V397" s="93">
        <f>IFERROR(Table7[[#This Row],[Stock_Out]]/Table7[[#This Row],[Avg Inventory]],"-")</f>
        <v>0.36842105263157893</v>
      </c>
      <c r="W397" s="6"/>
      <c r="X397" s="6"/>
      <c r="Y397" s="6"/>
      <c r="Z397" s="6"/>
      <c r="AA397" s="6"/>
      <c r="AB397" s="6"/>
      <c r="AC397" s="6"/>
      <c r="AD397" s="6"/>
      <c r="AE397" s="6"/>
      <c r="AF397" s="6"/>
      <c r="AG397" s="6"/>
      <c r="AH397" s="6"/>
      <c r="AI397" s="6"/>
      <c r="AJ397" s="6"/>
      <c r="AK397" s="6"/>
      <c r="AL397" t="s">
        <v>114</v>
      </c>
      <c r="AM397">
        <v>45493</v>
      </c>
      <c r="AN397" t="s">
        <v>12</v>
      </c>
      <c r="AO397" t="s">
        <v>20</v>
      </c>
      <c r="AP397" t="s">
        <v>21</v>
      </c>
      <c r="AQ397">
        <v>119</v>
      </c>
      <c r="AR397">
        <v>61</v>
      </c>
      <c r="AS397">
        <v>180</v>
      </c>
      <c r="AT397">
        <v>271</v>
      </c>
      <c r="AU397">
        <v>33</v>
      </c>
      <c r="AV397">
        <v>10</v>
      </c>
      <c r="AW397">
        <v>772</v>
      </c>
      <c r="AX397">
        <v>1790</v>
      </c>
      <c r="AY397">
        <v>0.33888888888888891</v>
      </c>
      <c r="AZ397">
        <v>0.33888888888888891</v>
      </c>
      <c r="BA397">
        <v>119</v>
      </c>
      <c r="BB397">
        <v>91868</v>
      </c>
      <c r="BC397" t="s">
        <v>551</v>
      </c>
      <c r="BD397" t="s">
        <v>556</v>
      </c>
      <c r="BE397">
        <v>109190</v>
      </c>
    </row>
    <row r="398" spans="1:57" x14ac:dyDescent="0.3">
      <c r="A398" s="38" t="s">
        <v>285</v>
      </c>
      <c r="B398" s="39">
        <v>45601</v>
      </c>
      <c r="C398" s="38" t="s">
        <v>19</v>
      </c>
      <c r="D398" s="38" t="s">
        <v>17</v>
      </c>
      <c r="E398" s="38" t="s">
        <v>21</v>
      </c>
      <c r="F398" s="40">
        <v>80</v>
      </c>
      <c r="G398" s="38">
        <v>84</v>
      </c>
      <c r="H398" s="38">
        <f>IFERROR('Automated raw'!$F254+'Automated raw'!$G254,"-")</f>
        <v>229</v>
      </c>
      <c r="I398" s="38">
        <v>219</v>
      </c>
      <c r="J398" s="38">
        <v>38</v>
      </c>
      <c r="K398" s="38">
        <v>5</v>
      </c>
      <c r="L398" s="38">
        <v>1310</v>
      </c>
      <c r="M398" s="38">
        <v>1640</v>
      </c>
      <c r="N398" s="38">
        <f>'Automated raw'!$G254/'Automated raw'!$H254</f>
        <v>0.46046511627906977</v>
      </c>
      <c r="O398" s="41">
        <f>IFERROR('Automated raw'!$G254/'Automated raw'!$H254,"incomplete")</f>
        <v>0.46046511627906977</v>
      </c>
      <c r="P398" s="38">
        <f>'Automated raw'!$F254</f>
        <v>130</v>
      </c>
      <c r="Q398" s="42">
        <f>IFERROR('Automated raw'!$P254*'Automated raw'!$L254,0)</f>
        <v>31458</v>
      </c>
      <c r="R398" s="38" t="str">
        <f>IF('Automated raw'!$O254&gt;=60%,"High",IF('Automated raw'!$O254&gt;=30%,"Avg",IF('Automated raw'!$O254&lt;30%,"Dead Stock","Incomplete")))</f>
        <v>High</v>
      </c>
      <c r="S398" s="43" t="str">
        <f>TEXT('Automated raw'!$B254,"mmm")</f>
        <v>Aug</v>
      </c>
      <c r="T398" s="82">
        <f>'Automated raw'!$G254*'Automated raw'!$M254</f>
        <v>78210</v>
      </c>
      <c r="U398" s="6">
        <f>IFERROR((Table7[[#This Row],[Stock In(Total)]]+Table7[[#This Row],[In Stock or Remaining]])/2,"-")</f>
        <v>154.5</v>
      </c>
      <c r="V398" s="93">
        <f>IFERROR(Table7[[#This Row],[Stock_Out]]/Table7[[#This Row],[Avg Inventory]],"-")</f>
        <v>0.5436893203883495</v>
      </c>
      <c r="W398" s="6"/>
      <c r="X398" s="6"/>
      <c r="Y398" s="6"/>
      <c r="Z398" s="6"/>
      <c r="AA398" s="6"/>
      <c r="AB398" s="6"/>
      <c r="AC398" s="6"/>
      <c r="AD398" s="6"/>
      <c r="AE398" s="6"/>
      <c r="AF398" s="6"/>
      <c r="AG398" s="6"/>
      <c r="AH398" s="6"/>
      <c r="AI398" s="6"/>
      <c r="AJ398" s="6"/>
      <c r="AK398" s="6"/>
      <c r="AL398" t="s">
        <v>115</v>
      </c>
      <c r="AM398">
        <v>45454</v>
      </c>
      <c r="AN398" t="s">
        <v>45</v>
      </c>
      <c r="AO398" t="s">
        <v>20</v>
      </c>
      <c r="AP398" t="s">
        <v>21</v>
      </c>
      <c r="AQ398">
        <v>113</v>
      </c>
      <c r="AR398">
        <v>65</v>
      </c>
      <c r="AS398">
        <v>178</v>
      </c>
      <c r="AT398">
        <v>62</v>
      </c>
      <c r="AU398">
        <v>73</v>
      </c>
      <c r="AV398">
        <v>3</v>
      </c>
      <c r="AW398">
        <v>226</v>
      </c>
      <c r="AX398">
        <v>847</v>
      </c>
      <c r="AY398">
        <v>0.3651685393258427</v>
      </c>
      <c r="AZ398">
        <v>0.3651685393258427</v>
      </c>
      <c r="BA398">
        <v>113</v>
      </c>
      <c r="BB398">
        <v>25538</v>
      </c>
      <c r="BC398" t="s">
        <v>551</v>
      </c>
      <c r="BD398" t="s">
        <v>559</v>
      </c>
      <c r="BE398">
        <v>55055</v>
      </c>
    </row>
    <row r="399" spans="1:57" x14ac:dyDescent="0.3">
      <c r="A399" s="44" t="s">
        <v>432</v>
      </c>
      <c r="B399" s="45">
        <v>45317</v>
      </c>
      <c r="C399" s="44" t="s">
        <v>12</v>
      </c>
      <c r="D399" s="44" t="s">
        <v>13</v>
      </c>
      <c r="E399" s="44" t="s">
        <v>21</v>
      </c>
      <c r="F399" s="40">
        <v>50</v>
      </c>
      <c r="G399" s="44">
        <v>2</v>
      </c>
      <c r="H399" s="44">
        <f>IFERROR('Automated raw'!$F399+'Automated raw'!$G399,"-")</f>
        <v>52</v>
      </c>
      <c r="I399" s="44">
        <v>57</v>
      </c>
      <c r="J399" s="44">
        <v>48</v>
      </c>
      <c r="K399" s="44">
        <v>12</v>
      </c>
      <c r="L399" s="44">
        <v>320</v>
      </c>
      <c r="M399" s="44">
        <v>1128</v>
      </c>
      <c r="N399" s="44">
        <f>'Automated raw'!$G399/'Automated raw'!$H399</f>
        <v>3.8461538461538464E-2</v>
      </c>
      <c r="O399" s="46">
        <f>IFERROR('Automated raw'!$G399/'Automated raw'!$H399,"incomplete")</f>
        <v>3.8461538461538464E-2</v>
      </c>
      <c r="P399" s="44">
        <f>'Automated raw'!$F399</f>
        <v>50</v>
      </c>
      <c r="Q399" s="47">
        <f>IFERROR('Automated raw'!$P399*'Automated raw'!$L399,0)</f>
        <v>16000</v>
      </c>
      <c r="R399" s="44" t="str">
        <f>IF('Automated raw'!$O399&gt;=60%,"High",IF('Automated raw'!$O399&gt;=30%,"Avg",IF('Automated raw'!$O399&lt;30%,"Dead Stock","Incomplete")))</f>
        <v>Dead Stock</v>
      </c>
      <c r="S399" s="48" t="str">
        <f>TEXT('Automated raw'!$B399,"mmm")</f>
        <v>Jan</v>
      </c>
      <c r="T399" s="83">
        <f>'Automated raw'!$G399*'Automated raw'!$M399</f>
        <v>2256</v>
      </c>
      <c r="U399" s="6">
        <f>IFERROR((Table7[[#This Row],[Stock In(Total)]]+Table7[[#This Row],[In Stock or Remaining]])/2,"-")</f>
        <v>51</v>
      </c>
      <c r="V399" s="93">
        <f>IFERROR(Table7[[#This Row],[Stock_Out]]/Table7[[#This Row],[Avg Inventory]],"-")</f>
        <v>3.9215686274509803E-2</v>
      </c>
      <c r="W399" s="6"/>
      <c r="X399" s="6"/>
      <c r="Y399" s="6"/>
      <c r="Z399" s="6"/>
      <c r="AA399" s="6"/>
      <c r="AB399" s="6"/>
      <c r="AC399" s="6"/>
      <c r="AD399" s="6"/>
      <c r="AE399" s="6"/>
      <c r="AF399" s="6"/>
      <c r="AG399" s="6"/>
      <c r="AH399" s="6"/>
      <c r="AI399" s="6"/>
      <c r="AJ399" s="6"/>
      <c r="AK399" s="6"/>
      <c r="AL399" t="s">
        <v>118</v>
      </c>
      <c r="AM399">
        <v>45307</v>
      </c>
      <c r="AN399" t="s">
        <v>16</v>
      </c>
      <c r="AO399" t="s">
        <v>20</v>
      </c>
      <c r="AP399" t="s">
        <v>14</v>
      </c>
      <c r="AQ399">
        <v>125</v>
      </c>
      <c r="AR399">
        <v>88</v>
      </c>
      <c r="AS399">
        <v>213</v>
      </c>
      <c r="AT399">
        <v>26</v>
      </c>
      <c r="AU399">
        <v>64</v>
      </c>
      <c r="AV399">
        <v>6</v>
      </c>
      <c r="AW399">
        <v>1621</v>
      </c>
      <c r="AX399">
        <v>2932</v>
      </c>
      <c r="AY399">
        <v>0.41314553990610331</v>
      </c>
      <c r="AZ399">
        <v>0.41314553990610331</v>
      </c>
      <c r="BA399">
        <v>125</v>
      </c>
      <c r="BB399">
        <v>202625</v>
      </c>
      <c r="BC399" t="s">
        <v>551</v>
      </c>
      <c r="BD399" t="s">
        <v>557</v>
      </c>
      <c r="BE399" s="5">
        <v>258016</v>
      </c>
    </row>
    <row r="400" spans="1:57" x14ac:dyDescent="0.3">
      <c r="A400" s="44" t="s">
        <v>80</v>
      </c>
      <c r="B400" s="45">
        <v>45310</v>
      </c>
      <c r="C400" s="44" t="s">
        <v>26</v>
      </c>
      <c r="D400" s="44" t="s">
        <v>17</v>
      </c>
      <c r="E400" s="44" t="s">
        <v>33</v>
      </c>
      <c r="F400" s="40">
        <v>59</v>
      </c>
      <c r="G400" s="44">
        <v>62</v>
      </c>
      <c r="H400" s="44">
        <f>IFERROR('Automated raw'!$F53+'Automated raw'!$G53,"-")</f>
        <v>156</v>
      </c>
      <c r="I400" s="44">
        <v>169</v>
      </c>
      <c r="J400" s="44">
        <v>40</v>
      </c>
      <c r="K400" s="44">
        <v>8</v>
      </c>
      <c r="L400" s="44">
        <v>628</v>
      </c>
      <c r="M400" s="44">
        <v>1124</v>
      </c>
      <c r="N400" s="44">
        <f>'Automated raw'!$G53/'Automated raw'!$H53</f>
        <v>0.52631578947368418</v>
      </c>
      <c r="O400" s="46">
        <f>IFERROR('Automated raw'!$G53/'Automated raw'!$H53,"incomplete")</f>
        <v>0.52631578947368418</v>
      </c>
      <c r="P400" s="44">
        <f>'Automated raw'!$F53</f>
        <v>106</v>
      </c>
      <c r="Q400" s="47">
        <f>IFERROR('Automated raw'!$P53*'Automated raw'!$L53,0)</f>
        <v>72504</v>
      </c>
      <c r="R400" s="44" t="str">
        <f>IF('Automated raw'!$O53&gt;=60%,"High",IF('Automated raw'!$O53&gt;=30%,"Avg",IF('Automated raw'!$O53&lt;30%,"Dead Stock","Incomplete")))</f>
        <v>High</v>
      </c>
      <c r="S400" s="48" t="str">
        <f>TEXT('Automated raw'!$B53,"mmm")</f>
        <v>Jul</v>
      </c>
      <c r="T400" s="83">
        <f>'Automated raw'!$G53*'Automated raw'!$M53</f>
        <v>87200</v>
      </c>
      <c r="U400" s="6">
        <f>IFERROR((Table7[[#This Row],[Stock In(Total)]]+Table7[[#This Row],[In Stock or Remaining]])/2,"-")</f>
        <v>107.5</v>
      </c>
      <c r="V400" s="93">
        <f>IFERROR(Table7[[#This Row],[Stock_Out]]/Table7[[#This Row],[Avg Inventory]],"-")</f>
        <v>0.57674418604651168</v>
      </c>
      <c r="W400" s="6"/>
      <c r="X400" s="6"/>
      <c r="Y400" s="6"/>
      <c r="Z400" s="6"/>
      <c r="AA400" s="6"/>
      <c r="AB400" s="6"/>
      <c r="AC400" s="6"/>
      <c r="AD400" s="6"/>
      <c r="AE400" s="6"/>
      <c r="AF400" s="6"/>
      <c r="AG400" s="6"/>
      <c r="AH400" s="6"/>
      <c r="AI400" s="6"/>
      <c r="AJ400" s="6"/>
      <c r="AK400" s="6"/>
      <c r="AL400" t="s">
        <v>119</v>
      </c>
      <c r="AM400">
        <v>45503</v>
      </c>
      <c r="AN400" t="s">
        <v>30</v>
      </c>
      <c r="AO400" t="s">
        <v>20</v>
      </c>
      <c r="AP400" t="s">
        <v>21</v>
      </c>
      <c r="AQ400">
        <v>70</v>
      </c>
      <c r="AR400">
        <v>74</v>
      </c>
      <c r="AS400">
        <v>144</v>
      </c>
      <c r="AT400">
        <v>205</v>
      </c>
      <c r="AU400">
        <v>80</v>
      </c>
      <c r="AV400">
        <v>5</v>
      </c>
      <c r="AW400">
        <v>1358</v>
      </c>
      <c r="AX400">
        <v>1792</v>
      </c>
      <c r="AY400">
        <v>0.51388888888888884</v>
      </c>
      <c r="AZ400">
        <v>0.51388888888888884</v>
      </c>
      <c r="BA400">
        <v>70</v>
      </c>
      <c r="BB400">
        <v>95060</v>
      </c>
      <c r="BC400" t="s">
        <v>551</v>
      </c>
      <c r="BD400" t="s">
        <v>556</v>
      </c>
      <c r="BE400">
        <v>132608</v>
      </c>
    </row>
    <row r="401" spans="1:57" x14ac:dyDescent="0.3">
      <c r="A401" s="44" t="s">
        <v>434</v>
      </c>
      <c r="B401" s="45">
        <v>45369</v>
      </c>
      <c r="C401" s="44" t="s">
        <v>19</v>
      </c>
      <c r="D401" s="44" t="s">
        <v>17</v>
      </c>
      <c r="E401" s="44" t="s">
        <v>14</v>
      </c>
      <c r="F401" s="40">
        <v>132</v>
      </c>
      <c r="G401" s="44">
        <v>5</v>
      </c>
      <c r="H401" s="44">
        <f>IFERROR('Automated raw'!$F401+'Automated raw'!$G401,"-")</f>
        <v>137</v>
      </c>
      <c r="I401" s="44">
        <v>102</v>
      </c>
      <c r="J401" s="44">
        <v>44</v>
      </c>
      <c r="K401" s="44">
        <v>2</v>
      </c>
      <c r="L401" s="44">
        <v>1140</v>
      </c>
      <c r="M401" s="44">
        <v>2145</v>
      </c>
      <c r="N401" s="44">
        <f>'Automated raw'!$G401/'Automated raw'!$H401</f>
        <v>3.6496350364963501E-2</v>
      </c>
      <c r="O401" s="46">
        <f>IFERROR('Automated raw'!$G401/'Automated raw'!$H401,"incomplete")</f>
        <v>3.6496350364963501E-2</v>
      </c>
      <c r="P401" s="44">
        <f>'Automated raw'!$F401</f>
        <v>132</v>
      </c>
      <c r="Q401" s="47">
        <f>IFERROR('Automated raw'!$P401*'Automated raw'!$L401,0)</f>
        <v>150480</v>
      </c>
      <c r="R401" s="44" t="str">
        <f>IF('Automated raw'!$O401&gt;=60%,"High",IF('Automated raw'!$O401&gt;=30%,"Avg",IF('Automated raw'!$O401&lt;30%,"Dead Stock","Incomplete")))</f>
        <v>Dead Stock</v>
      </c>
      <c r="S401" s="48" t="str">
        <f>TEXT('Automated raw'!$B401,"mmm")</f>
        <v>Mar</v>
      </c>
      <c r="T401" s="83">
        <f>'Automated raw'!$G401*'Automated raw'!$M401</f>
        <v>10725</v>
      </c>
      <c r="U401" s="6">
        <f>IFERROR((Table7[[#This Row],[Stock In(Total)]]+Table7[[#This Row],[In Stock or Remaining]])/2,"-")</f>
        <v>134.5</v>
      </c>
      <c r="V401" s="93">
        <f>IFERROR(Table7[[#This Row],[Stock_Out]]/Table7[[#This Row],[Avg Inventory]],"-")</f>
        <v>3.717472118959108E-2</v>
      </c>
      <c r="W401" s="6"/>
      <c r="X401" s="6"/>
      <c r="Y401" s="6"/>
      <c r="Z401" s="6"/>
      <c r="AA401" s="6"/>
      <c r="AB401" s="6"/>
      <c r="AC401" s="6"/>
      <c r="AD401" s="6"/>
      <c r="AE401" s="6"/>
      <c r="AF401" s="6"/>
      <c r="AG401" s="6"/>
      <c r="AH401" s="6"/>
      <c r="AI401" s="6"/>
      <c r="AJ401" s="6"/>
      <c r="AK401" s="6"/>
      <c r="AL401" t="s">
        <v>121</v>
      </c>
      <c r="AM401">
        <v>45479</v>
      </c>
      <c r="AN401" t="s">
        <v>53</v>
      </c>
      <c r="AO401" t="s">
        <v>13</v>
      </c>
      <c r="AP401" t="s">
        <v>33</v>
      </c>
      <c r="AQ401">
        <v>49</v>
      </c>
      <c r="AR401">
        <v>31</v>
      </c>
      <c r="AS401">
        <v>80</v>
      </c>
      <c r="AT401">
        <v>7</v>
      </c>
      <c r="AU401">
        <v>35</v>
      </c>
      <c r="AV401">
        <v>12</v>
      </c>
      <c r="AW401">
        <v>1228</v>
      </c>
      <c r="AX401">
        <v>2132</v>
      </c>
      <c r="AY401">
        <v>0.38750000000000001</v>
      </c>
      <c r="AZ401">
        <v>0.38750000000000001</v>
      </c>
      <c r="BA401">
        <v>49</v>
      </c>
      <c r="BB401">
        <v>60172</v>
      </c>
      <c r="BC401" t="s">
        <v>551</v>
      </c>
      <c r="BD401" t="s">
        <v>556</v>
      </c>
      <c r="BE401">
        <v>66092</v>
      </c>
    </row>
    <row r="402" spans="1:57" x14ac:dyDescent="0.3">
      <c r="A402" s="38" t="s">
        <v>435</v>
      </c>
      <c r="B402" s="39">
        <v>45610</v>
      </c>
      <c r="C402" s="38" t="s">
        <v>146</v>
      </c>
      <c r="D402" s="38" t="s">
        <v>13</v>
      </c>
      <c r="E402" s="38" t="s">
        <v>33</v>
      </c>
      <c r="F402" s="40" t="s">
        <v>23</v>
      </c>
      <c r="G402" s="38">
        <v>49</v>
      </c>
      <c r="H402" s="38" t="str">
        <f>IFERROR('Automated raw'!$F402+'Automated raw'!$G402,"-")</f>
        <v>-</v>
      </c>
      <c r="I402" s="38">
        <v>32</v>
      </c>
      <c r="J402" s="38">
        <v>68</v>
      </c>
      <c r="K402" s="38">
        <v>10</v>
      </c>
      <c r="L402" s="38">
        <v>1308</v>
      </c>
      <c r="M402" s="38">
        <v>1842</v>
      </c>
      <c r="N402" s="38" t="e">
        <f>'Automated raw'!$G402/'Automated raw'!$H402</f>
        <v>#VALUE!</v>
      </c>
      <c r="O402" s="49" t="str">
        <f>IFERROR('Automated raw'!$G402/'Automated raw'!$H402,"incomplete")</f>
        <v>incomplete</v>
      </c>
      <c r="P402" s="38" t="str">
        <f>'Automated raw'!$F402</f>
        <v>Not Available</v>
      </c>
      <c r="Q402" s="42">
        <f>IFERROR('Automated raw'!$P402*'Automated raw'!$L402,0)</f>
        <v>0</v>
      </c>
      <c r="R402" s="38" t="str">
        <f>IF('Automated raw'!$O402&gt;=60%,"High",IF('Automated raw'!$O402&gt;=30%,"Avg",IF('Automated raw'!$O402&lt;30%,"Dead Stock","Incomplete")))</f>
        <v>High</v>
      </c>
      <c r="S402" s="43" t="str">
        <f>TEXT('Automated raw'!$B402,"mmm")</f>
        <v>Nov</v>
      </c>
      <c r="T402" s="82">
        <f>'Automated raw'!$G402*'Automated raw'!$M402</f>
        <v>90258</v>
      </c>
      <c r="U402" s="6" t="str">
        <f>IFERROR((Table7[[#This Row],[Stock In(Total)]]+Table7[[#This Row],[In Stock or Remaining]])/2,"-")</f>
        <v>-</v>
      </c>
      <c r="V402" s="93" t="str">
        <f>IFERROR(Table7[[#This Row],[Stock_Out]]/Table7[[#This Row],[Avg Inventory]],"-")</f>
        <v>-</v>
      </c>
      <c r="W402" s="6"/>
      <c r="X402" s="6"/>
      <c r="Y402" s="6"/>
      <c r="Z402" s="6"/>
      <c r="AA402" s="6"/>
      <c r="AB402" s="6"/>
      <c r="AC402" s="6"/>
      <c r="AD402" s="6"/>
      <c r="AE402" s="6"/>
      <c r="AF402" s="6"/>
      <c r="AG402" s="6"/>
      <c r="AH402" s="6"/>
      <c r="AI402" s="6"/>
      <c r="AJ402" s="6"/>
      <c r="AK402" s="6"/>
      <c r="AL402" t="s">
        <v>124</v>
      </c>
      <c r="AM402">
        <v>45587</v>
      </c>
      <c r="AN402" t="s">
        <v>53</v>
      </c>
      <c r="AO402" t="s">
        <v>17</v>
      </c>
      <c r="AP402" t="s">
        <v>14</v>
      </c>
      <c r="AQ402">
        <v>113</v>
      </c>
      <c r="AR402">
        <v>58</v>
      </c>
      <c r="AS402">
        <v>171</v>
      </c>
      <c r="AT402">
        <v>199</v>
      </c>
      <c r="AU402">
        <v>49</v>
      </c>
      <c r="AV402">
        <v>7</v>
      </c>
      <c r="AW402">
        <v>1251</v>
      </c>
      <c r="AX402">
        <v>1701</v>
      </c>
      <c r="AY402">
        <v>0.33918128654970758</v>
      </c>
      <c r="AZ402">
        <v>0.33918128654970758</v>
      </c>
      <c r="BA402">
        <v>113</v>
      </c>
      <c r="BB402">
        <v>141363</v>
      </c>
      <c r="BC402" t="s">
        <v>551</v>
      </c>
      <c r="BD402" t="s">
        <v>565</v>
      </c>
      <c r="BE402">
        <v>98658</v>
      </c>
    </row>
    <row r="403" spans="1:57" x14ac:dyDescent="0.3">
      <c r="A403" s="44" t="s">
        <v>436</v>
      </c>
      <c r="B403" s="45">
        <v>45553</v>
      </c>
      <c r="C403" s="44" t="s">
        <v>53</v>
      </c>
      <c r="D403" s="44" t="s">
        <v>17</v>
      </c>
      <c r="E403" s="44" t="s">
        <v>14</v>
      </c>
      <c r="F403" s="40">
        <v>27</v>
      </c>
      <c r="G403" s="44">
        <v>99</v>
      </c>
      <c r="H403" s="44">
        <f>IFERROR('Automated raw'!$F403+'Automated raw'!$G403,"-")</f>
        <v>126</v>
      </c>
      <c r="I403" s="44">
        <v>182</v>
      </c>
      <c r="J403" s="44">
        <v>69</v>
      </c>
      <c r="K403" s="44">
        <v>3</v>
      </c>
      <c r="L403" s="44">
        <v>1754</v>
      </c>
      <c r="M403" s="44">
        <v>2581</v>
      </c>
      <c r="N403" s="44">
        <f>'Automated raw'!$G403/'Automated raw'!$H403</f>
        <v>0.7857142857142857</v>
      </c>
      <c r="O403" s="46">
        <f>IFERROR('Automated raw'!$G403/'Automated raw'!$H403,"incomplete")</f>
        <v>0.7857142857142857</v>
      </c>
      <c r="P403" s="44">
        <f>'Automated raw'!$F403</f>
        <v>27</v>
      </c>
      <c r="Q403" s="47">
        <f>IFERROR('Automated raw'!$P403*'Automated raw'!$L403,0)</f>
        <v>47358</v>
      </c>
      <c r="R403" s="44" t="str">
        <f>IF('Automated raw'!$O403&gt;=60%,"High",IF('Automated raw'!$O403&gt;=30%,"Avg",IF('Automated raw'!$O403&lt;30%,"Dead Stock","Incomplete")))</f>
        <v>High</v>
      </c>
      <c r="S403" s="48" t="str">
        <f>TEXT('Automated raw'!$B403,"mmm")</f>
        <v>Sep</v>
      </c>
      <c r="T403" s="83">
        <f>'Automated raw'!$G403*'Automated raw'!$M403</f>
        <v>255519</v>
      </c>
      <c r="U403" s="6">
        <f>IFERROR((Table7[[#This Row],[Stock In(Total)]]+Table7[[#This Row],[In Stock or Remaining]])/2,"-")</f>
        <v>76.5</v>
      </c>
      <c r="V403" s="93">
        <f>IFERROR(Table7[[#This Row],[Stock_Out]]/Table7[[#This Row],[Avg Inventory]],"-")</f>
        <v>1.2941176470588236</v>
      </c>
      <c r="W403" s="6"/>
      <c r="X403" s="6"/>
      <c r="Y403" s="6"/>
      <c r="Z403" s="6"/>
      <c r="AA403" s="6"/>
      <c r="AB403" s="6"/>
      <c r="AC403" s="6"/>
      <c r="AD403" s="6"/>
      <c r="AE403" s="6"/>
      <c r="AF403" s="6"/>
      <c r="AG403" s="6"/>
      <c r="AH403" s="6"/>
      <c r="AI403" s="6"/>
      <c r="AJ403" s="6"/>
      <c r="AK403" s="6"/>
      <c r="AL403" t="s">
        <v>125</v>
      </c>
      <c r="AM403">
        <v>45630</v>
      </c>
      <c r="AN403" t="s">
        <v>45</v>
      </c>
      <c r="AO403" t="s">
        <v>13</v>
      </c>
      <c r="AP403" t="s">
        <v>33</v>
      </c>
      <c r="AQ403">
        <v>82</v>
      </c>
      <c r="AR403">
        <v>50</v>
      </c>
      <c r="AS403">
        <v>132</v>
      </c>
      <c r="AT403">
        <v>255</v>
      </c>
      <c r="AU403">
        <v>39</v>
      </c>
      <c r="AV403">
        <v>7</v>
      </c>
      <c r="AW403">
        <v>1046</v>
      </c>
      <c r="AX403">
        <v>2109</v>
      </c>
      <c r="AY403">
        <v>0.37878787878787878</v>
      </c>
      <c r="AZ403">
        <v>0.37878787878787878</v>
      </c>
      <c r="BA403">
        <v>82</v>
      </c>
      <c r="BB403">
        <v>85772</v>
      </c>
      <c r="BC403" t="s">
        <v>551</v>
      </c>
      <c r="BD403" t="s">
        <v>563</v>
      </c>
      <c r="BE403">
        <v>105450</v>
      </c>
    </row>
    <row r="404" spans="1:57" x14ac:dyDescent="0.3">
      <c r="A404" s="38" t="s">
        <v>437</v>
      </c>
      <c r="B404" s="39">
        <v>45656</v>
      </c>
      <c r="C404" s="38" t="s">
        <v>53</v>
      </c>
      <c r="D404" s="38" t="s">
        <v>13</v>
      </c>
      <c r="E404" s="38" t="s">
        <v>38</v>
      </c>
      <c r="F404" s="40">
        <v>13</v>
      </c>
      <c r="G404" s="38">
        <v>64</v>
      </c>
      <c r="H404" s="38">
        <f>IFERROR('Automated raw'!$F404+'Automated raw'!$G404,"-")</f>
        <v>77</v>
      </c>
      <c r="I404" s="38">
        <v>201</v>
      </c>
      <c r="J404" s="38">
        <v>54</v>
      </c>
      <c r="K404" s="38">
        <v>4</v>
      </c>
      <c r="L404" s="38">
        <v>1341</v>
      </c>
      <c r="M404" s="38">
        <v>1553</v>
      </c>
      <c r="N404" s="38">
        <f>'Automated raw'!$G404/'Automated raw'!$H404</f>
        <v>0.83116883116883122</v>
      </c>
      <c r="O404" s="41">
        <f>IFERROR('Automated raw'!$G404/'Automated raw'!$H404,"incomplete")</f>
        <v>0.83116883116883122</v>
      </c>
      <c r="P404" s="38">
        <f>'Automated raw'!$F404</f>
        <v>13</v>
      </c>
      <c r="Q404" s="42">
        <f>IFERROR('Automated raw'!$P404*'Automated raw'!$L404,0)</f>
        <v>17433</v>
      </c>
      <c r="R404" s="38" t="str">
        <f>IF('Automated raw'!$O404&gt;=60%,"High",IF('Automated raw'!$O404&gt;=30%,"Avg",IF('Automated raw'!$O404&lt;30%,"Dead Stock","Incomplete")))</f>
        <v>High</v>
      </c>
      <c r="S404" s="43" t="str">
        <f>TEXT('Automated raw'!$B404,"mmm")</f>
        <v>Dec</v>
      </c>
      <c r="T404" s="82">
        <f>'Automated raw'!$G404*'Automated raw'!$M404</f>
        <v>99392</v>
      </c>
      <c r="U404" s="6">
        <f>IFERROR((Table7[[#This Row],[Stock In(Total)]]+Table7[[#This Row],[In Stock or Remaining]])/2,"-")</f>
        <v>45</v>
      </c>
      <c r="V404" s="93">
        <f>IFERROR(Table7[[#This Row],[Stock_Out]]/Table7[[#This Row],[Avg Inventory]],"-")</f>
        <v>1.4222222222222223</v>
      </c>
      <c r="W404" s="6"/>
      <c r="X404" s="6"/>
      <c r="Y404" s="6"/>
      <c r="Z404" s="6"/>
      <c r="AA404" s="6"/>
      <c r="AB404" s="6"/>
      <c r="AC404" s="6"/>
      <c r="AD404" s="6"/>
      <c r="AE404" s="6"/>
      <c r="AF404" s="6"/>
      <c r="AG404" s="6"/>
      <c r="AH404" s="6"/>
      <c r="AI404" s="6"/>
      <c r="AJ404" s="6"/>
      <c r="AK404" s="6"/>
      <c r="AL404" t="s">
        <v>132</v>
      </c>
      <c r="AM404">
        <v>45569</v>
      </c>
      <c r="AN404" t="s">
        <v>53</v>
      </c>
      <c r="AO404" t="s">
        <v>20</v>
      </c>
      <c r="AP404" t="s">
        <v>38</v>
      </c>
      <c r="AQ404">
        <v>84</v>
      </c>
      <c r="AR404">
        <v>66</v>
      </c>
      <c r="AS404">
        <v>150</v>
      </c>
      <c r="AT404">
        <v>154</v>
      </c>
      <c r="AU404">
        <v>72</v>
      </c>
      <c r="AV404">
        <v>12</v>
      </c>
      <c r="AW404">
        <v>1970</v>
      </c>
      <c r="AX404">
        <v>3221</v>
      </c>
      <c r="AY404">
        <v>0.44</v>
      </c>
      <c r="AZ404">
        <v>0.44</v>
      </c>
      <c r="BA404">
        <v>84</v>
      </c>
      <c r="BB404">
        <v>165480</v>
      </c>
      <c r="BC404" t="s">
        <v>551</v>
      </c>
      <c r="BD404" t="s">
        <v>565</v>
      </c>
      <c r="BE404">
        <v>212586</v>
      </c>
    </row>
    <row r="405" spans="1:57" x14ac:dyDescent="0.3">
      <c r="A405" s="38" t="s">
        <v>137</v>
      </c>
      <c r="B405" s="39">
        <v>45648</v>
      </c>
      <c r="C405" s="38" t="s">
        <v>16</v>
      </c>
      <c r="D405" s="38" t="s">
        <v>17</v>
      </c>
      <c r="E405" s="38" t="s">
        <v>38</v>
      </c>
      <c r="F405" s="40">
        <v>37</v>
      </c>
      <c r="G405" s="38">
        <v>39</v>
      </c>
      <c r="H405" s="38">
        <f>IFERROR('Automated raw'!$F110+'Automated raw'!$G110,"-")</f>
        <v>153</v>
      </c>
      <c r="I405" s="38">
        <v>53</v>
      </c>
      <c r="J405" s="38">
        <v>70</v>
      </c>
      <c r="K405" s="38">
        <v>3</v>
      </c>
      <c r="L405" s="38">
        <v>625</v>
      </c>
      <c r="M405" s="38">
        <v>1373</v>
      </c>
      <c r="N405" s="38">
        <f>'Automated raw'!$G110/'Automated raw'!$H110</f>
        <v>0.52884615384615385</v>
      </c>
      <c r="O405" s="41">
        <f>IFERROR('Automated raw'!$G110/'Automated raw'!$H110,"incomplete")</f>
        <v>0.52884615384615385</v>
      </c>
      <c r="P405" s="38">
        <f>'Automated raw'!$F110</f>
        <v>98</v>
      </c>
      <c r="Q405" s="42">
        <f>IFERROR('Automated raw'!$P110*'Automated raw'!$L110,0)</f>
        <v>67396</v>
      </c>
      <c r="R405" s="38" t="str">
        <f>IF('Automated raw'!$O110&gt;=60%,"High",IF('Automated raw'!$O110&gt;=30%,"Avg",IF('Automated raw'!$O110&lt;30%,"Dead Stock","Incomplete")))</f>
        <v>Dead Stock</v>
      </c>
      <c r="S405" s="43" t="str">
        <f>TEXT('Automated raw'!$B110,"mmm")</f>
        <v>Apr</v>
      </c>
      <c r="T405" s="82">
        <f>'Automated raw'!$G110*'Automated raw'!$M110</f>
        <v>110440</v>
      </c>
      <c r="U405" s="6">
        <f>IFERROR((Table7[[#This Row],[Stock In(Total)]]+Table7[[#This Row],[In Stock or Remaining]])/2,"-")</f>
        <v>95</v>
      </c>
      <c r="V405" s="93">
        <f>IFERROR(Table7[[#This Row],[Stock_Out]]/Table7[[#This Row],[Avg Inventory]],"-")</f>
        <v>0.41052631578947368</v>
      </c>
      <c r="W405" s="6"/>
      <c r="X405" s="6"/>
      <c r="Y405" s="6"/>
      <c r="Z405" s="6"/>
      <c r="AA405" s="6"/>
      <c r="AB405" s="6"/>
      <c r="AC405" s="6"/>
      <c r="AD405" s="6"/>
      <c r="AE405" s="6"/>
      <c r="AF405" s="6"/>
      <c r="AG405" s="6"/>
      <c r="AH405" s="6"/>
      <c r="AI405" s="6"/>
      <c r="AJ405" s="6"/>
      <c r="AK405" s="6"/>
      <c r="AL405" t="s">
        <v>135</v>
      </c>
      <c r="AM405">
        <v>45644</v>
      </c>
      <c r="AN405" t="s">
        <v>19</v>
      </c>
      <c r="AO405" t="s">
        <v>13</v>
      </c>
      <c r="AP405" t="s">
        <v>38</v>
      </c>
      <c r="AQ405">
        <v>47</v>
      </c>
      <c r="AR405">
        <v>51</v>
      </c>
      <c r="AS405">
        <v>98</v>
      </c>
      <c r="AT405">
        <v>108</v>
      </c>
      <c r="AU405">
        <v>41</v>
      </c>
      <c r="AV405">
        <v>3</v>
      </c>
      <c r="AW405">
        <v>1905</v>
      </c>
      <c r="AX405">
        <v>2527</v>
      </c>
      <c r="AY405">
        <v>0.52040816326530615</v>
      </c>
      <c r="AZ405">
        <v>0.52040816326530615</v>
      </c>
      <c r="BA405">
        <v>47</v>
      </c>
      <c r="BB405">
        <v>89535</v>
      </c>
      <c r="BC405" t="s">
        <v>551</v>
      </c>
      <c r="BD405" t="s">
        <v>563</v>
      </c>
      <c r="BE405">
        <v>128877</v>
      </c>
    </row>
    <row r="406" spans="1:57" x14ac:dyDescent="0.3">
      <c r="A406" s="44" t="s">
        <v>311</v>
      </c>
      <c r="B406" s="45">
        <v>45469</v>
      </c>
      <c r="C406" s="44" t="s">
        <v>45</v>
      </c>
      <c r="D406" s="44" t="s">
        <v>13</v>
      </c>
      <c r="E406" s="44" t="s">
        <v>21</v>
      </c>
      <c r="F406" s="40">
        <v>73</v>
      </c>
      <c r="G406" s="44">
        <v>77</v>
      </c>
      <c r="H406" s="44">
        <f>IFERROR('Automated raw'!$F279+'Automated raw'!$G279,"-")</f>
        <v>110</v>
      </c>
      <c r="I406" s="44">
        <v>229</v>
      </c>
      <c r="J406" s="44">
        <v>54</v>
      </c>
      <c r="K406" s="44">
        <v>9</v>
      </c>
      <c r="L406" s="44">
        <v>228</v>
      </c>
      <c r="M406" s="44">
        <v>1593</v>
      </c>
      <c r="N406" s="44">
        <f>'Automated raw'!$G279/'Automated raw'!$H279</f>
        <v>0.2722222222222222</v>
      </c>
      <c r="O406" s="46">
        <f>IFERROR('Automated raw'!$G279/'Automated raw'!$H279,"incomplete")</f>
        <v>0.2722222222222222</v>
      </c>
      <c r="P406" s="44">
        <f>'Automated raw'!$F279</f>
        <v>61</v>
      </c>
      <c r="Q406" s="47">
        <f>IFERROR('Automated raw'!$P279*'Automated raw'!$L279,0)</f>
        <v>209559</v>
      </c>
      <c r="R406" s="44" t="str">
        <f>IF('Automated raw'!$O279&gt;=60%,"High",IF('Automated raw'!$O279&gt;=30%,"Avg",IF('Automated raw'!$O279&lt;30%,"Dead Stock","Incomplete")))</f>
        <v>Avg</v>
      </c>
      <c r="S406" s="48" t="str">
        <f>TEXT('Automated raw'!$B279,"mmm")</f>
        <v>Jun</v>
      </c>
      <c r="T406" s="83">
        <f>'Automated raw'!$G279*'Automated raw'!$M279</f>
        <v>140728</v>
      </c>
      <c r="U406" s="6">
        <f>IFERROR((Table7[[#This Row],[Stock In(Total)]]+Table7[[#This Row],[In Stock or Remaining]])/2,"-")</f>
        <v>91.5</v>
      </c>
      <c r="V406" s="93">
        <f>IFERROR(Table7[[#This Row],[Stock_Out]]/Table7[[#This Row],[Avg Inventory]],"-")</f>
        <v>0.84153005464480879</v>
      </c>
      <c r="W406" s="6"/>
      <c r="X406" s="6"/>
      <c r="Y406" s="6"/>
      <c r="Z406" s="6"/>
      <c r="AA406" s="6"/>
      <c r="AB406" s="6"/>
      <c r="AC406" s="6"/>
      <c r="AD406" s="6"/>
      <c r="AE406" s="6"/>
      <c r="AF406" s="6"/>
      <c r="AG406" s="6"/>
      <c r="AH406" s="6"/>
      <c r="AI406" s="6"/>
      <c r="AJ406" s="6"/>
      <c r="AK406" s="6"/>
      <c r="AL406" t="s">
        <v>137</v>
      </c>
      <c r="AM406">
        <v>45648</v>
      </c>
      <c r="AN406" t="s">
        <v>16</v>
      </c>
      <c r="AO406" t="s">
        <v>17</v>
      </c>
      <c r="AP406" t="s">
        <v>38</v>
      </c>
      <c r="AQ406">
        <v>37</v>
      </c>
      <c r="AR406">
        <v>39</v>
      </c>
      <c r="AS406">
        <v>76</v>
      </c>
      <c r="AT406">
        <v>53</v>
      </c>
      <c r="AU406">
        <v>70</v>
      </c>
      <c r="AV406">
        <v>3</v>
      </c>
      <c r="AW406">
        <v>625</v>
      </c>
      <c r="AX406">
        <v>1373</v>
      </c>
      <c r="AY406">
        <v>0.51315789473684215</v>
      </c>
      <c r="AZ406">
        <v>0.51315789473684215</v>
      </c>
      <c r="BA406">
        <v>37</v>
      </c>
      <c r="BB406">
        <v>23125</v>
      </c>
      <c r="BC406" t="s">
        <v>551</v>
      </c>
      <c r="BD406" t="s">
        <v>563</v>
      </c>
      <c r="BE406">
        <v>53547</v>
      </c>
    </row>
    <row r="407" spans="1:57" x14ac:dyDescent="0.3">
      <c r="A407" s="38" t="s">
        <v>119</v>
      </c>
      <c r="B407" s="39">
        <v>45503</v>
      </c>
      <c r="C407" s="38" t="s">
        <v>30</v>
      </c>
      <c r="D407" s="38" t="s">
        <v>20</v>
      </c>
      <c r="E407" s="38" t="s">
        <v>21</v>
      </c>
      <c r="F407" s="40">
        <v>70</v>
      </c>
      <c r="G407" s="38">
        <v>74</v>
      </c>
      <c r="H407" s="38">
        <f>IFERROR('Automated raw'!$F92+'Automated raw'!$G92,"-")</f>
        <v>123</v>
      </c>
      <c r="I407" s="38">
        <v>205</v>
      </c>
      <c r="J407" s="38">
        <v>80</v>
      </c>
      <c r="K407" s="38">
        <v>5</v>
      </c>
      <c r="L407" s="38">
        <v>1358</v>
      </c>
      <c r="M407" s="38">
        <v>1792</v>
      </c>
      <c r="N407" s="38">
        <f>'Automated raw'!$G92/'Automated raw'!$H92</f>
        <v>0.28666666666666668</v>
      </c>
      <c r="O407" s="41">
        <f>IFERROR('Automated raw'!$G92/'Automated raw'!$H92,"incomplete")</f>
        <v>0.28666666666666668</v>
      </c>
      <c r="P407" s="38">
        <f>'Automated raw'!$F92</f>
        <v>80</v>
      </c>
      <c r="Q407" s="42">
        <f>IFERROR('Automated raw'!$P92*'Automated raw'!$L92,0)</f>
        <v>142941</v>
      </c>
      <c r="R407" s="38" t="str">
        <f>IF('Automated raw'!$O92&gt;=60%,"High",IF('Automated raw'!$O92&gt;=30%,"Avg",IF('Automated raw'!$O92&lt;30%,"Dead Stock","Incomplete")))</f>
        <v>Avg</v>
      </c>
      <c r="S407" s="43" t="str">
        <f>TEXT('Automated raw'!$B92,"mmm")</f>
        <v>May</v>
      </c>
      <c r="T407" s="82">
        <f>'Automated raw'!$G92*'Automated raw'!$M92</f>
        <v>89827</v>
      </c>
      <c r="U407" s="6">
        <f>IFERROR((Table7[[#This Row],[Stock In(Total)]]+Table7[[#This Row],[In Stock or Remaining]])/2,"-")</f>
        <v>96.5</v>
      </c>
      <c r="V407" s="93">
        <f>IFERROR(Table7[[#This Row],[Stock_Out]]/Table7[[#This Row],[Avg Inventory]],"-")</f>
        <v>0.76683937823834192</v>
      </c>
      <c r="W407" s="6"/>
      <c r="X407" s="6"/>
      <c r="Y407" s="6"/>
      <c r="Z407" s="6"/>
      <c r="AA407" s="6"/>
      <c r="AB407" s="6"/>
      <c r="AC407" s="6"/>
      <c r="AD407" s="6"/>
      <c r="AE407" s="6"/>
      <c r="AF407" s="6"/>
      <c r="AG407" s="6"/>
      <c r="AH407" s="6"/>
      <c r="AI407" s="6"/>
      <c r="AJ407" s="6"/>
      <c r="AK407" s="6"/>
      <c r="AL407" t="s">
        <v>138</v>
      </c>
      <c r="AM407">
        <v>45489</v>
      </c>
      <c r="AN407" t="s">
        <v>12</v>
      </c>
      <c r="AO407" t="s">
        <v>17</v>
      </c>
      <c r="AP407" t="s">
        <v>14</v>
      </c>
      <c r="AQ407">
        <v>35</v>
      </c>
      <c r="AR407">
        <v>27</v>
      </c>
      <c r="AS407">
        <v>62</v>
      </c>
      <c r="AT407">
        <v>118</v>
      </c>
      <c r="AU407">
        <v>77</v>
      </c>
      <c r="AV407">
        <v>13</v>
      </c>
      <c r="AW407">
        <v>1896</v>
      </c>
      <c r="AX407">
        <v>2237</v>
      </c>
      <c r="AY407">
        <v>0.43548387096774194</v>
      </c>
      <c r="AZ407">
        <v>0.43548387096774194</v>
      </c>
      <c r="BA407">
        <v>35</v>
      </c>
      <c r="BB407">
        <v>66360</v>
      </c>
      <c r="BC407" t="s">
        <v>551</v>
      </c>
      <c r="BD407" t="s">
        <v>556</v>
      </c>
      <c r="BE407">
        <v>60399</v>
      </c>
    </row>
    <row r="408" spans="1:57" x14ac:dyDescent="0.3">
      <c r="A408" s="38" t="s">
        <v>441</v>
      </c>
      <c r="B408" s="39">
        <v>45640</v>
      </c>
      <c r="C408" s="38" t="s">
        <v>37</v>
      </c>
      <c r="D408" s="38" t="s">
        <v>13</v>
      </c>
      <c r="E408" s="38" t="s">
        <v>14</v>
      </c>
      <c r="F408" s="40">
        <v>8</v>
      </c>
      <c r="G408" s="38">
        <v>1</v>
      </c>
      <c r="H408" s="38">
        <f>IFERROR('Automated raw'!$F408+'Automated raw'!$G408,"-")</f>
        <v>9</v>
      </c>
      <c r="I408" s="38">
        <v>98</v>
      </c>
      <c r="J408" s="38">
        <v>71</v>
      </c>
      <c r="K408" s="38">
        <v>10</v>
      </c>
      <c r="L408" s="38">
        <v>389</v>
      </c>
      <c r="M408" s="38">
        <v>521</v>
      </c>
      <c r="N408" s="38">
        <f>'Automated raw'!$G408/'Automated raw'!$H408</f>
        <v>0.1111111111111111</v>
      </c>
      <c r="O408" s="41">
        <f>IFERROR('Automated raw'!$G408/'Automated raw'!$H408,"incomplete")</f>
        <v>0.1111111111111111</v>
      </c>
      <c r="P408" s="38">
        <f>'Automated raw'!$F408</f>
        <v>8</v>
      </c>
      <c r="Q408" s="42">
        <f>IFERROR('Automated raw'!$P408*'Automated raw'!$L408,0)</f>
        <v>3112</v>
      </c>
      <c r="R408" s="38" t="str">
        <f>IF('Automated raw'!$O408&gt;=60%,"High",IF('Automated raw'!$O408&gt;=30%,"Avg",IF('Automated raw'!$O408&lt;30%,"Dead Stock","Incomplete")))</f>
        <v>Dead Stock</v>
      </c>
      <c r="S408" s="43" t="str">
        <f>TEXT('Automated raw'!$B408,"mmm")</f>
        <v>Dec</v>
      </c>
      <c r="T408" s="82">
        <f>'Automated raw'!$G408*'Automated raw'!$M408</f>
        <v>521</v>
      </c>
      <c r="U408" s="6">
        <f>IFERROR((Table7[[#This Row],[Stock In(Total)]]+Table7[[#This Row],[In Stock or Remaining]])/2,"-")</f>
        <v>8.5</v>
      </c>
      <c r="V408" s="93">
        <f>IFERROR(Table7[[#This Row],[Stock_Out]]/Table7[[#This Row],[Avg Inventory]],"-")</f>
        <v>0.11764705882352941</v>
      </c>
      <c r="W408" s="6"/>
      <c r="X408" s="6"/>
      <c r="Y408" s="6"/>
      <c r="Z408" s="6"/>
      <c r="AA408" s="6"/>
      <c r="AB408" s="6"/>
      <c r="AC408" s="6"/>
      <c r="AD408" s="6"/>
      <c r="AE408" s="6"/>
      <c r="AF408" s="6"/>
      <c r="AG408" s="6"/>
      <c r="AH408" s="6"/>
      <c r="AI408" s="6"/>
      <c r="AJ408" s="6"/>
      <c r="AK408" s="6"/>
      <c r="AL408" t="s">
        <v>141</v>
      </c>
      <c r="AM408">
        <v>45584</v>
      </c>
      <c r="AN408" t="s">
        <v>19</v>
      </c>
      <c r="AO408" t="s">
        <v>13</v>
      </c>
      <c r="AP408" t="s">
        <v>33</v>
      </c>
      <c r="AQ408">
        <v>131</v>
      </c>
      <c r="AR408">
        <v>98</v>
      </c>
      <c r="AS408">
        <v>229</v>
      </c>
      <c r="AT408">
        <v>27</v>
      </c>
      <c r="AU408">
        <v>75</v>
      </c>
      <c r="AV408">
        <v>12</v>
      </c>
      <c r="AW408">
        <v>1800</v>
      </c>
      <c r="AX408">
        <v>2278</v>
      </c>
      <c r="AY408">
        <v>0.42794759825327511</v>
      </c>
      <c r="AZ408">
        <v>0.42794759825327511</v>
      </c>
      <c r="BA408">
        <v>131</v>
      </c>
      <c r="BB408">
        <v>235800</v>
      </c>
      <c r="BC408" t="s">
        <v>551</v>
      </c>
      <c r="BD408" t="s">
        <v>565</v>
      </c>
      <c r="BE408">
        <v>223244</v>
      </c>
    </row>
    <row r="409" spans="1:57" x14ac:dyDescent="0.3">
      <c r="A409" s="38" t="s">
        <v>316</v>
      </c>
      <c r="B409" s="39">
        <v>45394</v>
      </c>
      <c r="C409" s="38" t="s">
        <v>16</v>
      </c>
      <c r="D409" s="38" t="s">
        <v>20</v>
      </c>
      <c r="E409" s="38" t="s">
        <v>21</v>
      </c>
      <c r="F409" s="40">
        <v>16</v>
      </c>
      <c r="G409" s="38">
        <v>17</v>
      </c>
      <c r="H409" s="38">
        <f>IFERROR('Automated raw'!$F284+'Automated raw'!$G284,"-")</f>
        <v>184</v>
      </c>
      <c r="I409" s="38">
        <v>74</v>
      </c>
      <c r="J409" s="38">
        <v>46</v>
      </c>
      <c r="K409" s="38">
        <v>2</v>
      </c>
      <c r="L409" s="38">
        <v>1913</v>
      </c>
      <c r="M409" s="38">
        <v>2613</v>
      </c>
      <c r="N409" s="38">
        <f>'Automated raw'!$G284/'Automated raw'!$H284</f>
        <v>0.78846153846153844</v>
      </c>
      <c r="O409" s="41">
        <f>IFERROR('Automated raw'!$G284/'Automated raw'!$H284,"incomplete")</f>
        <v>0.78846153846153844</v>
      </c>
      <c r="P409" s="38">
        <f>'Automated raw'!$F284</f>
        <v>102</v>
      </c>
      <c r="Q409" s="42">
        <f>IFERROR('Automated raw'!$P284*'Automated raw'!$L284,0)</f>
        <v>39200</v>
      </c>
      <c r="R409" s="38" t="str">
        <f>IF('Automated raw'!$O284&gt;=60%,"High",IF('Automated raw'!$O284&gt;=30%,"Avg",IF('Automated raw'!$O284&lt;30%,"Dead Stock","Incomplete")))</f>
        <v>Dead Stock</v>
      </c>
      <c r="S409" s="43" t="str">
        <f>TEXT('Automated raw'!$B284,"mmm")</f>
        <v>Dec</v>
      </c>
      <c r="T409" s="82">
        <f>'Automated raw'!$G284*'Automated raw'!$M284</f>
        <v>160884</v>
      </c>
      <c r="U409" s="6">
        <f>IFERROR((Table7[[#This Row],[Stock In(Total)]]+Table7[[#This Row],[In Stock or Remaining]])/2,"-")</f>
        <v>100</v>
      </c>
      <c r="V409" s="93">
        <f>IFERROR(Table7[[#This Row],[Stock_Out]]/Table7[[#This Row],[Avg Inventory]],"-")</f>
        <v>0.17</v>
      </c>
      <c r="W409" s="6"/>
      <c r="X409" s="6"/>
      <c r="Y409" s="6"/>
      <c r="Z409" s="6"/>
      <c r="AA409" s="6"/>
      <c r="AB409" s="6"/>
      <c r="AC409" s="6"/>
      <c r="AD409" s="6"/>
      <c r="AE409" s="6"/>
      <c r="AF409" s="6"/>
      <c r="AG409" s="6"/>
      <c r="AH409" s="6"/>
      <c r="AI409" s="6"/>
      <c r="AJ409" s="6"/>
      <c r="AK409" s="6"/>
      <c r="AL409" t="s">
        <v>142</v>
      </c>
      <c r="AM409">
        <v>45401</v>
      </c>
      <c r="AN409" t="s">
        <v>37</v>
      </c>
      <c r="AO409" t="s">
        <v>13</v>
      </c>
      <c r="AP409" t="s">
        <v>33</v>
      </c>
      <c r="AQ409">
        <v>87</v>
      </c>
      <c r="AR409">
        <v>49</v>
      </c>
      <c r="AS409">
        <v>136</v>
      </c>
      <c r="AT409">
        <v>19</v>
      </c>
      <c r="AU409">
        <v>75</v>
      </c>
      <c r="AV409">
        <v>11</v>
      </c>
      <c r="AW409">
        <v>1067</v>
      </c>
      <c r="AX409">
        <v>1408</v>
      </c>
      <c r="AY409">
        <v>0.36029411764705882</v>
      </c>
      <c r="AZ409">
        <v>0.36029411764705882</v>
      </c>
      <c r="BA409">
        <v>87</v>
      </c>
      <c r="BB409">
        <v>92829</v>
      </c>
      <c r="BC409" t="s">
        <v>551</v>
      </c>
      <c r="BD409" t="s">
        <v>558</v>
      </c>
      <c r="BE409">
        <v>68992</v>
      </c>
    </row>
    <row r="410" spans="1:57" x14ac:dyDescent="0.3">
      <c r="A410" s="38" t="s">
        <v>443</v>
      </c>
      <c r="B410" s="39">
        <v>45595</v>
      </c>
      <c r="C410" s="38" t="s">
        <v>12</v>
      </c>
      <c r="D410" s="38" t="s">
        <v>17</v>
      </c>
      <c r="E410" s="38" t="s">
        <v>14</v>
      </c>
      <c r="F410" s="40">
        <v>118</v>
      </c>
      <c r="G410" s="38">
        <v>48</v>
      </c>
      <c r="H410" s="38">
        <f>IFERROR('Automated raw'!$F410+'Automated raw'!$G410,"-")</f>
        <v>166</v>
      </c>
      <c r="I410" s="38">
        <v>282</v>
      </c>
      <c r="J410" s="38">
        <v>51</v>
      </c>
      <c r="K410" s="38">
        <v>15</v>
      </c>
      <c r="L410" s="38">
        <v>649</v>
      </c>
      <c r="M410" s="38">
        <v>1681</v>
      </c>
      <c r="N410" s="38">
        <f>'Automated raw'!$G410/'Automated raw'!$H410</f>
        <v>0.28915662650602408</v>
      </c>
      <c r="O410" s="41">
        <f>IFERROR('Automated raw'!$G410/'Automated raw'!$H410,"incomplete")</f>
        <v>0.28915662650602408</v>
      </c>
      <c r="P410" s="38">
        <f>'Automated raw'!$F410</f>
        <v>118</v>
      </c>
      <c r="Q410" s="42">
        <f>IFERROR('Automated raw'!$P410*'Automated raw'!$L410,0)</f>
        <v>76582</v>
      </c>
      <c r="R410" s="38" t="str">
        <f>IF('Automated raw'!$O410&gt;=60%,"High",IF('Automated raw'!$O410&gt;=30%,"Avg",IF('Automated raw'!$O410&lt;30%,"Dead Stock","Incomplete")))</f>
        <v>Dead Stock</v>
      </c>
      <c r="S410" s="43" t="str">
        <f>TEXT('Automated raw'!$B410,"mmm")</f>
        <v>Oct</v>
      </c>
      <c r="T410" s="82">
        <f>'Automated raw'!$G410*'Automated raw'!$M410</f>
        <v>80688</v>
      </c>
      <c r="U410" s="6">
        <f>IFERROR((Table7[[#This Row],[Stock In(Total)]]+Table7[[#This Row],[In Stock or Remaining]])/2,"-")</f>
        <v>142</v>
      </c>
      <c r="V410" s="93">
        <f>IFERROR(Table7[[#This Row],[Stock_Out]]/Table7[[#This Row],[Avg Inventory]],"-")</f>
        <v>0.3380281690140845</v>
      </c>
      <c r="W410" s="6"/>
      <c r="X410" s="6"/>
      <c r="Y410" s="6"/>
      <c r="Z410" s="6"/>
      <c r="AA410" s="6"/>
      <c r="AB410" s="6"/>
      <c r="AC410" s="6"/>
      <c r="AD410" s="6"/>
      <c r="AE410" s="6"/>
      <c r="AF410" s="6"/>
      <c r="AG410" s="6"/>
      <c r="AH410" s="6"/>
      <c r="AI410" s="6"/>
      <c r="AJ410" s="6"/>
      <c r="AK410" s="6"/>
      <c r="AL410" t="s">
        <v>143</v>
      </c>
      <c r="AM410">
        <v>45548</v>
      </c>
      <c r="AN410" t="s">
        <v>26</v>
      </c>
      <c r="AO410" t="s">
        <v>13</v>
      </c>
      <c r="AP410" t="s">
        <v>38</v>
      </c>
      <c r="AQ410">
        <v>96</v>
      </c>
      <c r="AR410">
        <v>60</v>
      </c>
      <c r="AS410">
        <v>156</v>
      </c>
      <c r="AT410">
        <v>164</v>
      </c>
      <c r="AU410">
        <v>44</v>
      </c>
      <c r="AV410">
        <v>12</v>
      </c>
      <c r="AW410">
        <v>1279</v>
      </c>
      <c r="AX410">
        <v>2452</v>
      </c>
      <c r="AY410">
        <v>0.38461538461538464</v>
      </c>
      <c r="AZ410">
        <v>0.38461538461538464</v>
      </c>
      <c r="BA410">
        <v>96</v>
      </c>
      <c r="BB410">
        <v>122784</v>
      </c>
      <c r="BC410" t="s">
        <v>551</v>
      </c>
      <c r="BD410" t="s">
        <v>560</v>
      </c>
      <c r="BE410">
        <v>147120</v>
      </c>
    </row>
    <row r="411" spans="1:57" x14ac:dyDescent="0.3">
      <c r="A411" s="44" t="s">
        <v>444</v>
      </c>
      <c r="B411" s="45">
        <v>45475</v>
      </c>
      <c r="C411" s="44" t="s">
        <v>151</v>
      </c>
      <c r="D411" s="44" t="s">
        <v>20</v>
      </c>
      <c r="E411" s="44" t="s">
        <v>21</v>
      </c>
      <c r="F411" s="40">
        <v>100</v>
      </c>
      <c r="G411" s="44">
        <v>37</v>
      </c>
      <c r="H411" s="44">
        <f>IFERROR('Automated raw'!$F411+'Automated raw'!$G411,"-")</f>
        <v>137</v>
      </c>
      <c r="I411" s="44">
        <v>271</v>
      </c>
      <c r="J411" s="44">
        <v>34</v>
      </c>
      <c r="K411" s="44">
        <v>4</v>
      </c>
      <c r="L411" s="44">
        <v>232</v>
      </c>
      <c r="M411" s="44">
        <v>1606</v>
      </c>
      <c r="N411" s="44">
        <f>'Automated raw'!$G411/'Automated raw'!$H411</f>
        <v>0.27007299270072993</v>
      </c>
      <c r="O411" s="46">
        <f>IFERROR('Automated raw'!$G411/'Automated raw'!$H411,"incomplete")</f>
        <v>0.27007299270072993</v>
      </c>
      <c r="P411" s="44">
        <f>'Automated raw'!$F411</f>
        <v>100</v>
      </c>
      <c r="Q411" s="47">
        <f>IFERROR('Automated raw'!$P411*'Automated raw'!$L411,0)</f>
        <v>23200</v>
      </c>
      <c r="R411" s="44" t="str">
        <f>IF('Automated raw'!$O411&gt;=60%,"High",IF('Automated raw'!$O411&gt;=30%,"Avg",IF('Automated raw'!$O411&lt;30%,"Dead Stock","Incomplete")))</f>
        <v>Dead Stock</v>
      </c>
      <c r="S411" s="48" t="str">
        <f>TEXT('Automated raw'!$B411,"mmm")</f>
        <v>Jul</v>
      </c>
      <c r="T411" s="83">
        <f>'Automated raw'!$G411*'Automated raw'!$M411</f>
        <v>59422</v>
      </c>
      <c r="U411" s="6">
        <f>IFERROR((Table7[[#This Row],[Stock In(Total)]]+Table7[[#This Row],[In Stock or Remaining]])/2,"-")</f>
        <v>118.5</v>
      </c>
      <c r="V411" s="93">
        <f>IFERROR(Table7[[#This Row],[Stock_Out]]/Table7[[#This Row],[Avg Inventory]],"-")</f>
        <v>0.31223628691983124</v>
      </c>
      <c r="W411" s="6"/>
      <c r="X411" s="6"/>
      <c r="Y411" s="6"/>
      <c r="Z411" s="6"/>
      <c r="AA411" s="6"/>
      <c r="AB411" s="6"/>
      <c r="AC411" s="6"/>
      <c r="AD411" s="6"/>
      <c r="AE411" s="6"/>
      <c r="AF411" s="6"/>
      <c r="AG411" s="6"/>
      <c r="AH411" s="6"/>
      <c r="AI411" s="6"/>
      <c r="AJ411" s="6"/>
      <c r="AK411" s="6"/>
      <c r="AL411" t="s">
        <v>144</v>
      </c>
      <c r="AM411">
        <v>45402</v>
      </c>
      <c r="AN411" t="s">
        <v>30</v>
      </c>
      <c r="AO411" t="s">
        <v>20</v>
      </c>
      <c r="AP411" t="s">
        <v>23</v>
      </c>
      <c r="AQ411">
        <v>140</v>
      </c>
      <c r="AR411">
        <v>93</v>
      </c>
      <c r="AS411">
        <v>233</v>
      </c>
      <c r="AT411">
        <v>270</v>
      </c>
      <c r="AU411">
        <v>30</v>
      </c>
      <c r="AV411">
        <v>11</v>
      </c>
      <c r="AW411">
        <v>1853</v>
      </c>
      <c r="AX411">
        <v>3252</v>
      </c>
      <c r="AY411">
        <v>0.39914163090128757</v>
      </c>
      <c r="AZ411">
        <v>0.39914163090128757</v>
      </c>
      <c r="BA411">
        <v>140</v>
      </c>
      <c r="BB411">
        <v>259420</v>
      </c>
      <c r="BC411" t="s">
        <v>551</v>
      </c>
      <c r="BD411" t="s">
        <v>558</v>
      </c>
      <c r="BE411" s="5">
        <v>302436</v>
      </c>
    </row>
    <row r="412" spans="1:57" x14ac:dyDescent="0.3">
      <c r="A412" s="44" t="s">
        <v>418</v>
      </c>
      <c r="B412" s="45">
        <v>45553</v>
      </c>
      <c r="C412" s="44" t="s">
        <v>37</v>
      </c>
      <c r="D412" s="44" t="s">
        <v>13</v>
      </c>
      <c r="E412" s="44" t="s">
        <v>14</v>
      </c>
      <c r="F412" s="40">
        <v>112</v>
      </c>
      <c r="G412" s="44">
        <v>119</v>
      </c>
      <c r="H412" s="44">
        <f>IFERROR('Automated raw'!$F385+'Automated raw'!$G385,"-")</f>
        <v>213</v>
      </c>
      <c r="I412" s="44">
        <v>29</v>
      </c>
      <c r="J412" s="44">
        <v>64</v>
      </c>
      <c r="K412" s="44">
        <v>12</v>
      </c>
      <c r="L412" s="44">
        <v>566</v>
      </c>
      <c r="M412" s="44">
        <v>1254</v>
      </c>
      <c r="N412" s="44">
        <f>'Automated raw'!$G385/'Automated raw'!$H385</f>
        <v>0.5</v>
      </c>
      <c r="O412" s="46">
        <f>IFERROR('Automated raw'!$G385/'Automated raw'!$H385,"incomplete")</f>
        <v>0.5</v>
      </c>
      <c r="P412" s="44">
        <f>'Automated raw'!$F385</f>
        <v>105</v>
      </c>
      <c r="Q412" s="47">
        <f>IFERROR('Automated raw'!$P385*'Automated raw'!$L385,0)</f>
        <v>69269</v>
      </c>
      <c r="R412" s="44" t="str">
        <f>IF('Automated raw'!$O385&gt;=60%,"High",IF('Automated raw'!$O385&gt;=30%,"Avg",IF('Automated raw'!$O385&lt;30%,"Dead Stock","Incomplete")))</f>
        <v>High</v>
      </c>
      <c r="S412" s="48" t="str">
        <f>TEXT('Automated raw'!$B385,"mmm")</f>
        <v>Sep</v>
      </c>
      <c r="T412" s="83">
        <f>'Automated raw'!$G385*'Automated raw'!$M385</f>
        <v>158868</v>
      </c>
      <c r="U412" s="6">
        <f>IFERROR((Table7[[#This Row],[Stock In(Total)]]+Table7[[#This Row],[In Stock or Remaining]])/2,"-")</f>
        <v>162.5</v>
      </c>
      <c r="V412" s="93">
        <f>IFERROR(Table7[[#This Row],[Stock_Out]]/Table7[[#This Row],[Avg Inventory]],"-")</f>
        <v>0.73230769230769233</v>
      </c>
      <c r="W412" s="6"/>
      <c r="X412" s="6"/>
      <c r="Y412" s="6"/>
      <c r="Z412" s="6"/>
      <c r="AA412" s="6"/>
      <c r="AB412" s="6"/>
      <c r="AC412" s="6"/>
      <c r="AD412" s="6"/>
      <c r="AE412" s="6"/>
      <c r="AF412" s="6"/>
      <c r="AG412" s="6"/>
      <c r="AH412" s="6"/>
      <c r="AI412" s="6"/>
      <c r="AJ412" s="6"/>
      <c r="AK412" s="6"/>
      <c r="AL412" t="s">
        <v>147</v>
      </c>
      <c r="AM412">
        <v>45584</v>
      </c>
      <c r="AN412" t="s">
        <v>16</v>
      </c>
      <c r="AO412" t="s">
        <v>20</v>
      </c>
      <c r="AP412" t="s">
        <v>38</v>
      </c>
      <c r="AQ412">
        <v>33</v>
      </c>
      <c r="AR412">
        <v>19</v>
      </c>
      <c r="AS412">
        <v>52</v>
      </c>
      <c r="AT412">
        <v>109</v>
      </c>
      <c r="AU412">
        <v>50</v>
      </c>
      <c r="AV412">
        <v>2</v>
      </c>
      <c r="AW412">
        <v>1695</v>
      </c>
      <c r="AX412">
        <v>2874</v>
      </c>
      <c r="AY412">
        <v>0.36538461538461536</v>
      </c>
      <c r="AZ412">
        <v>0.36538461538461536</v>
      </c>
      <c r="BA412">
        <v>33</v>
      </c>
      <c r="BB412">
        <v>55935</v>
      </c>
      <c r="BC412" t="s">
        <v>551</v>
      </c>
      <c r="BD412" t="s">
        <v>565</v>
      </c>
      <c r="BE412">
        <v>54606</v>
      </c>
    </row>
    <row r="413" spans="1:57" x14ac:dyDescent="0.3">
      <c r="A413" s="38" t="s">
        <v>81</v>
      </c>
      <c r="B413" s="39">
        <v>45331</v>
      </c>
      <c r="C413" s="38" t="s">
        <v>30</v>
      </c>
      <c r="D413" s="38" t="s">
        <v>13</v>
      </c>
      <c r="E413" s="38" t="s">
        <v>14</v>
      </c>
      <c r="F413" s="40">
        <v>88</v>
      </c>
      <c r="G413" s="38">
        <v>94</v>
      </c>
      <c r="H413" s="38">
        <f>IFERROR('Automated raw'!$F54+'Automated raw'!$G54,"-")</f>
        <v>121</v>
      </c>
      <c r="I413" s="38">
        <v>143</v>
      </c>
      <c r="J413" s="38">
        <v>38</v>
      </c>
      <c r="K413" s="38">
        <v>7</v>
      </c>
      <c r="L413" s="38">
        <v>683</v>
      </c>
      <c r="M413" s="38">
        <v>1821</v>
      </c>
      <c r="N413" s="38">
        <f>'Automated raw'!$G54/'Automated raw'!$H54</f>
        <v>0.18932038834951456</v>
      </c>
      <c r="O413" s="41">
        <f>IFERROR('Automated raw'!$G54/'Automated raw'!$H54,"incomplete")</f>
        <v>0.18932038834951456</v>
      </c>
      <c r="P413" s="38">
        <f>'Automated raw'!$F54</f>
        <v>82</v>
      </c>
      <c r="Q413" s="42">
        <f>IFERROR('Automated raw'!$P54*'Automated raw'!$L54,0)</f>
        <v>123625</v>
      </c>
      <c r="R413" s="38" t="str">
        <f>IF('Automated raw'!$O54&gt;=60%,"High",IF('Automated raw'!$O54&gt;=30%,"Avg",IF('Automated raw'!$O54&lt;30%,"Dead Stock","Incomplete")))</f>
        <v>Avg</v>
      </c>
      <c r="S413" s="43" t="str">
        <f>TEXT('Automated raw'!$B54,"mmm")</f>
        <v>Sep</v>
      </c>
      <c r="T413" s="82">
        <f>'Automated raw'!$G54*'Automated raw'!$M54</f>
        <v>80379</v>
      </c>
      <c r="U413" s="6">
        <f>IFERROR((Table7[[#This Row],[Stock In(Total)]]+Table7[[#This Row],[In Stock or Remaining]])/2,"-")</f>
        <v>104.5</v>
      </c>
      <c r="V413" s="93">
        <f>IFERROR(Table7[[#This Row],[Stock_Out]]/Table7[[#This Row],[Avg Inventory]],"-")</f>
        <v>0.8995215311004785</v>
      </c>
      <c r="W413" s="6"/>
      <c r="X413" s="6"/>
      <c r="Y413" s="6"/>
      <c r="Z413" s="6"/>
      <c r="AA413" s="6"/>
      <c r="AB413" s="6"/>
      <c r="AC413" s="6"/>
      <c r="AD413" s="6"/>
      <c r="AE413" s="6"/>
      <c r="AF413" s="6"/>
      <c r="AG413" s="6"/>
      <c r="AH413" s="6"/>
      <c r="AI413" s="6"/>
      <c r="AJ413" s="6"/>
      <c r="AK413" s="6"/>
      <c r="AL413" t="s">
        <v>148</v>
      </c>
      <c r="AM413">
        <v>45493</v>
      </c>
      <c r="AN413" t="s">
        <v>19</v>
      </c>
      <c r="AO413" t="s">
        <v>17</v>
      </c>
      <c r="AP413" t="s">
        <v>14</v>
      </c>
      <c r="AQ413">
        <v>126</v>
      </c>
      <c r="AR413">
        <v>79</v>
      </c>
      <c r="AS413">
        <v>205</v>
      </c>
      <c r="AT413">
        <v>11</v>
      </c>
      <c r="AU413">
        <v>36</v>
      </c>
      <c r="AV413">
        <v>3</v>
      </c>
      <c r="AW413">
        <v>527</v>
      </c>
      <c r="AX413">
        <v>1846</v>
      </c>
      <c r="AY413">
        <v>0.38536585365853659</v>
      </c>
      <c r="AZ413">
        <v>0.38536585365853659</v>
      </c>
      <c r="BA413">
        <v>126</v>
      </c>
      <c r="BB413">
        <v>66402</v>
      </c>
      <c r="BC413" t="s">
        <v>551</v>
      </c>
      <c r="BD413" t="s">
        <v>556</v>
      </c>
      <c r="BE413">
        <v>145834</v>
      </c>
    </row>
    <row r="414" spans="1:57" x14ac:dyDescent="0.3">
      <c r="A414" s="38" t="s">
        <v>196</v>
      </c>
      <c r="B414" s="39">
        <v>45477</v>
      </c>
      <c r="C414" s="38" t="s">
        <v>45</v>
      </c>
      <c r="D414" s="38" t="s">
        <v>17</v>
      </c>
      <c r="E414" s="38" t="s">
        <v>38</v>
      </c>
      <c r="F414" s="40">
        <v>53</v>
      </c>
      <c r="G414" s="38">
        <v>57</v>
      </c>
      <c r="H414" s="38">
        <f>IFERROR('Automated raw'!$F166+'Automated raw'!$G166,"-")</f>
        <v>210</v>
      </c>
      <c r="I414" s="38">
        <v>108</v>
      </c>
      <c r="J414" s="38">
        <v>50</v>
      </c>
      <c r="K414" s="38">
        <v>2</v>
      </c>
      <c r="L414" s="38">
        <v>286</v>
      </c>
      <c r="M414" s="38">
        <v>779</v>
      </c>
      <c r="N414" s="38">
        <f>'Automated raw'!$G166/'Automated raw'!$H166</f>
        <v>0.73636363636363633</v>
      </c>
      <c r="O414" s="41">
        <f>IFERROR('Automated raw'!$G166/'Automated raw'!$H166,"incomplete")</f>
        <v>0.73636363636363633</v>
      </c>
      <c r="P414" s="38">
        <f>'Automated raw'!$F166</f>
        <v>129</v>
      </c>
      <c r="Q414" s="42">
        <f>IFERROR('Automated raw'!$P166*'Automated raw'!$L166,0)</f>
        <v>16642</v>
      </c>
      <c r="R414" s="38" t="str">
        <f>IF('Automated raw'!$O166&gt;=60%,"High",IF('Automated raw'!$O166&gt;=30%,"Avg",IF('Automated raw'!$O166&lt;30%,"Dead Stock","Incomplete")))</f>
        <v>Dead Stock</v>
      </c>
      <c r="S414" s="43" t="str">
        <f>TEXT('Automated raw'!$B166,"mmm")</f>
        <v>Nov</v>
      </c>
      <c r="T414" s="82">
        <f>'Automated raw'!$G166*'Automated raw'!$M166</f>
        <v>35559</v>
      </c>
      <c r="U414" s="6">
        <f>IFERROR((Table7[[#This Row],[Stock In(Total)]]+Table7[[#This Row],[In Stock or Remaining]])/2,"-")</f>
        <v>131.5</v>
      </c>
      <c r="V414" s="93">
        <f>IFERROR(Table7[[#This Row],[Stock_Out]]/Table7[[#This Row],[Avg Inventory]],"-")</f>
        <v>0.43346007604562736</v>
      </c>
      <c r="W414" s="6"/>
      <c r="X414" s="6"/>
      <c r="Y414" s="6"/>
      <c r="Z414" s="6"/>
      <c r="AA414" s="6"/>
      <c r="AB414" s="6"/>
      <c r="AC414" s="6"/>
      <c r="AD414" s="6"/>
      <c r="AE414" s="6"/>
      <c r="AF414" s="6"/>
      <c r="AG414" s="6"/>
      <c r="AH414" s="6"/>
      <c r="AI414" s="6"/>
      <c r="AJ414" s="6"/>
      <c r="AK414" s="6"/>
      <c r="AL414" t="s">
        <v>149</v>
      </c>
      <c r="AM414">
        <v>45405</v>
      </c>
      <c r="AN414" t="s">
        <v>45</v>
      </c>
      <c r="AO414" t="s">
        <v>17</v>
      </c>
      <c r="AP414" t="s">
        <v>38</v>
      </c>
      <c r="AQ414">
        <v>42</v>
      </c>
      <c r="AR414">
        <v>46</v>
      </c>
      <c r="AS414">
        <v>88</v>
      </c>
      <c r="AT414">
        <v>238</v>
      </c>
      <c r="AU414">
        <v>43</v>
      </c>
      <c r="AV414">
        <v>15</v>
      </c>
      <c r="AW414">
        <v>493</v>
      </c>
      <c r="AX414">
        <v>1309</v>
      </c>
      <c r="AY414">
        <v>0.52272727272727271</v>
      </c>
      <c r="AZ414">
        <v>0.52272727272727271</v>
      </c>
      <c r="BA414">
        <v>42</v>
      </c>
      <c r="BB414">
        <v>20706</v>
      </c>
      <c r="BC414" t="s">
        <v>551</v>
      </c>
      <c r="BD414" t="s">
        <v>558</v>
      </c>
      <c r="BE414">
        <v>60214</v>
      </c>
    </row>
    <row r="415" spans="1:57" x14ac:dyDescent="0.3">
      <c r="A415" s="38" t="s">
        <v>297</v>
      </c>
      <c r="B415" s="39">
        <v>45303</v>
      </c>
      <c r="C415" s="38" t="s">
        <v>53</v>
      </c>
      <c r="D415" s="38" t="s">
        <v>20</v>
      </c>
      <c r="E415" s="38" t="s">
        <v>14</v>
      </c>
      <c r="F415" s="40">
        <v>108</v>
      </c>
      <c r="G415" s="38">
        <v>117</v>
      </c>
      <c r="H415" s="38">
        <f>IFERROR('Automated raw'!$F266+'Automated raw'!$G266,"-")</f>
        <v>86</v>
      </c>
      <c r="I415" s="38">
        <v>104</v>
      </c>
      <c r="J415" s="38">
        <v>57</v>
      </c>
      <c r="K415" s="38">
        <v>2</v>
      </c>
      <c r="L415" s="38">
        <v>1220</v>
      </c>
      <c r="M415" s="38">
        <v>2236</v>
      </c>
      <c r="N415" s="38">
        <f>'Automated raw'!$G266/'Automated raw'!$H266</f>
        <v>0.20994475138121546</v>
      </c>
      <c r="O415" s="41">
        <f>IFERROR('Automated raw'!$G266/'Automated raw'!$H266,"incomplete")</f>
        <v>0.20994475138121546</v>
      </c>
      <c r="P415" s="38">
        <f>'Automated raw'!$F266</f>
        <v>48</v>
      </c>
      <c r="Q415" s="42">
        <f>IFERROR('Automated raw'!$P266*'Automated raw'!$L266,0)</f>
        <v>77064</v>
      </c>
      <c r="R415" s="38" t="str">
        <f>IF('Automated raw'!$O266&gt;=60%,"High",IF('Automated raw'!$O266&gt;=30%,"Avg",IF('Automated raw'!$O266&lt;30%,"Dead Stock","Incomplete")))</f>
        <v>High</v>
      </c>
      <c r="S415" s="43" t="str">
        <f>TEXT('Automated raw'!$B266,"mmm")</f>
        <v>Jun</v>
      </c>
      <c r="T415" s="82">
        <f>'Automated raw'!$G266*'Automated raw'!$M266</f>
        <v>76874</v>
      </c>
      <c r="U415" s="6">
        <f>IFERROR((Table7[[#This Row],[Stock In(Total)]]+Table7[[#This Row],[In Stock or Remaining]])/2,"-")</f>
        <v>97</v>
      </c>
      <c r="V415" s="93">
        <f>IFERROR(Table7[[#This Row],[Stock_Out]]/Table7[[#This Row],[Avg Inventory]],"-")</f>
        <v>1.2061855670103092</v>
      </c>
      <c r="W415" s="6"/>
      <c r="X415" s="6"/>
      <c r="Y415" s="6"/>
      <c r="Z415" s="6"/>
      <c r="AA415" s="6"/>
      <c r="AB415" s="6"/>
      <c r="AC415" s="6"/>
      <c r="AD415" s="6"/>
      <c r="AE415" s="6"/>
      <c r="AF415" s="6"/>
      <c r="AG415" s="6"/>
      <c r="AH415" s="6"/>
      <c r="AI415" s="6"/>
      <c r="AJ415" s="6"/>
      <c r="AK415" s="6"/>
      <c r="AL415" t="s">
        <v>150</v>
      </c>
      <c r="AM415">
        <v>45509</v>
      </c>
      <c r="AN415" t="s">
        <v>151</v>
      </c>
      <c r="AO415" t="s">
        <v>20</v>
      </c>
      <c r="AP415" t="s">
        <v>33</v>
      </c>
      <c r="AQ415">
        <v>66</v>
      </c>
      <c r="AR415">
        <v>89</v>
      </c>
      <c r="AS415">
        <v>155</v>
      </c>
      <c r="AT415">
        <v>117</v>
      </c>
      <c r="AU415">
        <v>43</v>
      </c>
      <c r="AV415">
        <v>7</v>
      </c>
      <c r="AW415">
        <v>1580</v>
      </c>
      <c r="AX415">
        <v>1969</v>
      </c>
      <c r="AY415">
        <v>0.5741935483870968</v>
      </c>
      <c r="AZ415">
        <v>0.5741935483870968</v>
      </c>
      <c r="BA415">
        <v>66</v>
      </c>
      <c r="BB415">
        <v>104280</v>
      </c>
      <c r="BC415" t="s">
        <v>551</v>
      </c>
      <c r="BD415" t="s">
        <v>554</v>
      </c>
      <c r="BE415">
        <v>175241</v>
      </c>
    </row>
    <row r="416" spans="1:57" x14ac:dyDescent="0.3">
      <c r="A416" s="38" t="s">
        <v>135</v>
      </c>
      <c r="B416" s="39">
        <v>45644</v>
      </c>
      <c r="C416" s="38" t="s">
        <v>19</v>
      </c>
      <c r="D416" s="38" t="s">
        <v>13</v>
      </c>
      <c r="E416" s="38" t="s">
        <v>38</v>
      </c>
      <c r="F416" s="40">
        <v>47</v>
      </c>
      <c r="G416" s="38">
        <v>51</v>
      </c>
      <c r="H416" s="38">
        <f>IFERROR('Automated raw'!$F108+'Automated raw'!$G108,"-")</f>
        <v>234</v>
      </c>
      <c r="I416" s="38">
        <v>108</v>
      </c>
      <c r="J416" s="38">
        <v>41</v>
      </c>
      <c r="K416" s="38">
        <v>3</v>
      </c>
      <c r="L416" s="38">
        <v>1905</v>
      </c>
      <c r="M416" s="38">
        <v>2527</v>
      </c>
      <c r="N416" s="38">
        <f>'Automated raw'!$G108/'Automated raw'!$H108</f>
        <v>0.56756756756756754</v>
      </c>
      <c r="O416" s="41">
        <f>IFERROR('Automated raw'!$G108/'Automated raw'!$H108,"incomplete")</f>
        <v>0.56756756756756754</v>
      </c>
      <c r="P416" s="38">
        <f>'Automated raw'!$F108</f>
        <v>150</v>
      </c>
      <c r="Q416" s="42">
        <f>IFERROR('Automated raw'!$P108*'Automated raw'!$L108,0)</f>
        <v>17082</v>
      </c>
      <c r="R416" s="38" t="str">
        <f>IF('Automated raw'!$O108&gt;=60%,"High",IF('Automated raw'!$O108&gt;=30%,"Avg",IF('Automated raw'!$O108&lt;30%,"Dead Stock","Incomplete")))</f>
        <v>High</v>
      </c>
      <c r="S416" s="43" t="str">
        <f>TEXT('Automated raw'!$B108,"mmm")</f>
        <v>Sep</v>
      </c>
      <c r="T416" s="82">
        <f>'Automated raw'!$G108*'Automated raw'!$M108</f>
        <v>83496</v>
      </c>
      <c r="U416" s="6">
        <f>IFERROR((Table7[[#This Row],[Stock In(Total)]]+Table7[[#This Row],[In Stock or Remaining]])/2,"-")</f>
        <v>140.5</v>
      </c>
      <c r="V416" s="93">
        <f>IFERROR(Table7[[#This Row],[Stock_Out]]/Table7[[#This Row],[Avg Inventory]],"-")</f>
        <v>0.36298932384341637</v>
      </c>
      <c r="W416" s="6"/>
      <c r="X416" s="6"/>
      <c r="Y416" s="6"/>
      <c r="Z416" s="6"/>
      <c r="AA416" s="6"/>
      <c r="AB416" s="6"/>
      <c r="AC416" s="6"/>
      <c r="AD416" s="6"/>
      <c r="AE416" s="6"/>
      <c r="AF416" s="6"/>
      <c r="AG416" s="6"/>
      <c r="AH416" s="6"/>
      <c r="AI416" s="6"/>
      <c r="AJ416" s="6"/>
      <c r="AK416" s="6"/>
      <c r="AL416" t="s">
        <v>152</v>
      </c>
      <c r="AM416">
        <v>45439</v>
      </c>
      <c r="AN416" t="s">
        <v>30</v>
      </c>
      <c r="AO416" t="s">
        <v>20</v>
      </c>
      <c r="AP416" t="s">
        <v>23</v>
      </c>
      <c r="AQ416">
        <v>76</v>
      </c>
      <c r="AR416">
        <v>70</v>
      </c>
      <c r="AS416">
        <v>146</v>
      </c>
      <c r="AT416">
        <v>98</v>
      </c>
      <c r="AU416">
        <v>48</v>
      </c>
      <c r="AV416">
        <v>12</v>
      </c>
      <c r="AW416">
        <v>765</v>
      </c>
      <c r="AX416">
        <v>1661</v>
      </c>
      <c r="AY416">
        <v>0.47945205479452052</v>
      </c>
      <c r="AZ416">
        <v>0.47945205479452052</v>
      </c>
      <c r="BA416">
        <v>76</v>
      </c>
      <c r="BB416">
        <v>58140</v>
      </c>
      <c r="BC416" t="s">
        <v>551</v>
      </c>
      <c r="BD416" t="s">
        <v>561</v>
      </c>
      <c r="BE416">
        <v>116270</v>
      </c>
    </row>
    <row r="417" spans="1:57" x14ac:dyDescent="0.3">
      <c r="A417" s="44" t="s">
        <v>149</v>
      </c>
      <c r="B417" s="45">
        <v>45405</v>
      </c>
      <c r="C417" s="44" t="s">
        <v>45</v>
      </c>
      <c r="D417" s="44" t="s">
        <v>17</v>
      </c>
      <c r="E417" s="44" t="s">
        <v>38</v>
      </c>
      <c r="F417" s="40">
        <v>42</v>
      </c>
      <c r="G417" s="44">
        <v>46</v>
      </c>
      <c r="H417" s="44">
        <f>IFERROR('Automated raw'!$F121+'Automated raw'!$G121,"-")</f>
        <v>178</v>
      </c>
      <c r="I417" s="44">
        <v>238</v>
      </c>
      <c r="J417" s="44">
        <v>43</v>
      </c>
      <c r="K417" s="44">
        <v>15</v>
      </c>
      <c r="L417" s="44">
        <v>493</v>
      </c>
      <c r="M417" s="44">
        <v>1309</v>
      </c>
      <c r="N417" s="44">
        <f>'Automated raw'!$G121/'Automated raw'!$H121</f>
        <v>0.7558139534883721</v>
      </c>
      <c r="O417" s="46">
        <f>IFERROR('Automated raw'!$G121/'Automated raw'!$H121,"incomplete")</f>
        <v>0.7558139534883721</v>
      </c>
      <c r="P417" s="44">
        <f>'Automated raw'!$F121</f>
        <v>113</v>
      </c>
      <c r="Q417" s="47">
        <f>IFERROR('Automated raw'!$P121*'Automated raw'!$L121,0)</f>
        <v>12656</v>
      </c>
      <c r="R417" s="44" t="str">
        <f>IF('Automated raw'!$O121&gt;=60%,"High",IF('Automated raw'!$O121&gt;=30%,"Avg",IF('Automated raw'!$O121&lt;30%,"Dead Stock","Incomplete")))</f>
        <v>Dead Stock</v>
      </c>
      <c r="S417" s="48" t="str">
        <f>TEXT('Automated raw'!$B121,"mmm")</f>
        <v>Jun</v>
      </c>
      <c r="T417" s="83">
        <f>'Automated raw'!$G121*'Automated raw'!$M121</f>
        <v>55055</v>
      </c>
      <c r="U417" s="6">
        <f>IFERROR((Table7[[#This Row],[Stock In(Total)]]+Table7[[#This Row],[In Stock or Remaining]])/2,"-")</f>
        <v>110</v>
      </c>
      <c r="V417" s="93">
        <f>IFERROR(Table7[[#This Row],[Stock_Out]]/Table7[[#This Row],[Avg Inventory]],"-")</f>
        <v>0.41818181818181815</v>
      </c>
      <c r="W417" s="6"/>
      <c r="X417" s="6"/>
      <c r="Y417" s="6"/>
      <c r="Z417" s="6"/>
      <c r="AA417" s="6"/>
      <c r="AB417" s="6"/>
      <c r="AC417" s="6"/>
      <c r="AD417" s="6"/>
      <c r="AE417" s="6"/>
      <c r="AF417" s="6"/>
      <c r="AG417" s="6"/>
      <c r="AH417" s="6"/>
      <c r="AI417" s="6"/>
      <c r="AJ417" s="6"/>
      <c r="AK417" s="6"/>
      <c r="AL417" t="s">
        <v>155</v>
      </c>
      <c r="AM417">
        <v>45526</v>
      </c>
      <c r="AN417" t="s">
        <v>19</v>
      </c>
      <c r="AO417" t="s">
        <v>20</v>
      </c>
      <c r="AP417" t="s">
        <v>33</v>
      </c>
      <c r="AQ417">
        <v>39</v>
      </c>
      <c r="AR417">
        <v>50</v>
      </c>
      <c r="AS417">
        <v>89</v>
      </c>
      <c r="AT417">
        <v>228</v>
      </c>
      <c r="AU417">
        <v>73</v>
      </c>
      <c r="AV417">
        <v>13</v>
      </c>
      <c r="AW417">
        <v>1727</v>
      </c>
      <c r="AX417">
        <v>2762</v>
      </c>
      <c r="AY417">
        <v>0.5617977528089888</v>
      </c>
      <c r="AZ417">
        <v>0.5617977528089888</v>
      </c>
      <c r="BA417">
        <v>39</v>
      </c>
      <c r="BB417">
        <v>67353</v>
      </c>
      <c r="BC417" t="s">
        <v>551</v>
      </c>
      <c r="BD417" t="s">
        <v>554</v>
      </c>
      <c r="BE417">
        <v>138100</v>
      </c>
    </row>
    <row r="418" spans="1:57" x14ac:dyDescent="0.3">
      <c r="A418" s="38" t="s">
        <v>451</v>
      </c>
      <c r="B418" s="39">
        <v>45600</v>
      </c>
      <c r="C418" s="38" t="s">
        <v>37</v>
      </c>
      <c r="D418" s="38" t="s">
        <v>20</v>
      </c>
      <c r="E418" s="38" t="s">
        <v>33</v>
      </c>
      <c r="F418" s="40">
        <v>44</v>
      </c>
      <c r="G418" s="38">
        <v>110</v>
      </c>
      <c r="H418" s="38">
        <f>IFERROR('Automated raw'!$F418+'Automated raw'!$G418,"-")</f>
        <v>154</v>
      </c>
      <c r="I418" s="38">
        <v>105</v>
      </c>
      <c r="J418" s="38">
        <v>66</v>
      </c>
      <c r="K418" s="38">
        <v>2</v>
      </c>
      <c r="L418" s="38">
        <v>425</v>
      </c>
      <c r="M418" s="38">
        <v>1099</v>
      </c>
      <c r="N418" s="38">
        <f>'Automated raw'!$G418/'Automated raw'!$H418</f>
        <v>0.7142857142857143</v>
      </c>
      <c r="O418" s="41">
        <f>IFERROR('Automated raw'!$G418/'Automated raw'!$H418,"incomplete")</f>
        <v>0.7142857142857143</v>
      </c>
      <c r="P418" s="38">
        <f>'Automated raw'!$F418</f>
        <v>44</v>
      </c>
      <c r="Q418" s="42">
        <f>IFERROR('Automated raw'!$P418*'Automated raw'!$L418,0)</f>
        <v>18700</v>
      </c>
      <c r="R418" s="38" t="str">
        <f>IF('Automated raw'!$O418&gt;=60%,"High",IF('Automated raw'!$O418&gt;=30%,"Avg",IF('Automated raw'!$O418&lt;30%,"Dead Stock","Incomplete")))</f>
        <v>High</v>
      </c>
      <c r="S418" s="43" t="str">
        <f>TEXT('Automated raw'!$B418,"mmm")</f>
        <v>Nov</v>
      </c>
      <c r="T418" s="82">
        <f>'Automated raw'!$G418*'Automated raw'!$M418</f>
        <v>120890</v>
      </c>
      <c r="U418" s="6">
        <f>IFERROR((Table7[[#This Row],[Stock In(Total)]]+Table7[[#This Row],[In Stock or Remaining]])/2,"-")</f>
        <v>99</v>
      </c>
      <c r="V418" s="93">
        <f>IFERROR(Table7[[#This Row],[Stock_Out]]/Table7[[#This Row],[Avg Inventory]],"-")</f>
        <v>1.1111111111111112</v>
      </c>
      <c r="W418" s="6"/>
      <c r="X418" s="6"/>
      <c r="Y418" s="6"/>
      <c r="Z418" s="6"/>
      <c r="AA418" s="6"/>
      <c r="AB418" s="6"/>
      <c r="AC418" s="6"/>
      <c r="AD418" s="6"/>
      <c r="AE418" s="6"/>
      <c r="AF418" s="6"/>
      <c r="AG418" s="6"/>
      <c r="AH418" s="6"/>
      <c r="AI418" s="6"/>
      <c r="AJ418" s="6"/>
      <c r="AK418" s="6"/>
      <c r="AL418" t="s">
        <v>156</v>
      </c>
      <c r="AM418">
        <v>45319</v>
      </c>
      <c r="AN418" t="s">
        <v>157</v>
      </c>
      <c r="AO418" t="s">
        <v>20</v>
      </c>
      <c r="AP418" t="s">
        <v>38</v>
      </c>
      <c r="AQ418">
        <v>114</v>
      </c>
      <c r="AR418">
        <v>67</v>
      </c>
      <c r="AS418">
        <v>181</v>
      </c>
      <c r="AT418">
        <v>43</v>
      </c>
      <c r="AU418">
        <v>32</v>
      </c>
      <c r="AV418">
        <v>13</v>
      </c>
      <c r="AW418">
        <v>843</v>
      </c>
      <c r="AX418">
        <v>1460</v>
      </c>
      <c r="AY418">
        <v>0.37016574585635359</v>
      </c>
      <c r="AZ418">
        <v>0.37016574585635359</v>
      </c>
      <c r="BA418">
        <v>114</v>
      </c>
      <c r="BB418">
        <v>96102</v>
      </c>
      <c r="BC418" t="s">
        <v>551</v>
      </c>
      <c r="BD418" t="s">
        <v>557</v>
      </c>
      <c r="BE418">
        <v>97820</v>
      </c>
    </row>
    <row r="419" spans="1:57" x14ac:dyDescent="0.3">
      <c r="A419" s="38" t="s">
        <v>355</v>
      </c>
      <c r="B419" s="39">
        <v>45471</v>
      </c>
      <c r="C419" s="38" t="s">
        <v>53</v>
      </c>
      <c r="D419" s="38" t="s">
        <v>17</v>
      </c>
      <c r="E419" s="38" t="s">
        <v>38</v>
      </c>
      <c r="F419" s="40">
        <v>106</v>
      </c>
      <c r="G419" s="38">
        <v>117</v>
      </c>
      <c r="H419" s="38">
        <f>IFERROR('Automated raw'!$F322+'Automated raw'!$G322,"-")</f>
        <v>125</v>
      </c>
      <c r="I419" s="38">
        <v>208</v>
      </c>
      <c r="J419" s="38">
        <v>34</v>
      </c>
      <c r="K419" s="38">
        <v>11</v>
      </c>
      <c r="L419" s="38">
        <v>1749</v>
      </c>
      <c r="M419" s="38">
        <v>2225</v>
      </c>
      <c r="N419" s="38">
        <f>'Automated raw'!$G322/'Automated raw'!$H322</f>
        <v>0.24680851063829787</v>
      </c>
      <c r="O419" s="41">
        <f>IFERROR('Automated raw'!$G322/'Automated raw'!$H322,"incomplete")</f>
        <v>0.24680851063829787</v>
      </c>
      <c r="P419" s="38">
        <f>'Automated raw'!$F322</f>
        <v>67</v>
      </c>
      <c r="Q419" s="42">
        <f>IFERROR('Automated raw'!$P322*'Automated raw'!$L322,0)</f>
        <v>160805</v>
      </c>
      <c r="R419" s="38" t="str">
        <f>IF('Automated raw'!$O322&gt;=60%,"High",IF('Automated raw'!$O322&gt;=30%,"Avg",IF('Automated raw'!$O322&lt;30%,"Dead Stock","Incomplete")))</f>
        <v>Avg</v>
      </c>
      <c r="S419" s="43" t="str">
        <f>TEXT('Automated raw'!$B322,"mmm")</f>
        <v>Nov</v>
      </c>
      <c r="T419" s="82">
        <f>'Automated raw'!$G322*'Automated raw'!$M322</f>
        <v>75052</v>
      </c>
      <c r="U419" s="6">
        <f>IFERROR((Table7[[#This Row],[Stock In(Total)]]+Table7[[#This Row],[In Stock or Remaining]])/2,"-")</f>
        <v>115.5</v>
      </c>
      <c r="V419" s="93">
        <f>IFERROR(Table7[[#This Row],[Stock_Out]]/Table7[[#This Row],[Avg Inventory]],"-")</f>
        <v>1.0129870129870129</v>
      </c>
      <c r="W419" s="6"/>
      <c r="X419" s="6"/>
      <c r="Y419" s="6"/>
      <c r="Z419" s="6"/>
      <c r="AA419" s="6"/>
      <c r="AB419" s="6"/>
      <c r="AC419" s="6"/>
      <c r="AD419" s="6"/>
      <c r="AE419" s="6"/>
      <c r="AF419" s="6"/>
      <c r="AG419" s="6"/>
      <c r="AH419" s="6"/>
      <c r="AI419" s="6"/>
      <c r="AJ419" s="6"/>
      <c r="AK419" s="6"/>
      <c r="AL419" t="s">
        <v>162</v>
      </c>
      <c r="AM419">
        <v>45373</v>
      </c>
      <c r="AN419" t="s">
        <v>45</v>
      </c>
      <c r="AO419" t="s">
        <v>13</v>
      </c>
      <c r="AP419" t="s">
        <v>33</v>
      </c>
      <c r="AQ419">
        <v>88</v>
      </c>
      <c r="AR419">
        <v>67</v>
      </c>
      <c r="AS419">
        <v>155</v>
      </c>
      <c r="AT419">
        <v>197</v>
      </c>
      <c r="AU419">
        <v>62</v>
      </c>
      <c r="AV419">
        <v>2</v>
      </c>
      <c r="AW419">
        <v>255</v>
      </c>
      <c r="AX419">
        <v>1224</v>
      </c>
      <c r="AY419">
        <v>0.43225806451612903</v>
      </c>
      <c r="AZ419">
        <v>0.43225806451612903</v>
      </c>
      <c r="BA419">
        <v>88</v>
      </c>
      <c r="BB419">
        <v>22440</v>
      </c>
      <c r="BC419" t="s">
        <v>551</v>
      </c>
      <c r="BD419" t="s">
        <v>562</v>
      </c>
      <c r="BE419">
        <v>82008</v>
      </c>
    </row>
    <row r="420" spans="1:57" x14ac:dyDescent="0.3">
      <c r="A420" s="44" t="s">
        <v>304</v>
      </c>
      <c r="B420" s="45">
        <v>45505</v>
      </c>
      <c r="C420" s="44" t="s">
        <v>305</v>
      </c>
      <c r="D420" s="44" t="s">
        <v>20</v>
      </c>
      <c r="E420" s="44" t="s">
        <v>21</v>
      </c>
      <c r="F420" s="40">
        <v>56</v>
      </c>
      <c r="G420" s="44">
        <v>62</v>
      </c>
      <c r="H420" s="44">
        <f>IFERROR('Automated raw'!$F273+'Automated raw'!$G273,"-")</f>
        <v>198</v>
      </c>
      <c r="I420" s="44">
        <v>156</v>
      </c>
      <c r="J420" s="44">
        <v>79</v>
      </c>
      <c r="K420" s="44">
        <v>7</v>
      </c>
      <c r="L420" s="44">
        <v>1786</v>
      </c>
      <c r="M420" s="44">
        <v>3028</v>
      </c>
      <c r="N420" s="44">
        <f>'Automated raw'!$G273/'Automated raw'!$H273</f>
        <v>0.42926829268292682</v>
      </c>
      <c r="O420" s="46">
        <f>IFERROR('Automated raw'!$G273/'Automated raw'!$H273,"incomplete")</f>
        <v>0.42926829268292682</v>
      </c>
      <c r="P420" s="44">
        <f>'Automated raw'!$F273</f>
        <v>110</v>
      </c>
      <c r="Q420" s="47">
        <f>IFERROR('Automated raw'!$P273*'Automated raw'!$L273,0)</f>
        <v>41451</v>
      </c>
      <c r="R420" s="44" t="str">
        <f>IF('Automated raw'!$O273&gt;=60%,"High",IF('Automated raw'!$O273&gt;=30%,"Avg",IF('Automated raw'!$O273&lt;30%,"Dead Stock","Incomplete")))</f>
        <v>High</v>
      </c>
      <c r="S420" s="48" t="str">
        <f>TEXT('Automated raw'!$B273,"mmm")</f>
        <v>Jul</v>
      </c>
      <c r="T420" s="83">
        <f>'Automated raw'!$G273*'Automated raw'!$M273</f>
        <v>137720</v>
      </c>
      <c r="U420" s="6">
        <f>IFERROR((Table7[[#This Row],[Stock In(Total)]]+Table7[[#This Row],[In Stock or Remaining]])/2,"-")</f>
        <v>127</v>
      </c>
      <c r="V420" s="93">
        <f>IFERROR(Table7[[#This Row],[Stock_Out]]/Table7[[#This Row],[Avg Inventory]],"-")</f>
        <v>0.48818897637795278</v>
      </c>
      <c r="W420" s="6"/>
      <c r="X420" s="6"/>
      <c r="Y420" s="6"/>
      <c r="Z420" s="6"/>
      <c r="AA420" s="6"/>
      <c r="AB420" s="6"/>
      <c r="AC420" s="6"/>
      <c r="AD420" s="6"/>
      <c r="AE420" s="6"/>
      <c r="AF420" s="6"/>
      <c r="AG420" s="6"/>
      <c r="AH420" s="6"/>
      <c r="AI420" s="6"/>
      <c r="AJ420" s="6"/>
      <c r="AK420" s="6"/>
      <c r="AL420" t="s">
        <v>165</v>
      </c>
      <c r="AM420">
        <v>45325</v>
      </c>
      <c r="AN420" t="s">
        <v>19</v>
      </c>
      <c r="AO420" t="s">
        <v>17</v>
      </c>
      <c r="AP420" t="s">
        <v>14</v>
      </c>
      <c r="AQ420">
        <v>73</v>
      </c>
      <c r="AR420">
        <v>32</v>
      </c>
      <c r="AS420">
        <v>105</v>
      </c>
      <c r="AT420">
        <v>34</v>
      </c>
      <c r="AU420">
        <v>77</v>
      </c>
      <c r="AV420">
        <v>14</v>
      </c>
      <c r="AW420">
        <v>1334</v>
      </c>
      <c r="AX420">
        <v>2830</v>
      </c>
      <c r="AY420">
        <v>0.30476190476190479</v>
      </c>
      <c r="AZ420">
        <v>0.30476190476190479</v>
      </c>
      <c r="BA420">
        <v>73</v>
      </c>
      <c r="BB420">
        <v>97382</v>
      </c>
      <c r="BC420" t="s">
        <v>551</v>
      </c>
      <c r="BD420" t="s">
        <v>555</v>
      </c>
      <c r="BE420">
        <v>90560</v>
      </c>
    </row>
    <row r="421" spans="1:57" x14ac:dyDescent="0.3">
      <c r="A421" s="44" t="s">
        <v>454</v>
      </c>
      <c r="B421" s="45">
        <v>45463</v>
      </c>
      <c r="C421" s="44" t="s">
        <v>12</v>
      </c>
      <c r="D421" s="44" t="s">
        <v>17</v>
      </c>
      <c r="E421" s="44" t="s">
        <v>33</v>
      </c>
      <c r="F421" s="40">
        <v>63</v>
      </c>
      <c r="G421" s="44">
        <v>12</v>
      </c>
      <c r="H421" s="44">
        <f>IFERROR('Automated raw'!$F421+'Automated raw'!$G421,"-")</f>
        <v>75</v>
      </c>
      <c r="I421" s="44">
        <v>296</v>
      </c>
      <c r="J421" s="44">
        <v>40</v>
      </c>
      <c r="K421" s="44">
        <v>6</v>
      </c>
      <c r="L421" s="44">
        <v>1004</v>
      </c>
      <c r="M421" s="44">
        <v>2138</v>
      </c>
      <c r="N421" s="44">
        <f>'Automated raw'!$G421/'Automated raw'!$H421</f>
        <v>0.16</v>
      </c>
      <c r="O421" s="46">
        <f>IFERROR('Automated raw'!$G421/'Automated raw'!$H421,"incomplete")</f>
        <v>0.16</v>
      </c>
      <c r="P421" s="44">
        <f>'Automated raw'!$F421</f>
        <v>63</v>
      </c>
      <c r="Q421" s="47">
        <f>IFERROR('Automated raw'!$P421*'Automated raw'!$L421,0)</f>
        <v>63252</v>
      </c>
      <c r="R421" s="44" t="str">
        <f>IF('Automated raw'!$O421&gt;=60%,"High",IF('Automated raw'!$O421&gt;=30%,"Avg",IF('Automated raw'!$O421&lt;30%,"Dead Stock","Incomplete")))</f>
        <v>Dead Stock</v>
      </c>
      <c r="S421" s="48" t="str">
        <f>TEXT('Automated raw'!$B421,"mmm")</f>
        <v>Jun</v>
      </c>
      <c r="T421" s="83">
        <f>'Automated raw'!$G421*'Automated raw'!$M421</f>
        <v>25656</v>
      </c>
      <c r="U421" s="6">
        <f>IFERROR((Table7[[#This Row],[Stock In(Total)]]+Table7[[#This Row],[In Stock or Remaining]])/2,"-")</f>
        <v>69</v>
      </c>
      <c r="V421" s="93">
        <f>IFERROR(Table7[[#This Row],[Stock_Out]]/Table7[[#This Row],[Avg Inventory]],"-")</f>
        <v>0.17391304347826086</v>
      </c>
      <c r="W421" s="6"/>
      <c r="X421" s="6"/>
      <c r="Y421" s="6"/>
      <c r="Z421" s="6"/>
      <c r="AA421" s="6"/>
      <c r="AB421" s="6"/>
      <c r="AC421" s="6"/>
      <c r="AD421" s="6"/>
      <c r="AE421" s="6"/>
      <c r="AF421" s="6"/>
      <c r="AG421" s="6"/>
      <c r="AH421" s="6"/>
      <c r="AI421" s="6"/>
      <c r="AJ421" s="6"/>
      <c r="AK421" s="6"/>
      <c r="AL421" t="s">
        <v>168</v>
      </c>
      <c r="AM421">
        <v>45412</v>
      </c>
      <c r="AN421" t="s">
        <v>37</v>
      </c>
      <c r="AO421" t="s">
        <v>13</v>
      </c>
      <c r="AP421" t="s">
        <v>38</v>
      </c>
      <c r="AQ421">
        <v>71</v>
      </c>
      <c r="AR421">
        <v>59</v>
      </c>
      <c r="AS421">
        <v>130</v>
      </c>
      <c r="AT421">
        <v>180</v>
      </c>
      <c r="AU421">
        <v>55</v>
      </c>
      <c r="AV421">
        <v>4</v>
      </c>
      <c r="AW421">
        <v>409</v>
      </c>
      <c r="AX421">
        <v>878</v>
      </c>
      <c r="AY421">
        <v>0.45384615384615384</v>
      </c>
      <c r="AZ421">
        <v>0.45384615384615384</v>
      </c>
      <c r="BA421">
        <v>71</v>
      </c>
      <c r="BB421">
        <v>29039</v>
      </c>
      <c r="BC421" t="s">
        <v>551</v>
      </c>
      <c r="BD421" t="s">
        <v>558</v>
      </c>
      <c r="BE421">
        <v>51802</v>
      </c>
    </row>
    <row r="422" spans="1:57" x14ac:dyDescent="0.3">
      <c r="A422" s="38" t="s">
        <v>455</v>
      </c>
      <c r="B422" s="39">
        <v>45623</v>
      </c>
      <c r="C422" s="38" t="s">
        <v>37</v>
      </c>
      <c r="D422" s="38" t="s">
        <v>20</v>
      </c>
      <c r="E422" s="38" t="s">
        <v>14</v>
      </c>
      <c r="F422" s="40">
        <v>50</v>
      </c>
      <c r="G422" s="38">
        <v>81</v>
      </c>
      <c r="H422" s="38">
        <f>IFERROR('Automated raw'!$F422+'Automated raw'!$G422,"-")</f>
        <v>131</v>
      </c>
      <c r="I422" s="38">
        <v>142</v>
      </c>
      <c r="J422" s="38">
        <v>79</v>
      </c>
      <c r="K422" s="38">
        <v>9</v>
      </c>
      <c r="L422" s="38">
        <v>637</v>
      </c>
      <c r="M422" s="38">
        <v>1058</v>
      </c>
      <c r="N422" s="38">
        <f>'Automated raw'!$G422/'Automated raw'!$H422</f>
        <v>0.61832061068702293</v>
      </c>
      <c r="O422" s="41">
        <f>IFERROR('Automated raw'!$G422/'Automated raw'!$H422,"incomplete")</f>
        <v>0.61832061068702293</v>
      </c>
      <c r="P422" s="38">
        <f>'Automated raw'!$F422</f>
        <v>50</v>
      </c>
      <c r="Q422" s="42">
        <f>IFERROR('Automated raw'!$P422*'Automated raw'!$L422,0)</f>
        <v>31850</v>
      </c>
      <c r="R422" s="38" t="str">
        <f>IF('Automated raw'!$O422&gt;=60%,"High",IF('Automated raw'!$O422&gt;=30%,"Avg",IF('Automated raw'!$O422&lt;30%,"Dead Stock","Incomplete")))</f>
        <v>High</v>
      </c>
      <c r="S422" s="43" t="str">
        <f>TEXT('Automated raw'!$B422,"mmm")</f>
        <v>Nov</v>
      </c>
      <c r="T422" s="82">
        <f>'Automated raw'!$G422*'Automated raw'!$M422</f>
        <v>85698</v>
      </c>
      <c r="U422" s="6">
        <f>IFERROR((Table7[[#This Row],[Stock In(Total)]]+Table7[[#This Row],[In Stock or Remaining]])/2,"-")</f>
        <v>90.5</v>
      </c>
      <c r="V422" s="93">
        <f>IFERROR(Table7[[#This Row],[Stock_Out]]/Table7[[#This Row],[Avg Inventory]],"-")</f>
        <v>0.89502762430939231</v>
      </c>
      <c r="W422" s="6"/>
      <c r="X422" s="6"/>
      <c r="Y422" s="6"/>
      <c r="Z422" s="6"/>
      <c r="AA422" s="6"/>
      <c r="AB422" s="6"/>
      <c r="AC422" s="6"/>
      <c r="AD422" s="6"/>
      <c r="AE422" s="6"/>
      <c r="AF422" s="6"/>
      <c r="AG422" s="6"/>
      <c r="AH422" s="6"/>
      <c r="AI422" s="6"/>
      <c r="AJ422" s="6"/>
      <c r="AK422" s="6"/>
      <c r="AL422" t="s">
        <v>169</v>
      </c>
      <c r="AM422">
        <v>45454</v>
      </c>
      <c r="AN422" t="s">
        <v>53</v>
      </c>
      <c r="AO422" t="s">
        <v>20</v>
      </c>
      <c r="AP422" t="s">
        <v>33</v>
      </c>
      <c r="AQ422">
        <v>48</v>
      </c>
      <c r="AR422">
        <v>38</v>
      </c>
      <c r="AS422">
        <v>86</v>
      </c>
      <c r="AT422">
        <v>160</v>
      </c>
      <c r="AU422">
        <v>34</v>
      </c>
      <c r="AV422">
        <v>14</v>
      </c>
      <c r="AW422">
        <v>676</v>
      </c>
      <c r="AX422">
        <v>2023</v>
      </c>
      <c r="AY422">
        <v>0.44186046511627908</v>
      </c>
      <c r="AZ422">
        <v>0.44186046511627908</v>
      </c>
      <c r="BA422">
        <v>48</v>
      </c>
      <c r="BB422">
        <v>32448</v>
      </c>
      <c r="BC422" t="s">
        <v>551</v>
      </c>
      <c r="BD422" t="s">
        <v>559</v>
      </c>
      <c r="BE422">
        <v>76874</v>
      </c>
    </row>
    <row r="423" spans="1:57" x14ac:dyDescent="0.3">
      <c r="A423" s="44" t="s">
        <v>420</v>
      </c>
      <c r="B423" s="45">
        <v>45532</v>
      </c>
      <c r="C423" s="44" t="s">
        <v>16</v>
      </c>
      <c r="D423" s="44" t="s">
        <v>17</v>
      </c>
      <c r="E423" s="44" t="s">
        <v>14</v>
      </c>
      <c r="F423" s="40">
        <v>28</v>
      </c>
      <c r="G423" s="44">
        <v>31</v>
      </c>
      <c r="H423" s="44">
        <f>IFERROR('Automated raw'!$F387+'Automated raw'!$G387,"-")</f>
        <v>118</v>
      </c>
      <c r="I423" s="44">
        <v>120</v>
      </c>
      <c r="J423" s="44">
        <v>65</v>
      </c>
      <c r="K423" s="44">
        <v>6</v>
      </c>
      <c r="L423" s="44">
        <v>1501</v>
      </c>
      <c r="M423" s="44">
        <v>2323</v>
      </c>
      <c r="N423" s="44">
        <f>'Automated raw'!$G387/'Automated raw'!$H387</f>
        <v>0.59405940594059403</v>
      </c>
      <c r="O423" s="46">
        <f>IFERROR('Automated raw'!$G387/'Automated raw'!$H387,"incomplete")</f>
        <v>0.59405940594059403</v>
      </c>
      <c r="P423" s="44">
        <f>'Automated raw'!$F387</f>
        <v>58</v>
      </c>
      <c r="Q423" s="47">
        <f>IFERROR('Automated raw'!$P387*'Automated raw'!$L387,0)</f>
        <v>41000</v>
      </c>
      <c r="R423" s="44" t="str">
        <f>IF('Automated raw'!$O387&gt;=60%,"High",IF('Automated raw'!$O387&gt;=30%,"Avg",IF('Automated raw'!$O387&lt;30%,"Dead Stock","Incomplete")))</f>
        <v>Avg</v>
      </c>
      <c r="S423" s="48" t="str">
        <f>TEXT('Automated raw'!$B387,"mmm")</f>
        <v>Dec</v>
      </c>
      <c r="T423" s="83">
        <f>'Automated raw'!$G387*'Automated raw'!$M387</f>
        <v>148740</v>
      </c>
      <c r="U423" s="6">
        <f>IFERROR((Table7[[#This Row],[Stock In(Total)]]+Table7[[#This Row],[In Stock or Remaining]])/2,"-")</f>
        <v>73</v>
      </c>
      <c r="V423" s="93">
        <f>IFERROR(Table7[[#This Row],[Stock_Out]]/Table7[[#This Row],[Avg Inventory]],"-")</f>
        <v>0.42465753424657532</v>
      </c>
      <c r="W423" s="6"/>
      <c r="X423" s="6"/>
      <c r="Y423" s="6"/>
      <c r="Z423" s="6"/>
      <c r="AA423" s="6"/>
      <c r="AB423" s="6"/>
      <c r="AC423" s="6"/>
      <c r="AD423" s="6"/>
      <c r="AE423" s="6"/>
      <c r="AF423" s="6"/>
      <c r="AG423" s="6"/>
      <c r="AH423" s="6"/>
      <c r="AI423" s="6"/>
      <c r="AJ423" s="6"/>
      <c r="AK423" s="6"/>
      <c r="AL423" t="s">
        <v>170</v>
      </c>
      <c r="AM423">
        <v>45356</v>
      </c>
      <c r="AN423" t="s">
        <v>19</v>
      </c>
      <c r="AO423" t="s">
        <v>17</v>
      </c>
      <c r="AP423" t="s">
        <v>33</v>
      </c>
      <c r="AQ423">
        <v>84</v>
      </c>
      <c r="AR423">
        <v>76</v>
      </c>
      <c r="AS423">
        <v>160</v>
      </c>
      <c r="AT423">
        <v>224</v>
      </c>
      <c r="AU423">
        <v>75</v>
      </c>
      <c r="AV423">
        <v>11</v>
      </c>
      <c r="AW423">
        <v>529</v>
      </c>
      <c r="AX423">
        <v>1606</v>
      </c>
      <c r="AY423">
        <v>0.47499999999999998</v>
      </c>
      <c r="AZ423">
        <v>0.47499999999999998</v>
      </c>
      <c r="BA423">
        <v>84</v>
      </c>
      <c r="BB423">
        <v>44436</v>
      </c>
      <c r="BC423" t="s">
        <v>551</v>
      </c>
      <c r="BD423" t="s">
        <v>562</v>
      </c>
      <c r="BE423">
        <v>122056</v>
      </c>
    </row>
    <row r="424" spans="1:57" x14ac:dyDescent="0.3">
      <c r="A424" s="44" t="s">
        <v>179</v>
      </c>
      <c r="B424" s="45">
        <v>45563</v>
      </c>
      <c r="C424" s="44" t="s">
        <v>26</v>
      </c>
      <c r="D424" s="44" t="s">
        <v>13</v>
      </c>
      <c r="E424" s="44" t="s">
        <v>21</v>
      </c>
      <c r="F424" s="40">
        <v>9</v>
      </c>
      <c r="G424" s="44">
        <v>10</v>
      </c>
      <c r="H424" s="44">
        <f>IFERROR('Automated raw'!$F149+'Automated raw'!$G149,"-")</f>
        <v>88</v>
      </c>
      <c r="I424" s="44">
        <v>141</v>
      </c>
      <c r="J424" s="44">
        <v>37</v>
      </c>
      <c r="K424" s="44">
        <v>7</v>
      </c>
      <c r="L424" s="44">
        <v>1196</v>
      </c>
      <c r="M424" s="44">
        <v>1797</v>
      </c>
      <c r="N424" s="44">
        <f>'Automated raw'!$G149/'Automated raw'!$H149</f>
        <v>1.736842105263158</v>
      </c>
      <c r="O424" s="46">
        <f>IFERROR('Automated raw'!$G149/'Automated raw'!$H149,"incomplete")</f>
        <v>1.736842105263158</v>
      </c>
      <c r="P424" s="44">
        <f>'Automated raw'!$F149</f>
        <v>55</v>
      </c>
      <c r="Q424" s="47">
        <f>IFERROR('Automated raw'!$P149*'Automated raw'!$L149,0)</f>
        <v>16885</v>
      </c>
      <c r="R424" s="44" t="str">
        <f>IF('Automated raw'!$O149&gt;=60%,"High",IF('Automated raw'!$O149&gt;=30%,"Avg",IF('Automated raw'!$O149&lt;30%,"Dead Stock","Incomplete")))</f>
        <v>Dead Stock</v>
      </c>
      <c r="S424" s="48" t="str">
        <f>TEXT('Automated raw'!$B149,"mmm")</f>
        <v>Oct</v>
      </c>
      <c r="T424" s="83">
        <f>'Automated raw'!$G149*'Automated raw'!$M149</f>
        <v>96624</v>
      </c>
      <c r="U424" s="6">
        <f>IFERROR((Table7[[#This Row],[Stock In(Total)]]+Table7[[#This Row],[In Stock or Remaining]])/2,"-")</f>
        <v>48.5</v>
      </c>
      <c r="V424" s="93">
        <f>IFERROR(Table7[[#This Row],[Stock_Out]]/Table7[[#This Row],[Avg Inventory]],"-")</f>
        <v>0.20618556701030927</v>
      </c>
      <c r="W424" s="6"/>
      <c r="X424" s="6"/>
      <c r="Y424" s="6"/>
      <c r="Z424" s="6"/>
      <c r="AA424" s="6"/>
      <c r="AB424" s="6"/>
      <c r="AC424" s="6"/>
      <c r="AD424" s="6"/>
      <c r="AE424" s="6"/>
      <c r="AF424" s="6"/>
      <c r="AG424" s="6"/>
      <c r="AH424" s="6"/>
      <c r="AI424" s="6"/>
      <c r="AJ424" s="6"/>
      <c r="AK424" s="6"/>
      <c r="AL424" t="s">
        <v>172</v>
      </c>
      <c r="AM424">
        <v>45335</v>
      </c>
      <c r="AN424" t="s">
        <v>37</v>
      </c>
      <c r="AO424" t="s">
        <v>13</v>
      </c>
      <c r="AP424" t="s">
        <v>38</v>
      </c>
      <c r="AQ424">
        <v>136</v>
      </c>
      <c r="AR424">
        <v>71</v>
      </c>
      <c r="AS424">
        <v>207</v>
      </c>
      <c r="AT424">
        <v>130</v>
      </c>
      <c r="AU424">
        <v>76</v>
      </c>
      <c r="AV424">
        <v>15</v>
      </c>
      <c r="AW424">
        <v>1168</v>
      </c>
      <c r="AX424">
        <v>1733</v>
      </c>
      <c r="AY424">
        <v>0.34299516908212563</v>
      </c>
      <c r="AZ424">
        <v>0.34299516908212563</v>
      </c>
      <c r="BA424">
        <v>136</v>
      </c>
      <c r="BB424">
        <v>158848</v>
      </c>
      <c r="BC424" t="s">
        <v>551</v>
      </c>
      <c r="BD424" t="s">
        <v>555</v>
      </c>
      <c r="BE424">
        <v>123043</v>
      </c>
    </row>
    <row r="425" spans="1:57" x14ac:dyDescent="0.3">
      <c r="A425" s="44" t="s">
        <v>173</v>
      </c>
      <c r="B425" s="45">
        <v>45646</v>
      </c>
      <c r="C425" s="44" t="s">
        <v>16</v>
      </c>
      <c r="D425" s="44" t="s">
        <v>20</v>
      </c>
      <c r="E425" s="44" t="s">
        <v>33</v>
      </c>
      <c r="F425" s="40">
        <v>42</v>
      </c>
      <c r="G425" s="44">
        <v>47</v>
      </c>
      <c r="H425" s="44">
        <f>IFERROR('Automated raw'!$F143+'Automated raw'!$G143,"-")</f>
        <v>139</v>
      </c>
      <c r="I425" s="44">
        <v>154</v>
      </c>
      <c r="J425" s="44">
        <v>75</v>
      </c>
      <c r="K425" s="44">
        <v>3</v>
      </c>
      <c r="L425" s="44">
        <v>1875</v>
      </c>
      <c r="M425" s="44">
        <v>2179</v>
      </c>
      <c r="N425" s="44">
        <f>'Automated raw'!$G143/'Automated raw'!$H143</f>
        <v>0.20392156862745098</v>
      </c>
      <c r="O425" s="46">
        <f>IFERROR('Automated raw'!$G143/'Automated raw'!$H143,"incomplete")</f>
        <v>0.20392156862745098</v>
      </c>
      <c r="P425" s="44">
        <f>'Automated raw'!$F143</f>
        <v>87</v>
      </c>
      <c r="Q425" s="47">
        <f>IFERROR('Automated raw'!$P143*'Automated raw'!$L143,0)</f>
        <v>157500</v>
      </c>
      <c r="R425" s="44" t="str">
        <f>IF('Automated raw'!$O143&gt;=60%,"High",IF('Automated raw'!$O143&gt;=30%,"Avg",IF('Automated raw'!$O143&lt;30%,"Dead Stock","Incomplete")))</f>
        <v>High</v>
      </c>
      <c r="S425" s="48" t="str">
        <f>TEXT('Automated raw'!$B143,"mmm")</f>
        <v>Jul</v>
      </c>
      <c r="T425" s="83">
        <f>'Automated raw'!$G143*'Automated raw'!$M143</f>
        <v>128856</v>
      </c>
      <c r="U425" s="6">
        <f>IFERROR((Table7[[#This Row],[Stock In(Total)]]+Table7[[#This Row],[In Stock or Remaining]])/2,"-")</f>
        <v>90.5</v>
      </c>
      <c r="V425" s="93">
        <f>IFERROR(Table7[[#This Row],[Stock_Out]]/Table7[[#This Row],[Avg Inventory]],"-")</f>
        <v>0.51933701657458564</v>
      </c>
      <c r="W425" s="6"/>
      <c r="X425" s="6"/>
      <c r="Y425" s="6"/>
      <c r="Z425" s="6"/>
      <c r="AA425" s="6"/>
      <c r="AB425" s="6"/>
      <c r="AC425" s="6"/>
      <c r="AD425" s="6"/>
      <c r="AE425" s="6"/>
      <c r="AF425" s="6"/>
      <c r="AG425" s="6"/>
      <c r="AH425" s="6"/>
      <c r="AI425" s="6"/>
      <c r="AJ425" s="6"/>
      <c r="AK425" s="6"/>
      <c r="AL425" t="s">
        <v>173</v>
      </c>
      <c r="AM425">
        <v>45646</v>
      </c>
      <c r="AN425" t="s">
        <v>16</v>
      </c>
      <c r="AO425" t="s">
        <v>20</v>
      </c>
      <c r="AP425" t="s">
        <v>33</v>
      </c>
      <c r="AQ425">
        <v>42</v>
      </c>
      <c r="AR425">
        <v>47</v>
      </c>
      <c r="AS425">
        <v>89</v>
      </c>
      <c r="AT425">
        <v>154</v>
      </c>
      <c r="AU425">
        <v>75</v>
      </c>
      <c r="AV425">
        <v>3</v>
      </c>
      <c r="AW425">
        <v>1875</v>
      </c>
      <c r="AX425">
        <v>2179</v>
      </c>
      <c r="AY425">
        <v>0.5280898876404494</v>
      </c>
      <c r="AZ425">
        <v>0.5280898876404494</v>
      </c>
      <c r="BA425">
        <v>42</v>
      </c>
      <c r="BB425">
        <v>78750</v>
      </c>
      <c r="BC425" t="s">
        <v>551</v>
      </c>
      <c r="BD425" t="s">
        <v>563</v>
      </c>
      <c r="BE425">
        <v>102413</v>
      </c>
    </row>
    <row r="426" spans="1:57" x14ac:dyDescent="0.3">
      <c r="A426" s="38" t="s">
        <v>459</v>
      </c>
      <c r="B426" s="39">
        <v>45453</v>
      </c>
      <c r="C426" s="38" t="s">
        <v>26</v>
      </c>
      <c r="D426" s="38" t="s">
        <v>17</v>
      </c>
      <c r="E426" s="38" t="s">
        <v>38</v>
      </c>
      <c r="F426" s="40">
        <v>33</v>
      </c>
      <c r="G426" s="38">
        <v>12</v>
      </c>
      <c r="H426" s="38">
        <f>IFERROR('Automated raw'!$F426+'Automated raw'!$G426,"-")</f>
        <v>45</v>
      </c>
      <c r="I426" s="38">
        <v>128</v>
      </c>
      <c r="J426" s="38">
        <v>64</v>
      </c>
      <c r="K426" s="38">
        <v>13</v>
      </c>
      <c r="L426" s="38">
        <v>1811</v>
      </c>
      <c r="M426" s="38">
        <v>2202</v>
      </c>
      <c r="N426" s="38">
        <f>'Automated raw'!$G426/'Automated raw'!$H426</f>
        <v>0.26666666666666666</v>
      </c>
      <c r="O426" s="41">
        <f>IFERROR('Automated raw'!$G426/'Automated raw'!$H426,"incomplete")</f>
        <v>0.26666666666666666</v>
      </c>
      <c r="P426" s="38">
        <f>'Automated raw'!$F426</f>
        <v>33</v>
      </c>
      <c r="Q426" s="42">
        <f>IFERROR('Automated raw'!$P426*'Automated raw'!$L426,0)</f>
        <v>59763</v>
      </c>
      <c r="R426" s="38" t="str">
        <f>IF('Automated raw'!$O426&gt;=60%,"High",IF('Automated raw'!$O426&gt;=30%,"Avg",IF('Automated raw'!$O426&lt;30%,"Dead Stock","Incomplete")))</f>
        <v>Dead Stock</v>
      </c>
      <c r="S426" s="43" t="str">
        <f>TEXT('Automated raw'!$B426,"mmm")</f>
        <v>Jun</v>
      </c>
      <c r="T426" s="82">
        <f>'Automated raw'!$G426*'Automated raw'!$M426</f>
        <v>26424</v>
      </c>
      <c r="U426" s="6">
        <f>IFERROR((Table7[[#This Row],[Stock In(Total)]]+Table7[[#This Row],[In Stock or Remaining]])/2,"-")</f>
        <v>39</v>
      </c>
      <c r="V426" s="93">
        <f>IFERROR(Table7[[#This Row],[Stock_Out]]/Table7[[#This Row],[Avg Inventory]],"-")</f>
        <v>0.30769230769230771</v>
      </c>
      <c r="W426" s="6"/>
      <c r="X426" s="6"/>
      <c r="Y426" s="6"/>
      <c r="Z426" s="6"/>
      <c r="AA426" s="6"/>
      <c r="AB426" s="6"/>
      <c r="AC426" s="6"/>
      <c r="AD426" s="6"/>
      <c r="AE426" s="6"/>
      <c r="AF426" s="6"/>
      <c r="AG426" s="6"/>
      <c r="AH426" s="6"/>
      <c r="AI426" s="6"/>
      <c r="AJ426" s="6"/>
      <c r="AK426" s="6"/>
      <c r="AL426" t="s">
        <v>178</v>
      </c>
      <c r="AM426">
        <v>45462</v>
      </c>
      <c r="AN426" t="s">
        <v>12</v>
      </c>
      <c r="AO426" t="s">
        <v>17</v>
      </c>
      <c r="AP426" t="s">
        <v>21</v>
      </c>
      <c r="AQ426">
        <v>67</v>
      </c>
      <c r="AR426">
        <v>53</v>
      </c>
      <c r="AS426">
        <v>120</v>
      </c>
      <c r="AT426">
        <v>211</v>
      </c>
      <c r="AU426">
        <v>36</v>
      </c>
      <c r="AV426">
        <v>9</v>
      </c>
      <c r="AW426">
        <v>572</v>
      </c>
      <c r="AX426">
        <v>793</v>
      </c>
      <c r="AY426">
        <v>0.44166666666666665</v>
      </c>
      <c r="AZ426">
        <v>0.44166666666666665</v>
      </c>
      <c r="BA426">
        <v>67</v>
      </c>
      <c r="BB426">
        <v>38324</v>
      </c>
      <c r="BC426" t="s">
        <v>551</v>
      </c>
      <c r="BD426" t="s">
        <v>559</v>
      </c>
      <c r="BE426">
        <v>42029</v>
      </c>
    </row>
    <row r="427" spans="1:57" x14ac:dyDescent="0.3">
      <c r="A427" s="44" t="s">
        <v>460</v>
      </c>
      <c r="B427" s="45">
        <v>45359</v>
      </c>
      <c r="C427" s="44" t="s">
        <v>16</v>
      </c>
      <c r="D427" s="44" t="s">
        <v>20</v>
      </c>
      <c r="E427" s="44" t="s">
        <v>14</v>
      </c>
      <c r="F427" s="40">
        <v>27</v>
      </c>
      <c r="G427" s="44">
        <v>114</v>
      </c>
      <c r="H427" s="44">
        <f>IFERROR('Automated raw'!$F427+'Automated raw'!$G427,"-")</f>
        <v>141</v>
      </c>
      <c r="I427" s="44">
        <v>231</v>
      </c>
      <c r="J427" s="44">
        <v>32</v>
      </c>
      <c r="K427" s="44">
        <v>7</v>
      </c>
      <c r="L427" s="44">
        <v>1423</v>
      </c>
      <c r="M427" s="44">
        <v>1595</v>
      </c>
      <c r="N427" s="44">
        <f>'Automated raw'!$G427/'Automated raw'!$H427</f>
        <v>0.80851063829787229</v>
      </c>
      <c r="O427" s="46">
        <f>IFERROR('Automated raw'!$G427/'Automated raw'!$H427,"incomplete")</f>
        <v>0.80851063829787229</v>
      </c>
      <c r="P427" s="44">
        <f>'Automated raw'!$F427</f>
        <v>27</v>
      </c>
      <c r="Q427" s="47">
        <f>IFERROR('Automated raw'!$P427*'Automated raw'!$L427,0)</f>
        <v>38421</v>
      </c>
      <c r="R427" s="44" t="str">
        <f>IF('Automated raw'!$O427&gt;=60%,"High",IF('Automated raw'!$O427&gt;=30%,"Avg",IF('Automated raw'!$O427&lt;30%,"Dead Stock","Incomplete")))</f>
        <v>High</v>
      </c>
      <c r="S427" s="48" t="str">
        <f>TEXT('Automated raw'!$B427,"mmm")</f>
        <v>Mar</v>
      </c>
      <c r="T427" s="83">
        <f>'Automated raw'!$G427*'Automated raw'!$M427</f>
        <v>181830</v>
      </c>
      <c r="U427" s="6">
        <f>IFERROR((Table7[[#This Row],[Stock In(Total)]]+Table7[[#This Row],[In Stock or Remaining]])/2,"-")</f>
        <v>84</v>
      </c>
      <c r="V427" s="93">
        <f>IFERROR(Table7[[#This Row],[Stock_Out]]/Table7[[#This Row],[Avg Inventory]],"-")</f>
        <v>1.3571428571428572</v>
      </c>
      <c r="W427" s="6"/>
      <c r="X427" s="6"/>
      <c r="Y427" s="6"/>
      <c r="Z427" s="6"/>
      <c r="AA427" s="6"/>
      <c r="AB427" s="6"/>
      <c r="AC427" s="6"/>
      <c r="AD427" s="6"/>
      <c r="AE427" s="6"/>
      <c r="AF427" s="6"/>
      <c r="AG427" s="6"/>
      <c r="AH427" s="6"/>
      <c r="AI427" s="6"/>
      <c r="AJ427" s="6"/>
      <c r="AK427" s="6"/>
      <c r="AL427" t="s">
        <v>179</v>
      </c>
      <c r="AM427">
        <v>45563</v>
      </c>
      <c r="AN427" t="s">
        <v>26</v>
      </c>
      <c r="AO427" t="s">
        <v>13</v>
      </c>
      <c r="AP427" t="s">
        <v>21</v>
      </c>
      <c r="AQ427">
        <v>9</v>
      </c>
      <c r="AR427">
        <v>10</v>
      </c>
      <c r="AS427">
        <v>19</v>
      </c>
      <c r="AT427">
        <v>141</v>
      </c>
      <c r="AU427">
        <v>37</v>
      </c>
      <c r="AV427">
        <v>7</v>
      </c>
      <c r="AW427">
        <v>1196</v>
      </c>
      <c r="AX427">
        <v>1797</v>
      </c>
      <c r="AY427">
        <v>0.52631578947368418</v>
      </c>
      <c r="AZ427">
        <v>0.52631578947368418</v>
      </c>
      <c r="BA427">
        <v>9</v>
      </c>
      <c r="BB427">
        <v>10764</v>
      </c>
      <c r="BC427" t="s">
        <v>551</v>
      </c>
      <c r="BD427" t="s">
        <v>560</v>
      </c>
      <c r="BE427">
        <v>17970</v>
      </c>
    </row>
    <row r="428" spans="1:57" x14ac:dyDescent="0.3">
      <c r="A428" s="44" t="s">
        <v>321</v>
      </c>
      <c r="B428" s="45">
        <v>45415</v>
      </c>
      <c r="C428" s="44" t="s">
        <v>26</v>
      </c>
      <c r="D428" s="44" t="s">
        <v>20</v>
      </c>
      <c r="E428" s="44" t="s">
        <v>33</v>
      </c>
      <c r="F428" s="40">
        <v>75</v>
      </c>
      <c r="G428" s="44">
        <v>84</v>
      </c>
      <c r="H428" s="44">
        <f>IFERROR('Automated raw'!$F289+'Automated raw'!$G289,"-")</f>
        <v>169</v>
      </c>
      <c r="I428" s="44">
        <v>125</v>
      </c>
      <c r="J428" s="44">
        <v>69</v>
      </c>
      <c r="K428" s="44">
        <v>11</v>
      </c>
      <c r="L428" s="44">
        <v>957</v>
      </c>
      <c r="M428" s="44">
        <v>2216</v>
      </c>
      <c r="N428" s="44">
        <f>'Automated raw'!$G289/'Automated raw'!$H289</f>
        <v>1.4901960784313726</v>
      </c>
      <c r="O428" s="46">
        <f>IFERROR('Automated raw'!$G289/'Automated raw'!$H289,"incomplete")</f>
        <v>1.4901960784313726</v>
      </c>
      <c r="P428" s="44">
        <f>'Automated raw'!$F289</f>
        <v>93</v>
      </c>
      <c r="Q428" s="47">
        <f>IFERROR('Automated raw'!$P289*'Automated raw'!$L289,0)</f>
        <v>55468</v>
      </c>
      <c r="R428" s="44" t="str">
        <f>IF('Automated raw'!$O289&gt;=60%,"High",IF('Automated raw'!$O289&gt;=30%,"Avg",IF('Automated raw'!$O289&lt;30%,"Dead Stock","Incomplete")))</f>
        <v>Dead Stock</v>
      </c>
      <c r="S428" s="48" t="str">
        <f>TEXT('Automated raw'!$B289,"mmm")</f>
        <v>Dec</v>
      </c>
      <c r="T428" s="83">
        <f>'Automated raw'!$G289*'Automated raw'!$M289</f>
        <v>246468</v>
      </c>
      <c r="U428" s="6">
        <f>IFERROR((Table7[[#This Row],[Stock In(Total)]]+Table7[[#This Row],[In Stock or Remaining]])/2,"-")</f>
        <v>122</v>
      </c>
      <c r="V428" s="93">
        <f>IFERROR(Table7[[#This Row],[Stock_Out]]/Table7[[#This Row],[Avg Inventory]],"-")</f>
        <v>0.68852459016393441</v>
      </c>
      <c r="W428" s="6"/>
      <c r="X428" s="6"/>
      <c r="Y428" s="6"/>
      <c r="Z428" s="6"/>
      <c r="AA428" s="6"/>
      <c r="AB428" s="6"/>
      <c r="AC428" s="6"/>
      <c r="AD428" s="6"/>
      <c r="AE428" s="6"/>
      <c r="AF428" s="6"/>
      <c r="AG428" s="6"/>
      <c r="AH428" s="6"/>
      <c r="AI428" s="6"/>
      <c r="AJ428" s="6"/>
      <c r="AK428" s="6"/>
      <c r="AL428" t="s">
        <v>180</v>
      </c>
      <c r="AM428">
        <v>45555</v>
      </c>
      <c r="AN428" t="s">
        <v>157</v>
      </c>
      <c r="AO428" t="s">
        <v>13</v>
      </c>
      <c r="AP428" t="s">
        <v>33</v>
      </c>
      <c r="AQ428">
        <v>26</v>
      </c>
      <c r="AR428">
        <v>23</v>
      </c>
      <c r="AS428">
        <v>49</v>
      </c>
      <c r="AT428">
        <v>146</v>
      </c>
      <c r="AU428">
        <v>47</v>
      </c>
      <c r="AV428">
        <v>11</v>
      </c>
      <c r="AW428">
        <v>1144</v>
      </c>
      <c r="AX428">
        <v>2149</v>
      </c>
      <c r="AY428">
        <v>0.46938775510204084</v>
      </c>
      <c r="AZ428">
        <v>0.46938775510204084</v>
      </c>
      <c r="BA428">
        <v>26</v>
      </c>
      <c r="BB428">
        <v>29744</v>
      </c>
      <c r="BC428" t="s">
        <v>551</v>
      </c>
      <c r="BD428" t="s">
        <v>560</v>
      </c>
      <c r="BE428">
        <v>49427</v>
      </c>
    </row>
    <row r="429" spans="1:57" x14ac:dyDescent="0.3">
      <c r="A429" s="38" t="s">
        <v>192</v>
      </c>
      <c r="B429" s="39">
        <v>45582</v>
      </c>
      <c r="C429" s="38" t="s">
        <v>12</v>
      </c>
      <c r="D429" s="38" t="s">
        <v>20</v>
      </c>
      <c r="E429" s="38" t="s">
        <v>38</v>
      </c>
      <c r="F429" s="40">
        <v>89</v>
      </c>
      <c r="G429" s="38">
        <v>100</v>
      </c>
      <c r="H429" s="38">
        <f>IFERROR('Automated raw'!$F162+'Automated raw'!$G162,"-")</f>
        <v>211</v>
      </c>
      <c r="I429" s="38">
        <v>14</v>
      </c>
      <c r="J429" s="38">
        <v>72</v>
      </c>
      <c r="K429" s="38">
        <v>13</v>
      </c>
      <c r="L429" s="38">
        <v>489</v>
      </c>
      <c r="M429" s="38">
        <v>1029</v>
      </c>
      <c r="N429" s="38">
        <f>'Automated raw'!$G162/'Automated raw'!$H162</f>
        <v>0.75</v>
      </c>
      <c r="O429" s="41">
        <f>IFERROR('Automated raw'!$G162/'Automated raw'!$H162,"incomplete")</f>
        <v>0.75</v>
      </c>
      <c r="P429" s="38">
        <f>'Automated raw'!$F162</f>
        <v>130</v>
      </c>
      <c r="Q429" s="42">
        <f>IFERROR('Automated raw'!$P162*'Automated raw'!$L162,0)</f>
        <v>72542</v>
      </c>
      <c r="R429" s="38" t="str">
        <f>IF('Automated raw'!$O162&gt;=60%,"High",IF('Automated raw'!$O162&gt;=30%,"Avg",IF('Automated raw'!$O162&lt;30%,"Dead Stock","Incomplete")))</f>
        <v>Dead Stock</v>
      </c>
      <c r="S429" s="43" t="str">
        <f>TEXT('Automated raw'!$B162,"mmm")</f>
        <v>Jan</v>
      </c>
      <c r="T429" s="82">
        <f>'Automated raw'!$G162*'Automated raw'!$M162</f>
        <v>196749</v>
      </c>
      <c r="U429" s="6">
        <f>IFERROR((Table7[[#This Row],[Stock In(Total)]]+Table7[[#This Row],[In Stock or Remaining]])/2,"-")</f>
        <v>150</v>
      </c>
      <c r="V429" s="93">
        <f>IFERROR(Table7[[#This Row],[Stock_Out]]/Table7[[#This Row],[Avg Inventory]],"-")</f>
        <v>0.66666666666666663</v>
      </c>
      <c r="W429" s="6"/>
      <c r="X429" s="6"/>
      <c r="Y429" s="6"/>
      <c r="Z429" s="6"/>
      <c r="AA429" s="6"/>
      <c r="AB429" s="6"/>
      <c r="AC429" s="6"/>
      <c r="AD429" s="6"/>
      <c r="AE429" s="6"/>
      <c r="AF429" s="6"/>
      <c r="AG429" s="6"/>
      <c r="AH429" s="6"/>
      <c r="AI429" s="6"/>
      <c r="AJ429" s="6"/>
      <c r="AK429" s="6"/>
      <c r="AL429" t="s">
        <v>181</v>
      </c>
      <c r="AM429">
        <v>45611</v>
      </c>
      <c r="AN429" t="s">
        <v>30</v>
      </c>
      <c r="AO429" t="s">
        <v>13</v>
      </c>
      <c r="AP429" t="s">
        <v>21</v>
      </c>
      <c r="AQ429">
        <v>49</v>
      </c>
      <c r="AR429">
        <v>36</v>
      </c>
      <c r="AS429">
        <v>85</v>
      </c>
      <c r="AT429">
        <v>223</v>
      </c>
      <c r="AU429">
        <v>65</v>
      </c>
      <c r="AV429">
        <v>2</v>
      </c>
      <c r="AW429">
        <v>1261</v>
      </c>
      <c r="AX429">
        <v>1558</v>
      </c>
      <c r="AY429">
        <v>0.42352941176470588</v>
      </c>
      <c r="AZ429">
        <v>0.42352941176470588</v>
      </c>
      <c r="BA429">
        <v>49</v>
      </c>
      <c r="BB429">
        <v>61789</v>
      </c>
      <c r="BC429" t="s">
        <v>551</v>
      </c>
      <c r="BD429" t="s">
        <v>564</v>
      </c>
      <c r="BE429">
        <v>56088</v>
      </c>
    </row>
    <row r="430" spans="1:57" x14ac:dyDescent="0.3">
      <c r="A430" s="38" t="s">
        <v>367</v>
      </c>
      <c r="B430" s="39">
        <v>45481</v>
      </c>
      <c r="C430" s="38" t="s">
        <v>30</v>
      </c>
      <c r="D430" s="38" t="s">
        <v>13</v>
      </c>
      <c r="E430" s="38" t="s">
        <v>21</v>
      </c>
      <c r="F430" s="40">
        <v>67</v>
      </c>
      <c r="G430" s="38">
        <v>76</v>
      </c>
      <c r="H430" s="38">
        <f>IFERROR('Automated raw'!$F334+'Automated raw'!$G334,"-")</f>
        <v>146</v>
      </c>
      <c r="I430" s="38">
        <v>282</v>
      </c>
      <c r="J430" s="38">
        <v>38</v>
      </c>
      <c r="K430" s="38">
        <v>13</v>
      </c>
      <c r="L430" s="38">
        <v>1028</v>
      </c>
      <c r="M430" s="38">
        <v>2115</v>
      </c>
      <c r="N430" s="38">
        <f>'Automated raw'!$G334/'Automated raw'!$H334</f>
        <v>0.42073170731707316</v>
      </c>
      <c r="O430" s="41">
        <f>IFERROR('Automated raw'!$G334/'Automated raw'!$H334,"incomplete")</f>
        <v>0.42073170731707316</v>
      </c>
      <c r="P430" s="38">
        <f>'Automated raw'!$F334</f>
        <v>77</v>
      </c>
      <c r="Q430" s="42">
        <f>IFERROR('Automated raw'!$P334*'Automated raw'!$L334,0)</f>
        <v>68800</v>
      </c>
      <c r="R430" s="38" t="str">
        <f>IF('Automated raw'!$O334&gt;=60%,"High",IF('Automated raw'!$O334&gt;=30%,"Avg",IF('Automated raw'!$O334&lt;30%,"Dead Stock","Incomplete")))</f>
        <v>Avg</v>
      </c>
      <c r="S430" s="43" t="str">
        <f>TEXT('Automated raw'!$B334,"mmm")</f>
        <v>Oct</v>
      </c>
      <c r="T430" s="82">
        <f>'Automated raw'!$G334*'Automated raw'!$M334</f>
        <v>158286</v>
      </c>
      <c r="U430" s="6">
        <f>IFERROR((Table7[[#This Row],[Stock In(Total)]]+Table7[[#This Row],[In Stock or Remaining]])/2,"-")</f>
        <v>106.5</v>
      </c>
      <c r="V430" s="93">
        <f>IFERROR(Table7[[#This Row],[Stock_Out]]/Table7[[#This Row],[Avg Inventory]],"-")</f>
        <v>0.71361502347417838</v>
      </c>
      <c r="W430" s="6"/>
      <c r="X430" s="6"/>
      <c r="Y430" s="6"/>
      <c r="Z430" s="6"/>
      <c r="AA430" s="6"/>
      <c r="AB430" s="6"/>
      <c r="AC430" s="6"/>
      <c r="AD430" s="6"/>
      <c r="AE430" s="6"/>
      <c r="AF430" s="6"/>
      <c r="AG430" s="6"/>
      <c r="AH430" s="6"/>
      <c r="AI430" s="6"/>
      <c r="AJ430" s="6"/>
      <c r="AK430" s="6"/>
      <c r="AL430" t="s">
        <v>182</v>
      </c>
      <c r="AM430">
        <v>45343</v>
      </c>
      <c r="AN430" t="s">
        <v>45</v>
      </c>
      <c r="AO430" t="s">
        <v>13</v>
      </c>
      <c r="AP430" t="s">
        <v>33</v>
      </c>
      <c r="AQ430">
        <v>26</v>
      </c>
      <c r="AR430">
        <v>33</v>
      </c>
      <c r="AS430">
        <v>59</v>
      </c>
      <c r="AT430">
        <v>261</v>
      </c>
      <c r="AU430">
        <v>70</v>
      </c>
      <c r="AV430">
        <v>13</v>
      </c>
      <c r="AW430">
        <v>1799</v>
      </c>
      <c r="AX430">
        <v>2856</v>
      </c>
      <c r="AY430">
        <v>0.55932203389830504</v>
      </c>
      <c r="AZ430">
        <v>0.55932203389830504</v>
      </c>
      <c r="BA430">
        <v>26</v>
      </c>
      <c r="BB430">
        <v>46774</v>
      </c>
      <c r="BC430" t="s">
        <v>551</v>
      </c>
      <c r="BD430" t="s">
        <v>555</v>
      </c>
      <c r="BE430">
        <v>94248</v>
      </c>
    </row>
    <row r="431" spans="1:57" x14ac:dyDescent="0.3">
      <c r="A431" s="38" t="s">
        <v>59</v>
      </c>
      <c r="B431" s="39">
        <v>45601</v>
      </c>
      <c r="C431" s="38" t="s">
        <v>53</v>
      </c>
      <c r="D431" s="38" t="s">
        <v>13</v>
      </c>
      <c r="E431" s="38" t="s">
        <v>21</v>
      </c>
      <c r="F431" s="40">
        <v>99</v>
      </c>
      <c r="G431" s="38">
        <v>115</v>
      </c>
      <c r="H431" s="38">
        <f>IFERROR('Automated raw'!$F32+'Automated raw'!$G32,"-")</f>
        <v>178</v>
      </c>
      <c r="I431" s="38">
        <v>17</v>
      </c>
      <c r="J431" s="38">
        <v>72</v>
      </c>
      <c r="K431" s="38">
        <v>14</v>
      </c>
      <c r="L431" s="38">
        <v>1405</v>
      </c>
      <c r="M431" s="38">
        <v>1787</v>
      </c>
      <c r="N431" s="38">
        <f>'Automated raw'!$G32/'Automated raw'!$H32</f>
        <v>0.26923076923076922</v>
      </c>
      <c r="O431" s="41">
        <f>IFERROR('Automated raw'!$G32/'Automated raw'!$H32,"incomplete")</f>
        <v>0.26923076923076922</v>
      </c>
      <c r="P431" s="38">
        <f>'Automated raw'!$F32</f>
        <v>122</v>
      </c>
      <c r="Q431" s="42">
        <f>IFERROR('Automated raw'!$P32*'Automated raw'!$L32,0)</f>
        <v>30240</v>
      </c>
      <c r="R431" s="38" t="str">
        <f>IF('Automated raw'!$O32&gt;=60%,"High",IF('Automated raw'!$O32&gt;=30%,"Avg",IF('Automated raw'!$O32&lt;30%,"Dead Stock","Incomplete")))</f>
        <v>High</v>
      </c>
      <c r="S431" s="43" t="str">
        <f>TEXT('Automated raw'!$B32,"mmm")</f>
        <v>Jun</v>
      </c>
      <c r="T431" s="82">
        <f>'Automated raw'!$G32*'Automated raw'!$M32</f>
        <v>95536</v>
      </c>
      <c r="U431" s="6">
        <f>IFERROR((Table7[[#This Row],[Stock In(Total)]]+Table7[[#This Row],[In Stock or Remaining]])/2,"-")</f>
        <v>138.5</v>
      </c>
      <c r="V431" s="93">
        <f>IFERROR(Table7[[#This Row],[Stock_Out]]/Table7[[#This Row],[Avg Inventory]],"-")</f>
        <v>0.83032490974729245</v>
      </c>
      <c r="W431" s="6"/>
      <c r="X431" s="6"/>
      <c r="Y431" s="6"/>
      <c r="Z431" s="6"/>
      <c r="AA431" s="6"/>
      <c r="AB431" s="6"/>
      <c r="AC431" s="6"/>
      <c r="AD431" s="6"/>
      <c r="AE431" s="6"/>
      <c r="AF431" s="6"/>
      <c r="AG431" s="6"/>
      <c r="AH431" s="6"/>
      <c r="AI431" s="6"/>
      <c r="AJ431" s="6"/>
      <c r="AK431" s="6"/>
      <c r="AL431" t="s">
        <v>184</v>
      </c>
      <c r="AM431">
        <v>45429</v>
      </c>
      <c r="AN431" t="s">
        <v>53</v>
      </c>
      <c r="AO431" t="s">
        <v>13</v>
      </c>
      <c r="AP431" t="s">
        <v>33</v>
      </c>
      <c r="AQ431">
        <v>80</v>
      </c>
      <c r="AR431">
        <v>43</v>
      </c>
      <c r="AS431">
        <v>123</v>
      </c>
      <c r="AT431">
        <v>124</v>
      </c>
      <c r="AU431">
        <v>38</v>
      </c>
      <c r="AV431">
        <v>13</v>
      </c>
      <c r="AW431">
        <v>1537</v>
      </c>
      <c r="AX431">
        <v>2089</v>
      </c>
      <c r="AY431">
        <v>0.34959349593495936</v>
      </c>
      <c r="AZ431">
        <v>0.34959349593495936</v>
      </c>
      <c r="BA431">
        <v>80</v>
      </c>
      <c r="BB431">
        <v>122960</v>
      </c>
      <c r="BC431" t="s">
        <v>551</v>
      </c>
      <c r="BD431" t="s">
        <v>561</v>
      </c>
      <c r="BE431">
        <v>89827</v>
      </c>
    </row>
    <row r="432" spans="1:57" x14ac:dyDescent="0.3">
      <c r="A432" s="44" t="s">
        <v>532</v>
      </c>
      <c r="B432" s="45">
        <v>45342</v>
      </c>
      <c r="C432" s="44" t="s">
        <v>53</v>
      </c>
      <c r="D432" s="44" t="s">
        <v>17</v>
      </c>
      <c r="E432" s="44" t="s">
        <v>38</v>
      </c>
      <c r="F432" s="40">
        <v>60</v>
      </c>
      <c r="G432" s="44">
        <v>71</v>
      </c>
      <c r="H432" s="44">
        <f>IFERROR('Automated raw'!$F499+'Automated raw'!$G499,"-")</f>
        <v>117</v>
      </c>
      <c r="I432" s="44">
        <v>50</v>
      </c>
      <c r="J432" s="44">
        <v>46</v>
      </c>
      <c r="K432" s="44">
        <v>15</v>
      </c>
      <c r="L432" s="44">
        <v>702</v>
      </c>
      <c r="M432" s="44">
        <v>1906</v>
      </c>
      <c r="N432" s="44">
        <f>'Automated raw'!$G499/'Automated raw'!$H499</f>
        <v>0.33816425120772947</v>
      </c>
      <c r="O432" s="46">
        <f>IFERROR('Automated raw'!$G499/'Automated raw'!$H499,"incomplete")</f>
        <v>0.33816425120772947</v>
      </c>
      <c r="P432" s="44">
        <f>'Automated raw'!$F499</f>
        <v>47</v>
      </c>
      <c r="Q432" s="47">
        <f>IFERROR('Automated raw'!$P499*'Automated raw'!$L499,0)</f>
        <v>70840</v>
      </c>
      <c r="R432" s="44" t="str">
        <f>IF('Automated raw'!$O499&gt;=60%,"High",IF('Automated raw'!$O499&gt;=30%,"Avg",IF('Automated raw'!$O499&lt;30%,"Dead Stock","Incomplete")))</f>
        <v>High</v>
      </c>
      <c r="S432" s="48" t="str">
        <f>TEXT('Automated raw'!$B499,"mmm")</f>
        <v>Jan</v>
      </c>
      <c r="T432" s="83">
        <f>'Automated raw'!$G499*'Automated raw'!$M499</f>
        <v>89810</v>
      </c>
      <c r="U432" s="6">
        <f>IFERROR((Table7[[#This Row],[Stock In(Total)]]+Table7[[#This Row],[In Stock or Remaining]])/2,"-")</f>
        <v>88.5</v>
      </c>
      <c r="V432" s="93">
        <f>IFERROR(Table7[[#This Row],[Stock_Out]]/Table7[[#This Row],[Avg Inventory]],"-")</f>
        <v>0.80225988700564976</v>
      </c>
      <c r="W432" s="6"/>
      <c r="X432" s="6"/>
      <c r="Y432" s="6"/>
      <c r="Z432" s="6"/>
      <c r="AA432" s="6"/>
      <c r="AB432" s="6"/>
      <c r="AC432" s="6"/>
      <c r="AD432" s="6"/>
      <c r="AE432" s="6"/>
      <c r="AF432" s="6"/>
      <c r="AG432" s="6"/>
      <c r="AH432" s="6"/>
      <c r="AI432" s="6"/>
      <c r="AJ432" s="6"/>
      <c r="AK432" s="6"/>
      <c r="AL432" t="s">
        <v>185</v>
      </c>
      <c r="AM432">
        <v>45385</v>
      </c>
      <c r="AN432" t="s">
        <v>16</v>
      </c>
      <c r="AO432" t="s">
        <v>13</v>
      </c>
      <c r="AP432" t="s">
        <v>33</v>
      </c>
      <c r="AQ432">
        <v>34</v>
      </c>
      <c r="AR432">
        <v>44</v>
      </c>
      <c r="AS432">
        <v>78</v>
      </c>
      <c r="AT432">
        <v>12</v>
      </c>
      <c r="AU432">
        <v>43</v>
      </c>
      <c r="AV432">
        <v>12</v>
      </c>
      <c r="AW432">
        <v>1314</v>
      </c>
      <c r="AX432">
        <v>1619</v>
      </c>
      <c r="AY432">
        <v>0.5641025641025641</v>
      </c>
      <c r="AZ432">
        <v>0.5641025641025641</v>
      </c>
      <c r="BA432">
        <v>34</v>
      </c>
      <c r="BB432">
        <v>44676</v>
      </c>
      <c r="BC432" t="s">
        <v>551</v>
      </c>
      <c r="BD432" t="s">
        <v>558</v>
      </c>
      <c r="BE432">
        <v>71236</v>
      </c>
    </row>
    <row r="433" spans="1:57" x14ac:dyDescent="0.3">
      <c r="A433" s="44" t="s">
        <v>276</v>
      </c>
      <c r="B433" s="45">
        <v>45517</v>
      </c>
      <c r="C433" s="44" t="s">
        <v>26</v>
      </c>
      <c r="D433" s="44" t="s">
        <v>17</v>
      </c>
      <c r="E433" s="44" t="s">
        <v>33</v>
      </c>
      <c r="F433" s="40">
        <v>74</v>
      </c>
      <c r="G433" s="44">
        <v>88</v>
      </c>
      <c r="H433" s="44">
        <f>IFERROR('Automated raw'!$F245+'Automated raw'!$G245,"-")</f>
        <v>200</v>
      </c>
      <c r="I433" s="44">
        <v>192</v>
      </c>
      <c r="J433" s="44">
        <v>67</v>
      </c>
      <c r="K433" s="44">
        <v>13</v>
      </c>
      <c r="L433" s="44">
        <v>730</v>
      </c>
      <c r="M433" s="44">
        <v>1013</v>
      </c>
      <c r="N433" s="44">
        <f>'Automated raw'!$G245/'Automated raw'!$H245</f>
        <v>0.53086419753086422</v>
      </c>
      <c r="O433" s="46">
        <f>IFERROR('Automated raw'!$G245/'Automated raw'!$H245,"incomplete")</f>
        <v>0.53086419753086422</v>
      </c>
      <c r="P433" s="44">
        <f>'Automated raw'!$F245</f>
        <v>114</v>
      </c>
      <c r="Q433" s="47">
        <f>IFERROR('Automated raw'!$P245*'Automated raw'!$L245,0)</f>
        <v>51552</v>
      </c>
      <c r="R433" s="44" t="str">
        <f>IF('Automated raw'!$O245&gt;=60%,"High",IF('Automated raw'!$O245&gt;=30%,"Avg",IF('Automated raw'!$O245&lt;30%,"Dead Stock","Incomplete")))</f>
        <v>Avg</v>
      </c>
      <c r="S433" s="48" t="str">
        <f>TEXT('Automated raw'!$B245,"mmm")</f>
        <v>Aug</v>
      </c>
      <c r="T433" s="83">
        <f>'Automated raw'!$G245*'Automated raw'!$M245</f>
        <v>164002</v>
      </c>
      <c r="U433" s="6">
        <f>IFERROR((Table7[[#This Row],[Stock In(Total)]]+Table7[[#This Row],[In Stock or Remaining]])/2,"-")</f>
        <v>137</v>
      </c>
      <c r="V433" s="93">
        <f>IFERROR(Table7[[#This Row],[Stock_Out]]/Table7[[#This Row],[Avg Inventory]],"-")</f>
        <v>0.64233576642335766</v>
      </c>
      <c r="W433" s="6"/>
      <c r="X433" s="6"/>
      <c r="Y433" s="6"/>
      <c r="Z433" s="6"/>
      <c r="AA433" s="6"/>
      <c r="AB433" s="6"/>
      <c r="AC433" s="6"/>
      <c r="AD433" s="6"/>
      <c r="AE433" s="6"/>
      <c r="AF433" s="6"/>
      <c r="AG433" s="6"/>
      <c r="AH433" s="6"/>
      <c r="AI433" s="6"/>
      <c r="AJ433" s="6"/>
      <c r="AK433" s="6"/>
      <c r="AL433" t="s">
        <v>188</v>
      </c>
      <c r="AM433">
        <v>45457</v>
      </c>
      <c r="AN433" t="s">
        <v>12</v>
      </c>
      <c r="AO433" t="s">
        <v>13</v>
      </c>
      <c r="AP433" t="s">
        <v>14</v>
      </c>
      <c r="AQ433">
        <v>89</v>
      </c>
      <c r="AR433">
        <v>120</v>
      </c>
      <c r="AS433">
        <v>209</v>
      </c>
      <c r="AT433">
        <v>28</v>
      </c>
      <c r="AU433">
        <v>78</v>
      </c>
      <c r="AV433">
        <v>7</v>
      </c>
      <c r="AW433">
        <v>480</v>
      </c>
      <c r="AX433">
        <v>926</v>
      </c>
      <c r="AY433">
        <v>0.57416267942583732</v>
      </c>
      <c r="AZ433">
        <v>0.57416267942583732</v>
      </c>
      <c r="BA433">
        <v>89</v>
      </c>
      <c r="BB433">
        <v>42720</v>
      </c>
      <c r="BC433" t="s">
        <v>551</v>
      </c>
      <c r="BD433" t="s">
        <v>559</v>
      </c>
      <c r="BE433">
        <v>111120</v>
      </c>
    </row>
    <row r="434" spans="1:57" x14ac:dyDescent="0.3">
      <c r="A434" s="38" t="s">
        <v>467</v>
      </c>
      <c r="B434" s="39">
        <v>45385</v>
      </c>
      <c r="C434" s="38" t="s">
        <v>30</v>
      </c>
      <c r="D434" s="38" t="s">
        <v>17</v>
      </c>
      <c r="E434" s="38" t="s">
        <v>14</v>
      </c>
      <c r="F434" s="40">
        <v>22</v>
      </c>
      <c r="G434" s="38">
        <v>47</v>
      </c>
      <c r="H434" s="38">
        <f>IFERROR('Automated raw'!$F434+'Automated raw'!$G434,"-")</f>
        <v>69</v>
      </c>
      <c r="I434" s="38">
        <v>51</v>
      </c>
      <c r="J434" s="38">
        <v>73</v>
      </c>
      <c r="K434" s="38">
        <v>12</v>
      </c>
      <c r="L434" s="38">
        <v>1779</v>
      </c>
      <c r="M434" s="38">
        <v>2952</v>
      </c>
      <c r="N434" s="38">
        <f>'Automated raw'!$G434/'Automated raw'!$H434</f>
        <v>0.6811594202898551</v>
      </c>
      <c r="O434" s="41">
        <f>IFERROR('Automated raw'!$G434/'Automated raw'!$H434,"incomplete")</f>
        <v>0.6811594202898551</v>
      </c>
      <c r="P434" s="38">
        <f>'Automated raw'!$F434</f>
        <v>22</v>
      </c>
      <c r="Q434" s="42">
        <f>IFERROR('Automated raw'!$P434*'Automated raw'!$L434,0)</f>
        <v>39138</v>
      </c>
      <c r="R434" s="38" t="str">
        <f>IF('Automated raw'!$O434&gt;=60%,"High",IF('Automated raw'!$O434&gt;=30%,"Avg",IF('Automated raw'!$O434&lt;30%,"Dead Stock","Incomplete")))</f>
        <v>High</v>
      </c>
      <c r="S434" s="43" t="str">
        <f>TEXT('Automated raw'!$B434,"mmm")</f>
        <v>Apr</v>
      </c>
      <c r="T434" s="82">
        <f>'Automated raw'!$G434*'Automated raw'!$M434</f>
        <v>138744</v>
      </c>
      <c r="U434" s="6">
        <f>IFERROR((Table7[[#This Row],[Stock In(Total)]]+Table7[[#This Row],[In Stock or Remaining]])/2,"-")</f>
        <v>45.5</v>
      </c>
      <c r="V434" s="93">
        <f>IFERROR(Table7[[#This Row],[Stock_Out]]/Table7[[#This Row],[Avg Inventory]],"-")</f>
        <v>1.0329670329670331</v>
      </c>
      <c r="W434" s="6"/>
      <c r="X434" s="6"/>
      <c r="Y434" s="6"/>
      <c r="Z434" s="6"/>
      <c r="AA434" s="6"/>
      <c r="AB434" s="6"/>
      <c r="AC434" s="6"/>
      <c r="AD434" s="6"/>
      <c r="AE434" s="6"/>
      <c r="AF434" s="6"/>
      <c r="AG434" s="6"/>
      <c r="AH434" s="6"/>
      <c r="AI434" s="6"/>
      <c r="AJ434" s="6"/>
      <c r="AK434" s="6"/>
      <c r="AL434" t="s">
        <v>189</v>
      </c>
      <c r="AM434">
        <v>45618</v>
      </c>
      <c r="AN434" t="s">
        <v>30</v>
      </c>
      <c r="AO434" t="s">
        <v>20</v>
      </c>
      <c r="AP434" t="s">
        <v>23</v>
      </c>
      <c r="AQ434">
        <v>67</v>
      </c>
      <c r="AR434">
        <v>58</v>
      </c>
      <c r="AS434">
        <v>125</v>
      </c>
      <c r="AT434">
        <v>171</v>
      </c>
      <c r="AU434">
        <v>40</v>
      </c>
      <c r="AV434">
        <v>14</v>
      </c>
      <c r="AW434">
        <v>1109</v>
      </c>
      <c r="AX434">
        <v>1294</v>
      </c>
      <c r="AY434">
        <v>0.46400000000000002</v>
      </c>
      <c r="AZ434">
        <v>0.46400000000000002</v>
      </c>
      <c r="BA434">
        <v>67</v>
      </c>
      <c r="BB434">
        <v>74303</v>
      </c>
      <c r="BC434" t="s">
        <v>551</v>
      </c>
      <c r="BD434" t="s">
        <v>564</v>
      </c>
      <c r="BE434">
        <v>75052</v>
      </c>
    </row>
    <row r="435" spans="1:57" x14ac:dyDescent="0.3">
      <c r="A435" s="44" t="s">
        <v>468</v>
      </c>
      <c r="B435" s="45">
        <v>45360</v>
      </c>
      <c r="C435" s="44" t="s">
        <v>16</v>
      </c>
      <c r="D435" s="44" t="s">
        <v>17</v>
      </c>
      <c r="E435" s="44" t="s">
        <v>38</v>
      </c>
      <c r="F435" s="40">
        <v>51</v>
      </c>
      <c r="G435" s="44">
        <v>80</v>
      </c>
      <c r="H435" s="44">
        <f>IFERROR('Automated raw'!$F435+'Automated raw'!$G435,"-")</f>
        <v>131</v>
      </c>
      <c r="I435" s="44">
        <v>246</v>
      </c>
      <c r="J435" s="44">
        <v>49</v>
      </c>
      <c r="K435" s="44">
        <v>3</v>
      </c>
      <c r="L435" s="44">
        <v>1591</v>
      </c>
      <c r="M435" s="44">
        <v>2783</v>
      </c>
      <c r="N435" s="44">
        <f>'Automated raw'!$G435/'Automated raw'!$H435</f>
        <v>0.61068702290076338</v>
      </c>
      <c r="O435" s="46">
        <f>IFERROR('Automated raw'!$G435/'Automated raw'!$H435,"incomplete")</f>
        <v>0.61068702290076338</v>
      </c>
      <c r="P435" s="44">
        <f>'Automated raw'!$F435</f>
        <v>51</v>
      </c>
      <c r="Q435" s="47">
        <f>IFERROR('Automated raw'!$P435*'Automated raw'!$L435,0)</f>
        <v>81141</v>
      </c>
      <c r="R435" s="44" t="str">
        <f>IF('Automated raw'!$O435&gt;=60%,"High",IF('Automated raw'!$O435&gt;=30%,"Avg",IF('Automated raw'!$O435&lt;30%,"Dead Stock","Incomplete")))</f>
        <v>High</v>
      </c>
      <c r="S435" s="48" t="str">
        <f>TEXT('Automated raw'!$B435,"mmm")</f>
        <v>Mar</v>
      </c>
      <c r="T435" s="83">
        <f>'Automated raw'!$G435*'Automated raw'!$M435</f>
        <v>222640</v>
      </c>
      <c r="U435" s="6">
        <f>IFERROR((Table7[[#This Row],[Stock In(Total)]]+Table7[[#This Row],[In Stock or Remaining]])/2,"-")</f>
        <v>91</v>
      </c>
      <c r="V435" s="93">
        <f>IFERROR(Table7[[#This Row],[Stock_Out]]/Table7[[#This Row],[Avg Inventory]],"-")</f>
        <v>0.87912087912087911</v>
      </c>
      <c r="W435" s="6"/>
      <c r="X435" s="6"/>
      <c r="Y435" s="6"/>
      <c r="Z435" s="6"/>
      <c r="AA435" s="6"/>
      <c r="AB435" s="6"/>
      <c r="AC435" s="6"/>
      <c r="AD435" s="6"/>
      <c r="AE435" s="6"/>
      <c r="AF435" s="6"/>
      <c r="AG435" s="6"/>
      <c r="AH435" s="6"/>
      <c r="AI435" s="6"/>
      <c r="AJ435" s="6"/>
      <c r="AK435" s="6"/>
      <c r="AL435" t="s">
        <v>190</v>
      </c>
      <c r="AM435">
        <v>45421</v>
      </c>
      <c r="AN435" t="s">
        <v>37</v>
      </c>
      <c r="AO435" t="s">
        <v>13</v>
      </c>
      <c r="AP435" t="s">
        <v>21</v>
      </c>
      <c r="AQ435">
        <v>123</v>
      </c>
      <c r="AR435">
        <v>55</v>
      </c>
      <c r="AS435">
        <v>178</v>
      </c>
      <c r="AT435">
        <v>299</v>
      </c>
      <c r="AU435">
        <v>76</v>
      </c>
      <c r="AV435">
        <v>13</v>
      </c>
      <c r="AW435">
        <v>576</v>
      </c>
      <c r="AX435">
        <v>840</v>
      </c>
      <c r="AY435">
        <v>0.3089887640449438</v>
      </c>
      <c r="AZ435">
        <v>0.3089887640449438</v>
      </c>
      <c r="BA435">
        <v>123</v>
      </c>
      <c r="BB435">
        <v>70848</v>
      </c>
      <c r="BC435" t="s">
        <v>551</v>
      </c>
      <c r="BD435" t="s">
        <v>561</v>
      </c>
      <c r="BE435">
        <v>46200</v>
      </c>
    </row>
    <row r="436" spans="1:57" x14ac:dyDescent="0.3">
      <c r="A436" s="38" t="s">
        <v>469</v>
      </c>
      <c r="B436" s="39">
        <v>45506</v>
      </c>
      <c r="C436" s="38" t="s">
        <v>45</v>
      </c>
      <c r="D436" s="38" t="s">
        <v>20</v>
      </c>
      <c r="E436" s="38" t="s">
        <v>21</v>
      </c>
      <c r="F436" s="40">
        <v>38</v>
      </c>
      <c r="G436" s="38">
        <v>66</v>
      </c>
      <c r="H436" s="38">
        <f>IFERROR('Automated raw'!$F436+'Automated raw'!$G436,"-")</f>
        <v>104</v>
      </c>
      <c r="I436" s="38">
        <v>62</v>
      </c>
      <c r="J436" s="38">
        <v>78</v>
      </c>
      <c r="K436" s="38">
        <v>4</v>
      </c>
      <c r="L436" s="38">
        <v>313</v>
      </c>
      <c r="M436" s="38">
        <v>1135</v>
      </c>
      <c r="N436" s="38">
        <f>'Automated raw'!$G436/'Automated raw'!$H436</f>
        <v>0.63461538461538458</v>
      </c>
      <c r="O436" s="41">
        <f>IFERROR('Automated raw'!$G436/'Automated raw'!$H436,"incomplete")</f>
        <v>0.63461538461538458</v>
      </c>
      <c r="P436" s="38">
        <f>'Automated raw'!$F436</f>
        <v>38</v>
      </c>
      <c r="Q436" s="42">
        <f>IFERROR('Automated raw'!$P436*'Automated raw'!$L436,0)</f>
        <v>11894</v>
      </c>
      <c r="R436" s="38" t="str">
        <f>IF('Automated raw'!$O436&gt;=60%,"High",IF('Automated raw'!$O436&gt;=30%,"Avg",IF('Automated raw'!$O436&lt;30%,"Dead Stock","Incomplete")))</f>
        <v>High</v>
      </c>
      <c r="S436" s="43" t="str">
        <f>TEXT('Automated raw'!$B436,"mmm")</f>
        <v>Aug</v>
      </c>
      <c r="T436" s="82">
        <f>'Automated raw'!$G436*'Automated raw'!$M436</f>
        <v>74910</v>
      </c>
      <c r="U436" s="6">
        <f>IFERROR((Table7[[#This Row],[Stock In(Total)]]+Table7[[#This Row],[In Stock or Remaining]])/2,"-")</f>
        <v>71</v>
      </c>
      <c r="V436" s="93">
        <f>IFERROR(Table7[[#This Row],[Stock_Out]]/Table7[[#This Row],[Avg Inventory]],"-")</f>
        <v>0.92957746478873238</v>
      </c>
      <c r="W436" s="6"/>
      <c r="X436" s="6"/>
      <c r="Y436" s="6"/>
      <c r="Z436" s="6"/>
      <c r="AA436" s="6"/>
      <c r="AB436" s="6"/>
      <c r="AC436" s="6"/>
      <c r="AD436" s="6"/>
      <c r="AE436" s="6"/>
      <c r="AF436" s="6"/>
      <c r="AG436" s="6"/>
      <c r="AH436" s="6"/>
      <c r="AI436" s="6"/>
      <c r="AJ436" s="6"/>
      <c r="AK436" s="6"/>
      <c r="AL436" t="s">
        <v>192</v>
      </c>
      <c r="AM436">
        <v>45582</v>
      </c>
      <c r="AN436" t="s">
        <v>12</v>
      </c>
      <c r="AO436" t="s">
        <v>20</v>
      </c>
      <c r="AP436" t="s">
        <v>38</v>
      </c>
      <c r="AQ436">
        <v>89</v>
      </c>
      <c r="AR436">
        <v>100</v>
      </c>
      <c r="AS436">
        <v>189</v>
      </c>
      <c r="AT436">
        <v>14</v>
      </c>
      <c r="AU436">
        <v>72</v>
      </c>
      <c r="AV436">
        <v>13</v>
      </c>
      <c r="AW436">
        <v>489</v>
      </c>
      <c r="AX436">
        <v>1029</v>
      </c>
      <c r="AY436">
        <v>0.52910052910052907</v>
      </c>
      <c r="AZ436">
        <v>0.52910052910052907</v>
      </c>
      <c r="BA436">
        <v>89</v>
      </c>
      <c r="BB436">
        <v>43521</v>
      </c>
      <c r="BC436" t="s">
        <v>551</v>
      </c>
      <c r="BD436" t="s">
        <v>565</v>
      </c>
      <c r="BE436">
        <v>102900</v>
      </c>
    </row>
    <row r="437" spans="1:57" x14ac:dyDescent="0.3">
      <c r="A437" s="44" t="s">
        <v>470</v>
      </c>
      <c r="B437" s="45">
        <v>45344</v>
      </c>
      <c r="C437" s="44" t="s">
        <v>12</v>
      </c>
      <c r="D437" s="44" t="s">
        <v>17</v>
      </c>
      <c r="E437" s="44" t="s">
        <v>38</v>
      </c>
      <c r="F437" s="40">
        <v>116</v>
      </c>
      <c r="G437" s="44">
        <v>41</v>
      </c>
      <c r="H437" s="44">
        <f>IFERROR('Automated raw'!$F437+'Automated raw'!$G437,"-")</f>
        <v>157</v>
      </c>
      <c r="I437" s="44">
        <v>273</v>
      </c>
      <c r="J437" s="44">
        <v>80</v>
      </c>
      <c r="K437" s="44">
        <v>5</v>
      </c>
      <c r="L437" s="44">
        <v>286</v>
      </c>
      <c r="M437" s="44">
        <v>755</v>
      </c>
      <c r="N437" s="44">
        <f>'Automated raw'!$G437/'Automated raw'!$H437</f>
        <v>0.26114649681528662</v>
      </c>
      <c r="O437" s="46">
        <f>IFERROR('Automated raw'!$G437/'Automated raw'!$H437,"incomplete")</f>
        <v>0.26114649681528662</v>
      </c>
      <c r="P437" s="44">
        <f>'Automated raw'!$F437</f>
        <v>116</v>
      </c>
      <c r="Q437" s="47">
        <f>IFERROR('Automated raw'!$P437*'Automated raw'!$L437,0)</f>
        <v>33176</v>
      </c>
      <c r="R437" s="44" t="str">
        <f>IF('Automated raw'!$O437&gt;=60%,"High",IF('Automated raw'!$O437&gt;=30%,"Avg",IF('Automated raw'!$O437&lt;30%,"Dead Stock","Incomplete")))</f>
        <v>Dead Stock</v>
      </c>
      <c r="S437" s="48" t="str">
        <f>TEXT('Automated raw'!$B437,"mmm")</f>
        <v>Feb</v>
      </c>
      <c r="T437" s="83">
        <f>'Automated raw'!$G437*'Automated raw'!$M437</f>
        <v>30955</v>
      </c>
      <c r="U437" s="6">
        <f>IFERROR((Table7[[#This Row],[Stock In(Total)]]+Table7[[#This Row],[In Stock or Remaining]])/2,"-")</f>
        <v>136.5</v>
      </c>
      <c r="V437" s="93">
        <f>IFERROR(Table7[[#This Row],[Stock_Out]]/Table7[[#This Row],[Avg Inventory]],"-")</f>
        <v>0.30036630036630035</v>
      </c>
      <c r="W437" s="6"/>
      <c r="X437" s="6"/>
      <c r="Y437" s="6"/>
      <c r="Z437" s="6"/>
      <c r="AA437" s="6"/>
      <c r="AB437" s="6"/>
      <c r="AC437" s="6"/>
      <c r="AD437" s="6"/>
      <c r="AE437" s="6"/>
      <c r="AF437" s="6"/>
      <c r="AG437" s="6"/>
      <c r="AH437" s="6"/>
      <c r="AI437" s="6"/>
      <c r="AJ437" s="6"/>
      <c r="AK437" s="6"/>
      <c r="AL437" t="s">
        <v>193</v>
      </c>
      <c r="AM437">
        <v>45443</v>
      </c>
      <c r="AN437" t="s">
        <v>157</v>
      </c>
      <c r="AO437" t="s">
        <v>20</v>
      </c>
      <c r="AP437" t="s">
        <v>33</v>
      </c>
      <c r="AQ437">
        <v>56</v>
      </c>
      <c r="AR437">
        <v>30</v>
      </c>
      <c r="AS437">
        <v>86</v>
      </c>
      <c r="AT437">
        <v>182</v>
      </c>
      <c r="AU437">
        <v>77</v>
      </c>
      <c r="AV437">
        <v>13</v>
      </c>
      <c r="AW437">
        <v>413</v>
      </c>
      <c r="AX437">
        <v>1888</v>
      </c>
      <c r="AY437">
        <v>0.34883720930232559</v>
      </c>
      <c r="AZ437">
        <v>0.34883720930232559</v>
      </c>
      <c r="BA437">
        <v>56</v>
      </c>
      <c r="BB437">
        <v>23128</v>
      </c>
      <c r="BC437" t="s">
        <v>551</v>
      </c>
      <c r="BD437" t="s">
        <v>561</v>
      </c>
      <c r="BE437">
        <v>56640</v>
      </c>
    </row>
    <row r="438" spans="1:57" x14ac:dyDescent="0.3">
      <c r="A438" s="44" t="s">
        <v>294</v>
      </c>
      <c r="B438" s="45">
        <v>45536</v>
      </c>
      <c r="C438" s="44" t="s">
        <v>30</v>
      </c>
      <c r="D438" s="44" t="s">
        <v>17</v>
      </c>
      <c r="E438" s="44" t="s">
        <v>33</v>
      </c>
      <c r="F438" s="40">
        <v>98</v>
      </c>
      <c r="G438" s="44">
        <v>117</v>
      </c>
      <c r="H438" s="44">
        <f>IFERROR('Automated raw'!$F263+'Automated raw'!$G263,"-")</f>
        <v>120</v>
      </c>
      <c r="I438" s="44">
        <v>56</v>
      </c>
      <c r="J438" s="44">
        <v>48</v>
      </c>
      <c r="K438" s="44">
        <v>4</v>
      </c>
      <c r="L438" s="44">
        <v>1541</v>
      </c>
      <c r="M438" s="44">
        <v>3023</v>
      </c>
      <c r="N438" s="44">
        <f>'Automated raw'!$G263/'Automated raw'!$H263</f>
        <v>0.30113636363636365</v>
      </c>
      <c r="O438" s="46">
        <f>IFERROR('Automated raw'!$G263/'Automated raw'!$H263,"incomplete")</f>
        <v>0.30113636363636365</v>
      </c>
      <c r="P438" s="44">
        <f>'Automated raw'!$F263</f>
        <v>67</v>
      </c>
      <c r="Q438" s="47">
        <f>IFERROR('Automated raw'!$P263*'Automated raw'!$L263,0)</f>
        <v>62920</v>
      </c>
      <c r="R438" s="44" t="str">
        <f>IF('Automated raw'!$O263&gt;=60%,"High",IF('Automated raw'!$O263&gt;=30%,"Avg",IF('Automated raw'!$O263&lt;30%,"Dead Stock","Incomplete")))</f>
        <v>Avg</v>
      </c>
      <c r="S438" s="48" t="str">
        <f>TEXT('Automated raw'!$B263,"mmm")</f>
        <v>Jun</v>
      </c>
      <c r="T438" s="83">
        <f>'Automated raw'!$G263*'Automated raw'!$M263</f>
        <v>42029</v>
      </c>
      <c r="U438" s="6">
        <f>IFERROR((Table7[[#This Row],[Stock In(Total)]]+Table7[[#This Row],[In Stock or Remaining]])/2,"-")</f>
        <v>109</v>
      </c>
      <c r="V438" s="93">
        <f>IFERROR(Table7[[#This Row],[Stock_Out]]/Table7[[#This Row],[Avg Inventory]],"-")</f>
        <v>1.073394495412844</v>
      </c>
      <c r="W438" s="6"/>
      <c r="X438" s="6"/>
      <c r="Y438" s="6"/>
      <c r="Z438" s="6"/>
      <c r="AA438" s="6"/>
      <c r="AB438" s="6"/>
      <c r="AC438" s="6"/>
      <c r="AD438" s="6"/>
      <c r="AE438" s="6"/>
      <c r="AF438" s="6"/>
      <c r="AG438" s="6"/>
      <c r="AH438" s="6"/>
      <c r="AI438" s="6"/>
      <c r="AJ438" s="6"/>
      <c r="AK438" s="6"/>
      <c r="AL438" t="s">
        <v>194</v>
      </c>
      <c r="AM438">
        <v>45617</v>
      </c>
      <c r="AN438" t="s">
        <v>53</v>
      </c>
      <c r="AO438" t="s">
        <v>17</v>
      </c>
      <c r="AP438" t="s">
        <v>38</v>
      </c>
      <c r="AQ438">
        <v>114</v>
      </c>
      <c r="AR438">
        <v>61</v>
      </c>
      <c r="AS438">
        <v>175</v>
      </c>
      <c r="AT438">
        <v>127</v>
      </c>
      <c r="AU438">
        <v>44</v>
      </c>
      <c r="AV438">
        <v>7</v>
      </c>
      <c r="AW438">
        <v>878</v>
      </c>
      <c r="AX438">
        <v>1083</v>
      </c>
      <c r="AY438">
        <v>0.34857142857142859</v>
      </c>
      <c r="AZ438">
        <v>0.34857142857142859</v>
      </c>
      <c r="BA438">
        <v>114</v>
      </c>
      <c r="BB438">
        <v>100092</v>
      </c>
      <c r="BC438" t="s">
        <v>551</v>
      </c>
      <c r="BD438" t="s">
        <v>564</v>
      </c>
      <c r="BE438">
        <v>66063</v>
      </c>
    </row>
    <row r="439" spans="1:57" x14ac:dyDescent="0.3">
      <c r="A439" s="44" t="s">
        <v>472</v>
      </c>
      <c r="B439" s="45">
        <v>45652</v>
      </c>
      <c r="C439" s="44" t="s">
        <v>12</v>
      </c>
      <c r="D439" s="44" t="s">
        <v>17</v>
      </c>
      <c r="E439" s="44" t="s">
        <v>14</v>
      </c>
      <c r="F439" s="40">
        <v>30</v>
      </c>
      <c r="G439" s="44">
        <v>115</v>
      </c>
      <c r="H439" s="44">
        <f>IFERROR('Automated raw'!$F439+'Automated raw'!$G439,"-")</f>
        <v>145</v>
      </c>
      <c r="I439" s="44">
        <v>91</v>
      </c>
      <c r="J439" s="44">
        <v>43</v>
      </c>
      <c r="K439" s="44">
        <v>7</v>
      </c>
      <c r="L439" s="44">
        <v>1891</v>
      </c>
      <c r="M439" s="44">
        <v>2257</v>
      </c>
      <c r="N439" s="44">
        <f>'Automated raw'!$G439/'Automated raw'!$H439</f>
        <v>0.7931034482758621</v>
      </c>
      <c r="O439" s="46">
        <f>IFERROR('Automated raw'!$G439/'Automated raw'!$H439,"incomplete")</f>
        <v>0.7931034482758621</v>
      </c>
      <c r="P439" s="44">
        <f>'Automated raw'!$F439</f>
        <v>30</v>
      </c>
      <c r="Q439" s="47">
        <f>IFERROR('Automated raw'!$P439*'Automated raw'!$L439,0)</f>
        <v>56730</v>
      </c>
      <c r="R439" s="44" t="str">
        <f>IF('Automated raw'!$O439&gt;=60%,"High",IF('Automated raw'!$O439&gt;=30%,"Avg",IF('Automated raw'!$O439&lt;30%,"Dead Stock","Incomplete")))</f>
        <v>High</v>
      </c>
      <c r="S439" s="48" t="str">
        <f>TEXT('Automated raw'!$B439,"mmm")</f>
        <v>Dec</v>
      </c>
      <c r="T439" s="83">
        <f>'Automated raw'!$G439*'Automated raw'!$M439</f>
        <v>259555</v>
      </c>
      <c r="U439" s="6">
        <f>IFERROR((Table7[[#This Row],[Stock In(Total)]]+Table7[[#This Row],[In Stock or Remaining]])/2,"-")</f>
        <v>87.5</v>
      </c>
      <c r="V439" s="93">
        <f>IFERROR(Table7[[#This Row],[Stock_Out]]/Table7[[#This Row],[Avg Inventory]],"-")</f>
        <v>1.3142857142857143</v>
      </c>
      <c r="W439" s="6"/>
      <c r="X439" s="6"/>
      <c r="Y439" s="6"/>
      <c r="Z439" s="6"/>
      <c r="AA439" s="6"/>
      <c r="AB439" s="6"/>
      <c r="AC439" s="6"/>
      <c r="AD439" s="6"/>
      <c r="AE439" s="6"/>
      <c r="AF439" s="6"/>
      <c r="AG439" s="6"/>
      <c r="AH439" s="6"/>
      <c r="AI439" s="6"/>
      <c r="AJ439" s="6"/>
      <c r="AK439" s="6"/>
      <c r="AL439" t="s">
        <v>196</v>
      </c>
      <c r="AM439">
        <v>45477</v>
      </c>
      <c r="AN439" t="s">
        <v>45</v>
      </c>
      <c r="AO439" t="s">
        <v>17</v>
      </c>
      <c r="AP439" t="s">
        <v>38</v>
      </c>
      <c r="AQ439">
        <v>53</v>
      </c>
      <c r="AR439">
        <v>57</v>
      </c>
      <c r="AS439">
        <v>110</v>
      </c>
      <c r="AT439">
        <v>108</v>
      </c>
      <c r="AU439">
        <v>50</v>
      </c>
      <c r="AV439">
        <v>2</v>
      </c>
      <c r="AW439">
        <v>286</v>
      </c>
      <c r="AX439">
        <v>779</v>
      </c>
      <c r="AY439">
        <v>0.51818181818181819</v>
      </c>
      <c r="AZ439">
        <v>0.51818181818181819</v>
      </c>
      <c r="BA439">
        <v>53</v>
      </c>
      <c r="BB439">
        <v>15158</v>
      </c>
      <c r="BC439" t="s">
        <v>551</v>
      </c>
      <c r="BD439" t="s">
        <v>556</v>
      </c>
      <c r="BE439">
        <v>44403</v>
      </c>
    </row>
    <row r="440" spans="1:57" x14ac:dyDescent="0.3">
      <c r="A440" s="38" t="s">
        <v>473</v>
      </c>
      <c r="B440" s="39">
        <v>45606</v>
      </c>
      <c r="C440" s="38" t="s">
        <v>30</v>
      </c>
      <c r="D440" s="38" t="s">
        <v>17</v>
      </c>
      <c r="E440" s="38" t="s">
        <v>33</v>
      </c>
      <c r="F440" s="40">
        <v>111</v>
      </c>
      <c r="G440" s="38">
        <v>16</v>
      </c>
      <c r="H440" s="38">
        <f>IFERROR('Automated raw'!$F440+'Automated raw'!$G440,"-")</f>
        <v>127</v>
      </c>
      <c r="I440" s="38">
        <v>207</v>
      </c>
      <c r="J440" s="38">
        <v>65</v>
      </c>
      <c r="K440" s="38">
        <v>9</v>
      </c>
      <c r="L440" s="38">
        <v>478</v>
      </c>
      <c r="M440" s="38">
        <v>953</v>
      </c>
      <c r="N440" s="38">
        <f>'Automated raw'!$G440/'Automated raw'!$H440</f>
        <v>0.12598425196850394</v>
      </c>
      <c r="O440" s="41">
        <f>IFERROR('Automated raw'!$G440/'Automated raw'!$H440,"incomplete")</f>
        <v>0.12598425196850394</v>
      </c>
      <c r="P440" s="38">
        <f>'Automated raw'!$F440</f>
        <v>111</v>
      </c>
      <c r="Q440" s="42">
        <f>IFERROR('Automated raw'!$P440*'Automated raw'!$L440,0)</f>
        <v>53058</v>
      </c>
      <c r="R440" s="38" t="str">
        <f>IF('Automated raw'!$O440&gt;=60%,"High",IF('Automated raw'!$O440&gt;=30%,"Avg",IF('Automated raw'!$O440&lt;30%,"Dead Stock","Incomplete")))</f>
        <v>Dead Stock</v>
      </c>
      <c r="S440" s="43" t="str">
        <f>TEXT('Automated raw'!$B440,"mmm")</f>
        <v>Nov</v>
      </c>
      <c r="T440" s="82">
        <f>'Automated raw'!$G440*'Automated raw'!$M440</f>
        <v>15248</v>
      </c>
      <c r="U440" s="6">
        <f>IFERROR((Table7[[#This Row],[Stock In(Total)]]+Table7[[#This Row],[In Stock or Remaining]])/2,"-")</f>
        <v>119</v>
      </c>
      <c r="V440" s="93">
        <f>IFERROR(Table7[[#This Row],[Stock_Out]]/Table7[[#This Row],[Avg Inventory]],"-")</f>
        <v>0.13445378151260504</v>
      </c>
      <c r="W440" s="6"/>
      <c r="X440" s="6"/>
      <c r="Y440" s="6"/>
      <c r="Z440" s="6"/>
      <c r="AA440" s="6"/>
      <c r="AB440" s="6"/>
      <c r="AC440" s="6"/>
      <c r="AD440" s="6"/>
      <c r="AE440" s="6"/>
      <c r="AF440" s="6"/>
      <c r="AG440" s="6"/>
      <c r="AH440" s="6"/>
      <c r="AI440" s="6"/>
      <c r="AJ440" s="6"/>
      <c r="AK440" s="6"/>
      <c r="AL440" t="s">
        <v>199</v>
      </c>
      <c r="AM440">
        <v>45342</v>
      </c>
      <c r="AN440" t="s">
        <v>19</v>
      </c>
      <c r="AO440" t="s">
        <v>17</v>
      </c>
      <c r="AP440" t="s">
        <v>38</v>
      </c>
      <c r="AQ440">
        <v>126</v>
      </c>
      <c r="AR440">
        <v>114</v>
      </c>
      <c r="AS440">
        <v>240</v>
      </c>
      <c r="AT440">
        <v>275</v>
      </c>
      <c r="AU440">
        <v>58</v>
      </c>
      <c r="AV440">
        <v>3</v>
      </c>
      <c r="AW440">
        <v>1545</v>
      </c>
      <c r="AX440">
        <v>2047</v>
      </c>
      <c r="AY440">
        <v>0.47499999999999998</v>
      </c>
      <c r="AZ440">
        <v>0.47499999999999998</v>
      </c>
      <c r="BA440">
        <v>126</v>
      </c>
      <c r="BB440">
        <v>194670</v>
      </c>
      <c r="BC440" t="s">
        <v>551</v>
      </c>
      <c r="BD440" t="s">
        <v>555</v>
      </c>
      <c r="BE440" s="5">
        <v>233358</v>
      </c>
    </row>
    <row r="441" spans="1:57" x14ac:dyDescent="0.3">
      <c r="A441" s="44" t="s">
        <v>458</v>
      </c>
      <c r="B441" s="45">
        <v>45327</v>
      </c>
      <c r="C441" s="44" t="s">
        <v>19</v>
      </c>
      <c r="D441" s="44" t="s">
        <v>17</v>
      </c>
      <c r="E441" s="44" t="s">
        <v>33</v>
      </c>
      <c r="F441" s="40">
        <v>51</v>
      </c>
      <c r="G441" s="44">
        <v>61</v>
      </c>
      <c r="H441" s="44">
        <f>IFERROR('Automated raw'!$F425+'Automated raw'!$G425,"-")</f>
        <v>89</v>
      </c>
      <c r="I441" s="44">
        <v>180</v>
      </c>
      <c r="J441" s="44">
        <v>77</v>
      </c>
      <c r="K441" s="44">
        <v>5</v>
      </c>
      <c r="L441" s="44">
        <v>629</v>
      </c>
      <c r="M441" s="44">
        <v>1113</v>
      </c>
      <c r="N441" s="44">
        <f>'Automated raw'!$G425/'Automated raw'!$H425</f>
        <v>0.33812949640287771</v>
      </c>
      <c r="O441" s="46">
        <f>IFERROR('Automated raw'!$G425/'Automated raw'!$H425,"incomplete")</f>
        <v>0.33812949640287771</v>
      </c>
      <c r="P441" s="44">
        <f>'Automated raw'!$F425</f>
        <v>42</v>
      </c>
      <c r="Q441" s="47">
        <f>IFERROR('Automated raw'!$P425*'Automated raw'!$L425,0)</f>
        <v>163125</v>
      </c>
      <c r="R441" s="44" t="str">
        <f>IF('Automated raw'!$O425&gt;=60%,"High",IF('Automated raw'!$O425&gt;=30%,"Avg",IF('Automated raw'!$O425&lt;30%,"Dead Stock","Incomplete")))</f>
        <v>Dead Stock</v>
      </c>
      <c r="S441" s="48" t="str">
        <f>TEXT('Automated raw'!$B425,"mmm")</f>
        <v>Dec</v>
      </c>
      <c r="T441" s="83">
        <f>'Automated raw'!$G425*'Automated raw'!$M425</f>
        <v>102413</v>
      </c>
      <c r="U441" s="6">
        <f>IFERROR((Table7[[#This Row],[Stock In(Total)]]+Table7[[#This Row],[In Stock or Remaining]])/2,"-")</f>
        <v>70</v>
      </c>
      <c r="V441" s="93">
        <f>IFERROR(Table7[[#This Row],[Stock_Out]]/Table7[[#This Row],[Avg Inventory]],"-")</f>
        <v>0.87142857142857144</v>
      </c>
      <c r="W441" s="6"/>
      <c r="X441" s="6"/>
      <c r="Y441" s="6"/>
      <c r="Z441" s="6"/>
      <c r="AA441" s="6"/>
      <c r="AB441" s="6"/>
      <c r="AC441" s="6"/>
      <c r="AD441" s="6"/>
      <c r="AE441" s="6"/>
      <c r="AF441" s="6"/>
      <c r="AG441" s="6"/>
      <c r="AH441" s="6"/>
      <c r="AI441" s="6"/>
      <c r="AJ441" s="6"/>
      <c r="AK441" s="6"/>
      <c r="AL441" t="s">
        <v>200</v>
      </c>
      <c r="AM441">
        <v>45612</v>
      </c>
      <c r="AN441" t="s">
        <v>12</v>
      </c>
      <c r="AO441" t="s">
        <v>13</v>
      </c>
      <c r="AP441" t="s">
        <v>21</v>
      </c>
      <c r="AQ441">
        <v>51</v>
      </c>
      <c r="AR441">
        <v>74</v>
      </c>
      <c r="AS441">
        <v>125</v>
      </c>
      <c r="AT441">
        <v>5</v>
      </c>
      <c r="AU441">
        <v>70</v>
      </c>
      <c r="AV441">
        <v>7</v>
      </c>
      <c r="AW441">
        <v>228</v>
      </c>
      <c r="AX441">
        <v>1383</v>
      </c>
      <c r="AY441">
        <v>0.59199999999999997</v>
      </c>
      <c r="AZ441">
        <v>0.59199999999999997</v>
      </c>
      <c r="BA441">
        <v>51</v>
      </c>
      <c r="BB441">
        <v>11628</v>
      </c>
      <c r="BC441" t="s">
        <v>551</v>
      </c>
      <c r="BD441" t="s">
        <v>564</v>
      </c>
      <c r="BE441">
        <v>102342</v>
      </c>
    </row>
    <row r="442" spans="1:57" x14ac:dyDescent="0.3">
      <c r="A442" s="38" t="s">
        <v>475</v>
      </c>
      <c r="B442" s="39">
        <v>45618</v>
      </c>
      <c r="C442" s="38" t="s">
        <v>30</v>
      </c>
      <c r="D442" s="38" t="s">
        <v>13</v>
      </c>
      <c r="E442" s="38" t="s">
        <v>14</v>
      </c>
      <c r="F442" s="40">
        <v>112</v>
      </c>
      <c r="G442" s="38">
        <v>15</v>
      </c>
      <c r="H442" s="38">
        <f>IFERROR('Automated raw'!$F442+'Automated raw'!$G442,"-")</f>
        <v>127</v>
      </c>
      <c r="I442" s="38">
        <v>92</v>
      </c>
      <c r="J442" s="38">
        <v>50</v>
      </c>
      <c r="K442" s="38">
        <v>8</v>
      </c>
      <c r="L442" s="38">
        <v>1151</v>
      </c>
      <c r="M442" s="38">
        <v>2037</v>
      </c>
      <c r="N442" s="38">
        <f>'Automated raw'!$G442/'Automated raw'!$H442</f>
        <v>0.11811023622047244</v>
      </c>
      <c r="O442" s="41">
        <f>IFERROR('Automated raw'!$G442/'Automated raw'!$H442,"incomplete")</f>
        <v>0.11811023622047244</v>
      </c>
      <c r="P442" s="38">
        <f>'Automated raw'!$F442</f>
        <v>112</v>
      </c>
      <c r="Q442" s="42">
        <f>IFERROR('Automated raw'!$P442*'Automated raw'!$L442,0)</f>
        <v>128912</v>
      </c>
      <c r="R442" s="38" t="str">
        <f>IF('Automated raw'!$O442&gt;=60%,"High",IF('Automated raw'!$O442&gt;=30%,"Avg",IF('Automated raw'!$O442&lt;30%,"Dead Stock","Incomplete")))</f>
        <v>Dead Stock</v>
      </c>
      <c r="S442" s="43" t="str">
        <f>TEXT('Automated raw'!$B442,"mmm")</f>
        <v>Nov</v>
      </c>
      <c r="T442" s="82">
        <f>'Automated raw'!$G442*'Automated raw'!$M442</f>
        <v>30555</v>
      </c>
      <c r="U442" s="6">
        <f>IFERROR((Table7[[#This Row],[Stock In(Total)]]+Table7[[#This Row],[In Stock or Remaining]])/2,"-")</f>
        <v>119.5</v>
      </c>
      <c r="V442" s="93">
        <f>IFERROR(Table7[[#This Row],[Stock_Out]]/Table7[[#This Row],[Avg Inventory]],"-")</f>
        <v>0.12552301255230125</v>
      </c>
      <c r="W442" s="6"/>
      <c r="X442" s="6"/>
      <c r="Y442" s="6"/>
      <c r="Z442" s="6"/>
      <c r="AA442" s="6"/>
      <c r="AB442" s="6"/>
      <c r="AC442" s="6"/>
      <c r="AD442" s="6"/>
      <c r="AE442" s="6"/>
      <c r="AF442" s="6"/>
      <c r="AG442" s="6"/>
      <c r="AH442" s="6"/>
      <c r="AI442" s="6"/>
      <c r="AJ442" s="6"/>
      <c r="AK442" s="6"/>
      <c r="AL442" t="s">
        <v>203</v>
      </c>
      <c r="AM442">
        <v>45570</v>
      </c>
      <c r="AN442" t="s">
        <v>30</v>
      </c>
      <c r="AO442" t="s">
        <v>13</v>
      </c>
      <c r="AP442" t="s">
        <v>23</v>
      </c>
      <c r="AQ442">
        <v>109</v>
      </c>
      <c r="AR442">
        <v>75</v>
      </c>
      <c r="AS442">
        <v>184</v>
      </c>
      <c r="AT442">
        <v>95</v>
      </c>
      <c r="AU442">
        <v>42</v>
      </c>
      <c r="AV442">
        <v>9</v>
      </c>
      <c r="AW442">
        <v>223</v>
      </c>
      <c r="AX442">
        <v>1142</v>
      </c>
      <c r="AY442">
        <v>0.40760869565217389</v>
      </c>
      <c r="AZ442">
        <v>0.40760869565217389</v>
      </c>
      <c r="BA442">
        <v>109</v>
      </c>
      <c r="BB442">
        <v>24307</v>
      </c>
      <c r="BC442" t="s">
        <v>551</v>
      </c>
      <c r="BD442" t="s">
        <v>565</v>
      </c>
      <c r="BE442">
        <v>85650</v>
      </c>
    </row>
    <row r="443" spans="1:57" x14ac:dyDescent="0.3">
      <c r="A443" s="44" t="s">
        <v>476</v>
      </c>
      <c r="B443" s="45">
        <v>45439</v>
      </c>
      <c r="C443" s="44" t="s">
        <v>53</v>
      </c>
      <c r="D443" s="44" t="s">
        <v>13</v>
      </c>
      <c r="E443" s="44" t="s">
        <v>33</v>
      </c>
      <c r="F443" s="40">
        <v>9</v>
      </c>
      <c r="G443" s="44">
        <v>42</v>
      </c>
      <c r="H443" s="44">
        <f>IFERROR('Automated raw'!$F443+'Automated raw'!$G443,"-")</f>
        <v>51</v>
      </c>
      <c r="I443" s="44">
        <v>201</v>
      </c>
      <c r="J443" s="44">
        <v>57</v>
      </c>
      <c r="K443" s="44">
        <v>6</v>
      </c>
      <c r="L443" s="44">
        <v>413</v>
      </c>
      <c r="M443" s="44">
        <v>1136</v>
      </c>
      <c r="N443" s="44">
        <f>'Automated raw'!$G443/'Automated raw'!$H443</f>
        <v>0.82352941176470584</v>
      </c>
      <c r="O443" s="46">
        <f>IFERROR('Automated raw'!$G443/'Automated raw'!$H443,"incomplete")</f>
        <v>0.82352941176470584</v>
      </c>
      <c r="P443" s="44">
        <f>'Automated raw'!$F443</f>
        <v>9</v>
      </c>
      <c r="Q443" s="47">
        <f>IFERROR('Automated raw'!$P443*'Automated raw'!$L443,0)</f>
        <v>3717</v>
      </c>
      <c r="R443" s="44" t="str">
        <f>IF('Automated raw'!$O443&gt;=60%,"High",IF('Automated raw'!$O443&gt;=30%,"Avg",IF('Automated raw'!$O443&lt;30%,"Dead Stock","Incomplete")))</f>
        <v>High</v>
      </c>
      <c r="S443" s="48" t="str">
        <f>TEXT('Automated raw'!$B443,"mmm")</f>
        <v>May</v>
      </c>
      <c r="T443" s="83">
        <f>'Automated raw'!$G443*'Automated raw'!$M443</f>
        <v>47712</v>
      </c>
      <c r="U443" s="6">
        <f>IFERROR((Table7[[#This Row],[Stock In(Total)]]+Table7[[#This Row],[In Stock or Remaining]])/2,"-")</f>
        <v>30</v>
      </c>
      <c r="V443" s="93">
        <f>IFERROR(Table7[[#This Row],[Stock_Out]]/Table7[[#This Row],[Avg Inventory]],"-")</f>
        <v>1.4</v>
      </c>
      <c r="W443" s="6"/>
      <c r="X443" s="6"/>
      <c r="Y443" s="6"/>
      <c r="Z443" s="6"/>
      <c r="AA443" s="6"/>
      <c r="AB443" s="6"/>
      <c r="AC443" s="6"/>
      <c r="AD443" s="6"/>
      <c r="AE443" s="6"/>
      <c r="AF443" s="6"/>
      <c r="AG443" s="6"/>
      <c r="AH443" s="6"/>
      <c r="AI443" s="6"/>
      <c r="AJ443" s="6"/>
      <c r="AK443" s="6"/>
      <c r="AL443" t="s">
        <v>206</v>
      </c>
      <c r="AM443">
        <v>45310</v>
      </c>
      <c r="AN443" t="s">
        <v>30</v>
      </c>
      <c r="AO443" t="s">
        <v>20</v>
      </c>
      <c r="AP443" t="s">
        <v>21</v>
      </c>
      <c r="AQ443">
        <v>97</v>
      </c>
      <c r="AR443">
        <v>87</v>
      </c>
      <c r="AS443">
        <v>184</v>
      </c>
      <c r="AT443">
        <v>16</v>
      </c>
      <c r="AU443">
        <v>70</v>
      </c>
      <c r="AV443">
        <v>13</v>
      </c>
      <c r="AW443">
        <v>242</v>
      </c>
      <c r="AX443">
        <v>1008</v>
      </c>
      <c r="AY443">
        <v>0.47282608695652173</v>
      </c>
      <c r="AZ443">
        <v>0.47282608695652173</v>
      </c>
      <c r="BA443">
        <v>97</v>
      </c>
      <c r="BB443">
        <v>23474</v>
      </c>
      <c r="BC443" t="s">
        <v>551</v>
      </c>
      <c r="BD443" t="s">
        <v>557</v>
      </c>
      <c r="BE443">
        <v>87696</v>
      </c>
    </row>
    <row r="444" spans="1:57" x14ac:dyDescent="0.3">
      <c r="A444" s="38" t="s">
        <v>335</v>
      </c>
      <c r="B444" s="39">
        <v>45645</v>
      </c>
      <c r="C444" s="38" t="s">
        <v>37</v>
      </c>
      <c r="D444" s="38" t="s">
        <v>17</v>
      </c>
      <c r="E444" s="38" t="s">
        <v>33</v>
      </c>
      <c r="F444" s="40">
        <v>94</v>
      </c>
      <c r="G444" s="38">
        <v>115</v>
      </c>
      <c r="H444" s="38">
        <f>IFERROR('Automated raw'!$F302+'Automated raw'!$G302,"-")</f>
        <v>137</v>
      </c>
      <c r="I444" s="38">
        <v>91</v>
      </c>
      <c r="J444" s="38">
        <v>65</v>
      </c>
      <c r="K444" s="38">
        <v>5</v>
      </c>
      <c r="L444" s="38">
        <v>1586</v>
      </c>
      <c r="M444" s="38">
        <v>1954</v>
      </c>
      <c r="N444" s="38">
        <f>'Automated raw'!$G302/'Automated raw'!$H302</f>
        <v>0.81578947368421051</v>
      </c>
      <c r="O444" s="41">
        <f>IFERROR('Automated raw'!$G302/'Automated raw'!$H302,"incomplete")</f>
        <v>0.81578947368421051</v>
      </c>
      <c r="P444" s="38">
        <f>'Automated raw'!$F302</f>
        <v>75</v>
      </c>
      <c r="Q444" s="42">
        <f>IFERROR('Automated raw'!$P302*'Automated raw'!$L302,0)</f>
        <v>25604</v>
      </c>
      <c r="R444" s="38" t="str">
        <f>IF('Automated raw'!$O302&gt;=60%,"High",IF('Automated raw'!$O302&gt;=30%,"Avg",IF('Automated raw'!$O302&lt;30%,"Dead Stock","Incomplete")))</f>
        <v>Dead Stock</v>
      </c>
      <c r="S444" s="43" t="str">
        <f>TEXT('Automated raw'!$B302,"mmm")</f>
        <v>Dec</v>
      </c>
      <c r="T444" s="82">
        <f>'Automated raw'!$G302*'Automated raw'!$M302</f>
        <v>107694</v>
      </c>
      <c r="U444" s="6">
        <f>IFERROR((Table7[[#This Row],[Stock In(Total)]]+Table7[[#This Row],[In Stock or Remaining]])/2,"-")</f>
        <v>115.5</v>
      </c>
      <c r="V444" s="93">
        <f>IFERROR(Table7[[#This Row],[Stock_Out]]/Table7[[#This Row],[Avg Inventory]],"-")</f>
        <v>0.99567099567099571</v>
      </c>
      <c r="W444" s="6"/>
      <c r="X444" s="6"/>
      <c r="Y444" s="6"/>
      <c r="Z444" s="6"/>
      <c r="AA444" s="6"/>
      <c r="AB444" s="6"/>
      <c r="AC444" s="6"/>
      <c r="AD444" s="6"/>
      <c r="AE444" s="6"/>
      <c r="AF444" s="6"/>
      <c r="AG444" s="6"/>
      <c r="AH444" s="6"/>
      <c r="AI444" s="6"/>
      <c r="AJ444" s="6"/>
      <c r="AK444" s="6"/>
      <c r="AL444" t="s">
        <v>207</v>
      </c>
      <c r="AM444">
        <v>45447</v>
      </c>
      <c r="AN444" t="s">
        <v>26</v>
      </c>
      <c r="AO444" t="s">
        <v>20</v>
      </c>
      <c r="AP444" t="s">
        <v>14</v>
      </c>
      <c r="AQ444">
        <v>90</v>
      </c>
      <c r="AR444">
        <v>49</v>
      </c>
      <c r="AS444">
        <v>139</v>
      </c>
      <c r="AT444">
        <v>267</v>
      </c>
      <c r="AU444">
        <v>44</v>
      </c>
      <c r="AV444">
        <v>13</v>
      </c>
      <c r="AW444">
        <v>847</v>
      </c>
      <c r="AX444">
        <v>2116</v>
      </c>
      <c r="AY444">
        <v>0.35251798561151076</v>
      </c>
      <c r="AZ444">
        <v>0.35251798561151076</v>
      </c>
      <c r="BA444">
        <v>90</v>
      </c>
      <c r="BB444">
        <v>76230</v>
      </c>
      <c r="BC444" t="s">
        <v>551</v>
      </c>
      <c r="BD444" t="s">
        <v>559</v>
      </c>
      <c r="BE444">
        <v>103684</v>
      </c>
    </row>
    <row r="445" spans="1:57" x14ac:dyDescent="0.3">
      <c r="A445" s="44" t="s">
        <v>478</v>
      </c>
      <c r="B445" s="45">
        <v>45421</v>
      </c>
      <c r="C445" s="44" t="s">
        <v>12</v>
      </c>
      <c r="D445" s="44" t="s">
        <v>13</v>
      </c>
      <c r="E445" s="44" t="s">
        <v>14</v>
      </c>
      <c r="F445" s="40">
        <v>150</v>
      </c>
      <c r="G445" s="44">
        <v>31</v>
      </c>
      <c r="H445" s="44">
        <f>IFERROR('Automated raw'!$F445+'Automated raw'!$G445,"-")</f>
        <v>181</v>
      </c>
      <c r="I445" s="44">
        <v>24</v>
      </c>
      <c r="J445" s="44">
        <v>77</v>
      </c>
      <c r="K445" s="44">
        <v>6</v>
      </c>
      <c r="L445" s="44">
        <v>420</v>
      </c>
      <c r="M445" s="44">
        <v>1536</v>
      </c>
      <c r="N445" s="44">
        <f>'Automated raw'!$G445/'Automated raw'!$H445</f>
        <v>0.17127071823204421</v>
      </c>
      <c r="O445" s="46">
        <f>IFERROR('Automated raw'!$G445/'Automated raw'!$H445,"incomplete")</f>
        <v>0.17127071823204421</v>
      </c>
      <c r="P445" s="44">
        <f>'Automated raw'!$F445</f>
        <v>150</v>
      </c>
      <c r="Q445" s="47">
        <f>IFERROR('Automated raw'!$P445*'Automated raw'!$L445,0)</f>
        <v>63000</v>
      </c>
      <c r="R445" s="44" t="str">
        <f>IF('Automated raw'!$O445&gt;=60%,"High",IF('Automated raw'!$O445&gt;=30%,"Avg",IF('Automated raw'!$O445&lt;30%,"Dead Stock","Incomplete")))</f>
        <v>Dead Stock</v>
      </c>
      <c r="S445" s="48" t="str">
        <f>TEXT('Automated raw'!$B445,"mmm")</f>
        <v>May</v>
      </c>
      <c r="T445" s="83">
        <f>'Automated raw'!$G445*'Automated raw'!$M445</f>
        <v>47616</v>
      </c>
      <c r="U445" s="6">
        <f>IFERROR((Table7[[#This Row],[Stock In(Total)]]+Table7[[#This Row],[In Stock or Remaining]])/2,"-")</f>
        <v>165.5</v>
      </c>
      <c r="V445" s="93">
        <f>IFERROR(Table7[[#This Row],[Stock_Out]]/Table7[[#This Row],[Avg Inventory]],"-")</f>
        <v>0.18731117824773413</v>
      </c>
      <c r="W445" s="6"/>
      <c r="X445" s="6"/>
      <c r="Y445" s="6"/>
      <c r="Z445" s="6"/>
      <c r="AA445" s="6"/>
      <c r="AB445" s="6"/>
      <c r="AC445" s="6"/>
      <c r="AD445" s="6"/>
      <c r="AE445" s="6"/>
      <c r="AF445" s="6"/>
      <c r="AG445" s="6"/>
      <c r="AH445" s="6"/>
      <c r="AI445" s="6"/>
      <c r="AJ445" s="6"/>
      <c r="AK445" s="6"/>
      <c r="AL445" t="s">
        <v>213</v>
      </c>
      <c r="AM445">
        <v>45447</v>
      </c>
      <c r="AN445" t="s">
        <v>37</v>
      </c>
      <c r="AO445" t="s">
        <v>17</v>
      </c>
      <c r="AP445" t="s">
        <v>38</v>
      </c>
      <c r="AQ445">
        <v>63</v>
      </c>
      <c r="AR445">
        <v>64</v>
      </c>
      <c r="AS445">
        <v>127</v>
      </c>
      <c r="AT445">
        <v>100</v>
      </c>
      <c r="AU445">
        <v>77</v>
      </c>
      <c r="AV445">
        <v>3</v>
      </c>
      <c r="AW445">
        <v>1303</v>
      </c>
      <c r="AX445">
        <v>1836</v>
      </c>
      <c r="AY445">
        <v>0.50393700787401574</v>
      </c>
      <c r="AZ445">
        <v>0.50393700787401574</v>
      </c>
      <c r="BA445">
        <v>63</v>
      </c>
      <c r="BB445">
        <v>82089</v>
      </c>
      <c r="BC445" t="s">
        <v>551</v>
      </c>
      <c r="BD445" t="s">
        <v>559</v>
      </c>
      <c r="BE445">
        <v>117504</v>
      </c>
    </row>
    <row r="446" spans="1:57" x14ac:dyDescent="0.3">
      <c r="A446" s="38" t="s">
        <v>99</v>
      </c>
      <c r="B446" s="39">
        <v>45514</v>
      </c>
      <c r="C446" s="38" t="s">
        <v>45</v>
      </c>
      <c r="D446" s="38" t="s">
        <v>17</v>
      </c>
      <c r="E446" s="38" t="s">
        <v>21</v>
      </c>
      <c r="F446" s="40">
        <v>71</v>
      </c>
      <c r="G446" s="38">
        <v>87</v>
      </c>
      <c r="H446" s="38">
        <f>IFERROR('Automated raw'!$F72+'Automated raw'!$G72,"-")</f>
        <v>91</v>
      </c>
      <c r="I446" s="38">
        <v>71</v>
      </c>
      <c r="J446" s="38">
        <v>76</v>
      </c>
      <c r="K446" s="38">
        <v>11</v>
      </c>
      <c r="L446" s="38">
        <v>1023</v>
      </c>
      <c r="M446" s="38">
        <v>2007</v>
      </c>
      <c r="N446" s="38">
        <f>'Automated raw'!$G72/'Automated raw'!$H72</f>
        <v>0.16402116402116401</v>
      </c>
      <c r="O446" s="41">
        <f>IFERROR('Automated raw'!$G72/'Automated raw'!$H72,"incomplete")</f>
        <v>0.16402116402116401</v>
      </c>
      <c r="P446" s="38">
        <f>'Automated raw'!$F72</f>
        <v>60</v>
      </c>
      <c r="Q446" s="42">
        <f>IFERROR('Automated raw'!$P72*'Automated raw'!$L72,0)</f>
        <v>55981</v>
      </c>
      <c r="R446" s="38" t="str">
        <f>IF('Automated raw'!$O72&gt;=60%,"High",IF('Automated raw'!$O72&gt;=30%,"Avg",IF('Automated raw'!$O72&lt;30%,"Dead Stock","Incomplete")))</f>
        <v>Avg</v>
      </c>
      <c r="S446" s="43" t="str">
        <f>TEXT('Automated raw'!$B72,"mmm")</f>
        <v>Feb</v>
      </c>
      <c r="T446" s="82">
        <f>'Automated raw'!$G72*'Automated raw'!$M72</f>
        <v>34472</v>
      </c>
      <c r="U446" s="6">
        <f>IFERROR((Table7[[#This Row],[Stock In(Total)]]+Table7[[#This Row],[In Stock or Remaining]])/2,"-")</f>
        <v>81</v>
      </c>
      <c r="V446" s="93">
        <f>IFERROR(Table7[[#This Row],[Stock_Out]]/Table7[[#This Row],[Avg Inventory]],"-")</f>
        <v>1.0740740740740742</v>
      </c>
      <c r="W446" s="6"/>
      <c r="X446" s="6"/>
      <c r="Y446" s="6"/>
      <c r="Z446" s="6"/>
      <c r="AA446" s="6"/>
      <c r="AB446" s="6"/>
      <c r="AC446" s="6"/>
      <c r="AD446" s="6"/>
      <c r="AE446" s="6"/>
      <c r="AF446" s="6"/>
      <c r="AG446" s="6"/>
      <c r="AH446" s="6"/>
      <c r="AI446" s="6"/>
      <c r="AJ446" s="6"/>
      <c r="AK446" s="6"/>
      <c r="AL446" t="s">
        <v>215</v>
      </c>
      <c r="AM446">
        <v>45550</v>
      </c>
      <c r="AN446" t="s">
        <v>30</v>
      </c>
      <c r="AO446" t="s">
        <v>17</v>
      </c>
      <c r="AP446" t="s">
        <v>14</v>
      </c>
      <c r="AQ446">
        <v>82</v>
      </c>
      <c r="AR446">
        <v>39</v>
      </c>
      <c r="AS446">
        <v>121</v>
      </c>
      <c r="AT446">
        <v>286</v>
      </c>
      <c r="AU446">
        <v>78</v>
      </c>
      <c r="AV446">
        <v>12</v>
      </c>
      <c r="AW446">
        <v>989</v>
      </c>
      <c r="AX446">
        <v>2061</v>
      </c>
      <c r="AY446">
        <v>0.32231404958677684</v>
      </c>
      <c r="AZ446">
        <v>0.32231404958677684</v>
      </c>
      <c r="BA446">
        <v>82</v>
      </c>
      <c r="BB446">
        <v>81098</v>
      </c>
      <c r="BC446" t="s">
        <v>551</v>
      </c>
      <c r="BD446" t="s">
        <v>560</v>
      </c>
      <c r="BE446">
        <v>80379</v>
      </c>
    </row>
    <row r="447" spans="1:57" x14ac:dyDescent="0.3">
      <c r="A447" s="44" t="s">
        <v>480</v>
      </c>
      <c r="B447" s="45">
        <v>45571</v>
      </c>
      <c r="C447" s="44" t="s">
        <v>12</v>
      </c>
      <c r="D447" s="44" t="s">
        <v>17</v>
      </c>
      <c r="E447" s="44" t="s">
        <v>21</v>
      </c>
      <c r="F447" s="40">
        <v>30</v>
      </c>
      <c r="G447" s="44">
        <v>92</v>
      </c>
      <c r="H447" s="44">
        <f>IFERROR('Automated raw'!$F447+'Automated raw'!$G447,"-")</f>
        <v>122</v>
      </c>
      <c r="I447" s="44">
        <v>47</v>
      </c>
      <c r="J447" s="44">
        <v>73</v>
      </c>
      <c r="K447" s="44">
        <v>6</v>
      </c>
      <c r="L447" s="44">
        <v>494</v>
      </c>
      <c r="M447" s="44">
        <v>1834</v>
      </c>
      <c r="N447" s="44">
        <f>'Automated raw'!$G447/'Automated raw'!$H447</f>
        <v>0.75409836065573765</v>
      </c>
      <c r="O447" s="46">
        <f>IFERROR('Automated raw'!$G447/'Automated raw'!$H447,"incomplete")</f>
        <v>0.75409836065573765</v>
      </c>
      <c r="P447" s="44">
        <f>'Automated raw'!$F447</f>
        <v>30</v>
      </c>
      <c r="Q447" s="47">
        <f>IFERROR('Automated raw'!$P447*'Automated raw'!$L447,0)</f>
        <v>14820</v>
      </c>
      <c r="R447" s="44" t="str">
        <f>IF('Automated raw'!$O447&gt;=60%,"High",IF('Automated raw'!$O447&gt;=30%,"Avg",IF('Automated raw'!$O447&lt;30%,"Dead Stock","Incomplete")))</f>
        <v>High</v>
      </c>
      <c r="S447" s="48" t="str">
        <f>TEXT('Automated raw'!$B447,"mmm")</f>
        <v>Oct</v>
      </c>
      <c r="T447" s="83">
        <f>'Automated raw'!$G447*'Automated raw'!$M447</f>
        <v>168728</v>
      </c>
      <c r="U447" s="6">
        <f>IFERROR((Table7[[#This Row],[Stock In(Total)]]+Table7[[#This Row],[In Stock or Remaining]])/2,"-")</f>
        <v>76</v>
      </c>
      <c r="V447" s="93">
        <f>IFERROR(Table7[[#This Row],[Stock_Out]]/Table7[[#This Row],[Avg Inventory]],"-")</f>
        <v>1.2105263157894737</v>
      </c>
      <c r="W447" s="6"/>
      <c r="X447" s="6"/>
      <c r="Y447" s="6"/>
      <c r="Z447" s="6"/>
      <c r="AA447" s="6"/>
      <c r="AB447" s="6"/>
      <c r="AC447" s="6"/>
      <c r="AD447" s="6"/>
      <c r="AE447" s="6"/>
      <c r="AF447" s="6"/>
      <c r="AG447" s="6"/>
      <c r="AH447" s="6"/>
      <c r="AI447" s="6"/>
      <c r="AJ447" s="6"/>
      <c r="AK447" s="6"/>
      <c r="AL447" t="s">
        <v>217</v>
      </c>
      <c r="AM447">
        <v>45473</v>
      </c>
      <c r="AN447" t="s">
        <v>12</v>
      </c>
      <c r="AO447" t="s">
        <v>13</v>
      </c>
      <c r="AP447" t="s">
        <v>38</v>
      </c>
      <c r="AQ447">
        <v>36</v>
      </c>
      <c r="AR447">
        <v>23</v>
      </c>
      <c r="AS447">
        <v>59</v>
      </c>
      <c r="AT447">
        <v>181</v>
      </c>
      <c r="AU447">
        <v>45</v>
      </c>
      <c r="AV447">
        <v>13</v>
      </c>
      <c r="AW447">
        <v>318</v>
      </c>
      <c r="AX447">
        <v>1611</v>
      </c>
      <c r="AY447">
        <v>0.38983050847457629</v>
      </c>
      <c r="AZ447">
        <v>0.38983050847457629</v>
      </c>
      <c r="BA447">
        <v>36</v>
      </c>
      <c r="BB447">
        <v>11448</v>
      </c>
      <c r="BC447" t="s">
        <v>551</v>
      </c>
      <c r="BD447" t="s">
        <v>559</v>
      </c>
      <c r="BE447">
        <v>37053</v>
      </c>
    </row>
    <row r="448" spans="1:57" x14ac:dyDescent="0.3">
      <c r="A448" s="38" t="s">
        <v>481</v>
      </c>
      <c r="B448" s="39">
        <v>45444</v>
      </c>
      <c r="C448" s="38" t="s">
        <v>12</v>
      </c>
      <c r="D448" s="38" t="s">
        <v>17</v>
      </c>
      <c r="E448" s="38" t="s">
        <v>33</v>
      </c>
      <c r="F448" s="40" t="s">
        <v>23</v>
      </c>
      <c r="G448" s="38">
        <v>65</v>
      </c>
      <c r="H448" s="38" t="str">
        <f>IFERROR('Automated raw'!$F448+'Automated raw'!$G448,"-")</f>
        <v>-</v>
      </c>
      <c r="I448" s="38">
        <v>214</v>
      </c>
      <c r="J448" s="38">
        <v>59</v>
      </c>
      <c r="K448" s="38">
        <v>13</v>
      </c>
      <c r="L448" s="38">
        <v>1556</v>
      </c>
      <c r="M448" s="38">
        <v>2404</v>
      </c>
      <c r="N448" s="38" t="e">
        <f>'Automated raw'!$G448/'Automated raw'!$H448</f>
        <v>#VALUE!</v>
      </c>
      <c r="O448" s="49" t="str">
        <f>IFERROR('Automated raw'!$G448/'Automated raw'!$H448,"incomplete")</f>
        <v>incomplete</v>
      </c>
      <c r="P448" s="38" t="str">
        <f>'Automated raw'!$F448</f>
        <v>Not Available</v>
      </c>
      <c r="Q448" s="42">
        <f>IFERROR('Automated raw'!$P448*'Automated raw'!$L448,0)</f>
        <v>0</v>
      </c>
      <c r="R448" s="38" t="str">
        <f>IF('Automated raw'!$O448&gt;=60%,"High",IF('Automated raw'!$O448&gt;=30%,"Avg",IF('Automated raw'!$O448&lt;30%,"Dead Stock","Incomplete")))</f>
        <v>High</v>
      </c>
      <c r="S448" s="43" t="str">
        <f>TEXT('Automated raw'!$B448,"mmm")</f>
        <v>Jun</v>
      </c>
      <c r="T448" s="82">
        <f>'Automated raw'!$G448*'Automated raw'!$M448</f>
        <v>156260</v>
      </c>
      <c r="U448" s="6" t="str">
        <f>IFERROR((Table7[[#This Row],[Stock In(Total)]]+Table7[[#This Row],[In Stock or Remaining]])/2,"-")</f>
        <v>-</v>
      </c>
      <c r="V448" s="93" t="str">
        <f>IFERROR(Table7[[#This Row],[Stock_Out]]/Table7[[#This Row],[Avg Inventory]],"-")</f>
        <v>-</v>
      </c>
      <c r="W448" s="6"/>
      <c r="X448" s="6"/>
      <c r="Y448" s="6"/>
      <c r="Z448" s="6"/>
      <c r="AA448" s="6"/>
      <c r="AB448" s="6"/>
      <c r="AC448" s="6"/>
      <c r="AD448" s="6"/>
      <c r="AE448" s="6"/>
      <c r="AF448" s="6"/>
      <c r="AG448" s="6"/>
      <c r="AH448" s="6"/>
      <c r="AI448" s="6"/>
      <c r="AJ448" s="6"/>
      <c r="AK448" s="6"/>
      <c r="AL448" t="s">
        <v>219</v>
      </c>
      <c r="AM448">
        <v>45348</v>
      </c>
      <c r="AN448" t="s">
        <v>30</v>
      </c>
      <c r="AO448" t="s">
        <v>13</v>
      </c>
      <c r="AP448" t="s">
        <v>21</v>
      </c>
      <c r="AQ448">
        <v>131</v>
      </c>
      <c r="AR448">
        <v>60</v>
      </c>
      <c r="AS448">
        <v>191</v>
      </c>
      <c r="AT448">
        <v>153</v>
      </c>
      <c r="AU448">
        <v>66</v>
      </c>
      <c r="AV448">
        <v>5</v>
      </c>
      <c r="AW448">
        <v>663</v>
      </c>
      <c r="AX448">
        <v>1303</v>
      </c>
      <c r="AY448">
        <v>0.31413612565445026</v>
      </c>
      <c r="AZ448">
        <v>0.31413612565445026</v>
      </c>
      <c r="BA448">
        <v>131</v>
      </c>
      <c r="BB448">
        <v>86853</v>
      </c>
      <c r="BC448" t="s">
        <v>551</v>
      </c>
      <c r="BD448" t="s">
        <v>555</v>
      </c>
      <c r="BE448">
        <v>78180</v>
      </c>
    </row>
    <row r="449" spans="1:57" x14ac:dyDescent="0.3">
      <c r="A449" s="38" t="s">
        <v>449</v>
      </c>
      <c r="B449" s="39">
        <v>45630</v>
      </c>
      <c r="C449" s="38" t="s">
        <v>53</v>
      </c>
      <c r="D449" s="38" t="s">
        <v>17</v>
      </c>
      <c r="E449" s="38" t="s">
        <v>21</v>
      </c>
      <c r="F449" s="40">
        <v>88</v>
      </c>
      <c r="G449" s="38">
        <v>109</v>
      </c>
      <c r="H449" s="38">
        <f>IFERROR('Automated raw'!$F416+'Automated raw'!$G416,"-")</f>
        <v>98</v>
      </c>
      <c r="I449" s="38">
        <v>296</v>
      </c>
      <c r="J449" s="38">
        <v>35</v>
      </c>
      <c r="K449" s="38">
        <v>9</v>
      </c>
      <c r="L449" s="38">
        <v>1581</v>
      </c>
      <c r="M449" s="38">
        <v>2723</v>
      </c>
      <c r="N449" s="38">
        <f>'Automated raw'!$G416/'Automated raw'!$H416</f>
        <v>0.21794871794871795</v>
      </c>
      <c r="O449" s="41">
        <f>IFERROR('Automated raw'!$G416/'Automated raw'!$H416,"incomplete")</f>
        <v>0.21794871794871795</v>
      </c>
      <c r="P449" s="38">
        <f>'Automated raw'!$F416</f>
        <v>47</v>
      </c>
      <c r="Q449" s="42">
        <f>IFERROR('Automated raw'!$P416*'Automated raw'!$L416,0)</f>
        <v>285750</v>
      </c>
      <c r="R449" s="38" t="str">
        <f>IF('Automated raw'!$O416&gt;=60%,"High",IF('Automated raw'!$O416&gt;=30%,"Avg",IF('Automated raw'!$O416&lt;30%,"Dead Stock","Incomplete")))</f>
        <v>Avg</v>
      </c>
      <c r="S449" s="43" t="str">
        <f>TEXT('Automated raw'!$B416,"mmm")</f>
        <v>Dec</v>
      </c>
      <c r="T449" s="82">
        <f>'Automated raw'!$G416*'Automated raw'!$M416</f>
        <v>128877</v>
      </c>
      <c r="U449" s="6">
        <f>IFERROR((Table7[[#This Row],[Stock In(Total)]]+Table7[[#This Row],[In Stock or Remaining]])/2,"-")</f>
        <v>93</v>
      </c>
      <c r="V449" s="93">
        <f>IFERROR(Table7[[#This Row],[Stock_Out]]/Table7[[#This Row],[Avg Inventory]],"-")</f>
        <v>1.1720430107526882</v>
      </c>
      <c r="W449" s="6"/>
      <c r="X449" s="6"/>
      <c r="Y449" s="6"/>
      <c r="Z449" s="6"/>
      <c r="AA449" s="6"/>
      <c r="AB449" s="6"/>
      <c r="AC449" s="6"/>
      <c r="AD449" s="6"/>
      <c r="AE449" s="6"/>
      <c r="AF449" s="6"/>
      <c r="AG449" s="6"/>
      <c r="AH449" s="6"/>
      <c r="AI449" s="6"/>
      <c r="AJ449" s="6"/>
      <c r="AK449" s="6"/>
      <c r="AL449" t="s">
        <v>221</v>
      </c>
      <c r="AM449">
        <v>45656</v>
      </c>
      <c r="AN449" t="s">
        <v>26</v>
      </c>
      <c r="AO449" t="s">
        <v>20</v>
      </c>
      <c r="AP449" t="s">
        <v>38</v>
      </c>
      <c r="AQ449">
        <v>92</v>
      </c>
      <c r="AR449">
        <v>44</v>
      </c>
      <c r="AS449">
        <v>136</v>
      </c>
      <c r="AT449">
        <v>27</v>
      </c>
      <c r="AU449">
        <v>33</v>
      </c>
      <c r="AV449">
        <v>5</v>
      </c>
      <c r="AW449">
        <v>1889</v>
      </c>
      <c r="AX449">
        <v>2354</v>
      </c>
      <c r="AY449">
        <v>0.3235294117647059</v>
      </c>
      <c r="AZ449">
        <v>0.3235294117647059</v>
      </c>
      <c r="BA449">
        <v>92</v>
      </c>
      <c r="BB449">
        <v>173788</v>
      </c>
      <c r="BC449" t="s">
        <v>551</v>
      </c>
      <c r="BD449" t="s">
        <v>563</v>
      </c>
      <c r="BE449">
        <v>103576</v>
      </c>
    </row>
    <row r="450" spans="1:57" x14ac:dyDescent="0.3">
      <c r="A450" s="38" t="s">
        <v>483</v>
      </c>
      <c r="B450" s="39">
        <v>45647</v>
      </c>
      <c r="C450" s="38" t="s">
        <v>12</v>
      </c>
      <c r="D450" s="38" t="s">
        <v>13</v>
      </c>
      <c r="E450" s="38" t="s">
        <v>38</v>
      </c>
      <c r="F450" s="40">
        <v>48</v>
      </c>
      <c r="G450" s="38">
        <v>77</v>
      </c>
      <c r="H450" s="38">
        <f>IFERROR('Automated raw'!$F450+'Automated raw'!$G450,"-")</f>
        <v>125</v>
      </c>
      <c r="I450" s="38">
        <v>267</v>
      </c>
      <c r="J450" s="38">
        <v>68</v>
      </c>
      <c r="K450" s="38">
        <v>8</v>
      </c>
      <c r="L450" s="38">
        <v>865</v>
      </c>
      <c r="M450" s="38">
        <v>1878</v>
      </c>
      <c r="N450" s="38">
        <f>'Automated raw'!$G450/'Automated raw'!$H450</f>
        <v>0.61599999999999999</v>
      </c>
      <c r="O450" s="41">
        <f>IFERROR('Automated raw'!$G450/'Automated raw'!$H450,"incomplete")</f>
        <v>0.61599999999999999</v>
      </c>
      <c r="P450" s="38">
        <f>'Automated raw'!$F450</f>
        <v>48</v>
      </c>
      <c r="Q450" s="42">
        <f>IFERROR('Automated raw'!$P450*'Automated raw'!$L450,0)</f>
        <v>41520</v>
      </c>
      <c r="R450" s="38" t="str">
        <f>IF('Automated raw'!$O450&gt;=60%,"High",IF('Automated raw'!$O450&gt;=30%,"Avg",IF('Automated raw'!$O450&lt;30%,"Dead Stock","Incomplete")))</f>
        <v>High</v>
      </c>
      <c r="S450" s="43" t="str">
        <f>TEXT('Automated raw'!$B450,"mmm")</f>
        <v>Dec</v>
      </c>
      <c r="T450" s="82">
        <f>'Automated raw'!$G450*'Automated raw'!$M450</f>
        <v>144606</v>
      </c>
      <c r="U450" s="6">
        <f>IFERROR((Table7[[#This Row],[Stock In(Total)]]+Table7[[#This Row],[In Stock or Remaining]])/2,"-")</f>
        <v>86.5</v>
      </c>
      <c r="V450" s="93">
        <f>IFERROR(Table7[[#This Row],[Stock_Out]]/Table7[[#This Row],[Avg Inventory]],"-")</f>
        <v>0.89017341040462428</v>
      </c>
      <c r="W450" s="6"/>
      <c r="X450" s="6"/>
      <c r="Y450" s="6"/>
      <c r="Z450" s="6"/>
      <c r="AA450" s="6"/>
      <c r="AB450" s="6"/>
      <c r="AC450" s="6"/>
      <c r="AD450" s="6"/>
      <c r="AE450" s="6"/>
      <c r="AF450" s="6"/>
      <c r="AG450" s="6"/>
      <c r="AH450" s="6"/>
      <c r="AI450" s="6"/>
      <c r="AJ450" s="6"/>
      <c r="AK450" s="6"/>
      <c r="AL450" t="s">
        <v>222</v>
      </c>
      <c r="AM450">
        <v>45610</v>
      </c>
      <c r="AN450" t="s">
        <v>37</v>
      </c>
      <c r="AO450" t="s">
        <v>13</v>
      </c>
      <c r="AP450" t="s">
        <v>21</v>
      </c>
      <c r="AQ450">
        <v>68</v>
      </c>
      <c r="AR450">
        <v>95</v>
      </c>
      <c r="AS450">
        <v>163</v>
      </c>
      <c r="AT450">
        <v>106</v>
      </c>
      <c r="AU450">
        <v>35</v>
      </c>
      <c r="AV450">
        <v>4</v>
      </c>
      <c r="AW450">
        <v>1076</v>
      </c>
      <c r="AX450">
        <v>2064</v>
      </c>
      <c r="AY450">
        <v>0.58282208588957052</v>
      </c>
      <c r="AZ450">
        <v>0.58282208588957052</v>
      </c>
      <c r="BA450">
        <v>68</v>
      </c>
      <c r="BB450">
        <v>73168</v>
      </c>
      <c r="BC450" t="s">
        <v>551</v>
      </c>
      <c r="BD450" t="s">
        <v>564</v>
      </c>
      <c r="BE450">
        <v>196080</v>
      </c>
    </row>
    <row r="451" spans="1:57" x14ac:dyDescent="0.3">
      <c r="A451" s="44" t="s">
        <v>239</v>
      </c>
      <c r="B451" s="45">
        <v>45588</v>
      </c>
      <c r="C451" s="44" t="s">
        <v>12</v>
      </c>
      <c r="D451" s="44" t="s">
        <v>20</v>
      </c>
      <c r="E451" s="44" t="s">
        <v>21</v>
      </c>
      <c r="F451" s="40">
        <v>74</v>
      </c>
      <c r="G451" s="44">
        <v>92</v>
      </c>
      <c r="H451" s="44">
        <f>IFERROR('Automated raw'!$F209+'Automated raw'!$G209,"-")</f>
        <v>247</v>
      </c>
      <c r="I451" s="44">
        <v>132</v>
      </c>
      <c r="J451" s="44">
        <v>56</v>
      </c>
      <c r="K451" s="44">
        <v>6</v>
      </c>
      <c r="L451" s="44">
        <v>1008</v>
      </c>
      <c r="M451" s="44">
        <v>1858</v>
      </c>
      <c r="N451" s="44">
        <f>'Automated raw'!$G209/'Automated raw'!$H209</f>
        <v>11.111111111111111</v>
      </c>
      <c r="O451" s="46">
        <f>IFERROR('Automated raw'!$G209/'Automated raw'!$H209,"incomplete")</f>
        <v>11.111111111111111</v>
      </c>
      <c r="P451" s="44">
        <f>'Automated raw'!$F209</f>
        <v>147</v>
      </c>
      <c r="Q451" s="47">
        <f>IFERROR('Automated raw'!$P209*'Automated raw'!$L209,0)</f>
        <v>11778</v>
      </c>
      <c r="R451" s="44" t="str">
        <f>IF('Automated raw'!$O209&gt;=60%,"High",IF('Automated raw'!$O209&gt;=30%,"Avg",IF('Automated raw'!$O209&lt;30%,"Dead Stock","Incomplete")))</f>
        <v>Dead Stock</v>
      </c>
      <c r="S451" s="48" t="str">
        <f>TEXT('Automated raw'!$B209,"mmm")</f>
        <v>Apr</v>
      </c>
      <c r="T451" s="83">
        <f>'Automated raw'!$G209*'Automated raw'!$M209</f>
        <v>335900</v>
      </c>
      <c r="U451" s="6">
        <f>IFERROR((Table7[[#This Row],[Stock In(Total)]]+Table7[[#This Row],[In Stock or Remaining]])/2,"-")</f>
        <v>160.5</v>
      </c>
      <c r="V451" s="93">
        <f>IFERROR(Table7[[#This Row],[Stock_Out]]/Table7[[#This Row],[Avg Inventory]],"-")</f>
        <v>0.57320872274143297</v>
      </c>
      <c r="W451" s="6"/>
      <c r="X451" s="6"/>
      <c r="Y451" s="6"/>
      <c r="Z451" s="6"/>
      <c r="AA451" s="6"/>
      <c r="AB451" s="6"/>
      <c r="AC451" s="6"/>
      <c r="AD451" s="6"/>
      <c r="AE451" s="6"/>
      <c r="AF451" s="6"/>
      <c r="AG451" s="6"/>
      <c r="AH451" s="6"/>
      <c r="AI451" s="6"/>
      <c r="AJ451" s="6"/>
      <c r="AK451" s="6"/>
      <c r="AL451" t="s">
        <v>223</v>
      </c>
      <c r="AM451">
        <v>45462</v>
      </c>
      <c r="AN451" t="s">
        <v>16</v>
      </c>
      <c r="AO451" t="s">
        <v>20</v>
      </c>
      <c r="AP451" t="s">
        <v>38</v>
      </c>
      <c r="AQ451">
        <v>35</v>
      </c>
      <c r="AR451">
        <v>27</v>
      </c>
      <c r="AS451">
        <v>62</v>
      </c>
      <c r="AT451">
        <v>129</v>
      </c>
      <c r="AU451">
        <v>77</v>
      </c>
      <c r="AV451">
        <v>6</v>
      </c>
      <c r="AW451">
        <v>606</v>
      </c>
      <c r="AX451">
        <v>1151</v>
      </c>
      <c r="AY451">
        <v>0.43548387096774194</v>
      </c>
      <c r="AZ451">
        <v>0.43548387096774194</v>
      </c>
      <c r="BA451">
        <v>35</v>
      </c>
      <c r="BB451">
        <v>21210</v>
      </c>
      <c r="BC451" t="s">
        <v>551</v>
      </c>
      <c r="BD451" t="s">
        <v>559</v>
      </c>
      <c r="BE451">
        <v>31077</v>
      </c>
    </row>
    <row r="452" spans="1:57" x14ac:dyDescent="0.3">
      <c r="A452" s="38" t="s">
        <v>85</v>
      </c>
      <c r="B452" s="39">
        <v>45575</v>
      </c>
      <c r="C452" s="38" t="s">
        <v>16</v>
      </c>
      <c r="D452" s="38" t="s">
        <v>20</v>
      </c>
      <c r="E452" s="38" t="s">
        <v>21</v>
      </c>
      <c r="F452" s="40">
        <v>72</v>
      </c>
      <c r="G452" s="38">
        <v>90</v>
      </c>
      <c r="H452" s="38">
        <f>IFERROR('Automated raw'!$F58+'Automated raw'!$G58,"-")</f>
        <v>154</v>
      </c>
      <c r="I452" s="38">
        <v>208</v>
      </c>
      <c r="J452" s="38">
        <v>77</v>
      </c>
      <c r="K452" s="38">
        <v>10</v>
      </c>
      <c r="L452" s="38">
        <v>1226</v>
      </c>
      <c r="M452" s="38">
        <v>2446</v>
      </c>
      <c r="N452" s="38">
        <f>'Automated raw'!$G58/'Automated raw'!$H58</f>
        <v>0.29940119760479039</v>
      </c>
      <c r="O452" s="41">
        <f>IFERROR('Automated raw'!$G58/'Automated raw'!$H58,"incomplete")</f>
        <v>0.29940119760479039</v>
      </c>
      <c r="P452" s="38">
        <f>'Automated raw'!$F58</f>
        <v>104</v>
      </c>
      <c r="Q452" s="42">
        <f>IFERROR('Automated raw'!$P58*'Automated raw'!$L58,0)</f>
        <v>145008</v>
      </c>
      <c r="R452" s="38" t="str">
        <f>IF('Automated raw'!$O58&gt;=60%,"High",IF('Automated raw'!$O58&gt;=30%,"Avg",IF('Automated raw'!$O58&lt;30%,"Dead Stock","Incomplete")))</f>
        <v>Avg</v>
      </c>
      <c r="S452" s="43" t="str">
        <f>TEXT('Automated raw'!$B58,"mmm")</f>
        <v>Mar</v>
      </c>
      <c r="T452" s="82">
        <f>'Automated raw'!$G58*'Automated raw'!$M58</f>
        <v>115900</v>
      </c>
      <c r="U452" s="6">
        <f>IFERROR((Table7[[#This Row],[Stock In(Total)]]+Table7[[#This Row],[In Stock or Remaining]])/2,"-")</f>
        <v>113</v>
      </c>
      <c r="V452" s="93">
        <f>IFERROR(Table7[[#This Row],[Stock_Out]]/Table7[[#This Row],[Avg Inventory]],"-")</f>
        <v>0.79646017699115046</v>
      </c>
      <c r="W452" s="6"/>
      <c r="X452" s="6"/>
      <c r="Y452" s="6"/>
      <c r="Z452" s="6"/>
      <c r="AA452" s="6"/>
      <c r="AB452" s="6"/>
      <c r="AC452" s="6"/>
      <c r="AD452" s="6"/>
      <c r="AE452" s="6"/>
      <c r="AF452" s="6"/>
      <c r="AG452" s="6"/>
      <c r="AH452" s="6"/>
      <c r="AI452" s="6"/>
      <c r="AJ452" s="6"/>
      <c r="AK452" s="6"/>
      <c r="AL452" t="s">
        <v>228</v>
      </c>
      <c r="AM452">
        <v>45536</v>
      </c>
      <c r="AN452" t="s">
        <v>12</v>
      </c>
      <c r="AO452" t="s">
        <v>13</v>
      </c>
      <c r="AP452" t="s">
        <v>14</v>
      </c>
      <c r="AQ452">
        <v>126</v>
      </c>
      <c r="AR452">
        <v>89</v>
      </c>
      <c r="AS452">
        <v>215</v>
      </c>
      <c r="AT452">
        <v>50</v>
      </c>
      <c r="AU452">
        <v>60</v>
      </c>
      <c r="AV452">
        <v>14</v>
      </c>
      <c r="AW452">
        <v>1341</v>
      </c>
      <c r="AX452">
        <v>2761</v>
      </c>
      <c r="AY452">
        <v>0.413953488372093</v>
      </c>
      <c r="AZ452">
        <v>0.413953488372093</v>
      </c>
      <c r="BA452">
        <v>126</v>
      </c>
      <c r="BB452">
        <v>168966</v>
      </c>
      <c r="BC452" t="s">
        <v>551</v>
      </c>
      <c r="BD452" t="s">
        <v>560</v>
      </c>
      <c r="BE452" s="5">
        <v>245729</v>
      </c>
    </row>
    <row r="453" spans="1:57" x14ac:dyDescent="0.3">
      <c r="A453" s="44" t="s">
        <v>486</v>
      </c>
      <c r="B453" s="45">
        <v>45421</v>
      </c>
      <c r="C453" s="44" t="s">
        <v>12</v>
      </c>
      <c r="D453" s="44" t="s">
        <v>20</v>
      </c>
      <c r="E453" s="44" t="s">
        <v>14</v>
      </c>
      <c r="F453" s="40">
        <v>140</v>
      </c>
      <c r="G453" s="44">
        <v>29</v>
      </c>
      <c r="H453" s="44">
        <f>IFERROR('Automated raw'!$F453+'Automated raw'!$G453,"-")</f>
        <v>169</v>
      </c>
      <c r="I453" s="44">
        <v>125</v>
      </c>
      <c r="J453" s="44">
        <v>61</v>
      </c>
      <c r="K453" s="44">
        <v>7</v>
      </c>
      <c r="L453" s="44">
        <v>1759</v>
      </c>
      <c r="M453" s="44">
        <v>1987</v>
      </c>
      <c r="N453" s="44">
        <f>'Automated raw'!$G453/'Automated raw'!$H453</f>
        <v>0.17159763313609466</v>
      </c>
      <c r="O453" s="46">
        <f>IFERROR('Automated raw'!$G453/'Automated raw'!$H453,"incomplete")</f>
        <v>0.17159763313609466</v>
      </c>
      <c r="P453" s="44">
        <f>'Automated raw'!$F453</f>
        <v>140</v>
      </c>
      <c r="Q453" s="47">
        <f>IFERROR('Automated raw'!$P453*'Automated raw'!$L453,0)</f>
        <v>246260</v>
      </c>
      <c r="R453" s="44" t="str">
        <f>IF('Automated raw'!$O453&gt;=60%,"High",IF('Automated raw'!$O453&gt;=30%,"Avg",IF('Automated raw'!$O453&lt;30%,"Dead Stock","Incomplete")))</f>
        <v>Dead Stock</v>
      </c>
      <c r="S453" s="48" t="str">
        <f>TEXT('Automated raw'!$B453,"mmm")</f>
        <v>May</v>
      </c>
      <c r="T453" s="83">
        <f>'Automated raw'!$G453*'Automated raw'!$M453</f>
        <v>57623</v>
      </c>
      <c r="U453" s="6">
        <f>IFERROR((Table7[[#This Row],[Stock In(Total)]]+Table7[[#This Row],[In Stock or Remaining]])/2,"-")</f>
        <v>154.5</v>
      </c>
      <c r="V453" s="93">
        <f>IFERROR(Table7[[#This Row],[Stock_Out]]/Table7[[#This Row],[Avg Inventory]],"-")</f>
        <v>0.18770226537216828</v>
      </c>
      <c r="W453" s="6"/>
      <c r="X453" s="6"/>
      <c r="Y453" s="6"/>
      <c r="Z453" s="6"/>
      <c r="AA453" s="6"/>
      <c r="AB453" s="6"/>
      <c r="AC453" s="6"/>
      <c r="AD453" s="6"/>
      <c r="AE453" s="6"/>
      <c r="AF453" s="6"/>
      <c r="AG453" s="6"/>
      <c r="AH453" s="6"/>
      <c r="AI453" s="6"/>
      <c r="AJ453" s="6"/>
      <c r="AK453" s="6"/>
      <c r="AL453" t="s">
        <v>230</v>
      </c>
      <c r="AM453">
        <v>45505</v>
      </c>
      <c r="AN453" t="s">
        <v>37</v>
      </c>
      <c r="AO453" t="s">
        <v>20</v>
      </c>
      <c r="AP453" t="s">
        <v>21</v>
      </c>
      <c r="AQ453">
        <v>149</v>
      </c>
      <c r="AR453">
        <v>83</v>
      </c>
      <c r="AS453">
        <v>232</v>
      </c>
      <c r="AT453">
        <v>239</v>
      </c>
      <c r="AU453">
        <v>54</v>
      </c>
      <c r="AV453">
        <v>11</v>
      </c>
      <c r="AW453">
        <v>1869</v>
      </c>
      <c r="AX453">
        <v>3147</v>
      </c>
      <c r="AY453">
        <v>0.35775862068965519</v>
      </c>
      <c r="AZ453">
        <v>0.35775862068965519</v>
      </c>
      <c r="BA453">
        <v>149</v>
      </c>
      <c r="BB453">
        <v>278481</v>
      </c>
      <c r="BC453" t="s">
        <v>551</v>
      </c>
      <c r="BD453" t="s">
        <v>554</v>
      </c>
      <c r="BE453" s="5">
        <v>261201</v>
      </c>
    </row>
    <row r="454" spans="1:57" x14ac:dyDescent="0.3">
      <c r="A454" s="38" t="s">
        <v>523</v>
      </c>
      <c r="B454" s="39">
        <v>45367</v>
      </c>
      <c r="C454" s="38" t="s">
        <v>26</v>
      </c>
      <c r="D454" s="38" t="s">
        <v>13</v>
      </c>
      <c r="E454" s="38" t="s">
        <v>21</v>
      </c>
      <c r="F454" s="40">
        <v>75</v>
      </c>
      <c r="G454" s="38">
        <v>94</v>
      </c>
      <c r="H454" s="38">
        <f>IFERROR('Automated raw'!$F490+'Automated raw'!$G490,"-")</f>
        <v>193</v>
      </c>
      <c r="I454" s="38">
        <v>212</v>
      </c>
      <c r="J454" s="38">
        <v>33</v>
      </c>
      <c r="K454" s="38">
        <v>11</v>
      </c>
      <c r="L454" s="38">
        <v>882</v>
      </c>
      <c r="M454" s="38">
        <v>1664</v>
      </c>
      <c r="N454" s="38">
        <f>'Automated raw'!$G490/'Automated raw'!$H490</f>
        <v>0.68263473053892221</v>
      </c>
      <c r="O454" s="41">
        <f>IFERROR('Automated raw'!$G490/'Automated raw'!$H490,"incomplete")</f>
        <v>0.68263473053892221</v>
      </c>
      <c r="P454" s="38">
        <f>'Automated raw'!$F490</f>
        <v>79</v>
      </c>
      <c r="Q454" s="42">
        <f>IFERROR('Automated raw'!$P490*'Automated raw'!$L490,0)</f>
        <v>48256</v>
      </c>
      <c r="R454" s="38" t="str">
        <f>IF('Automated raw'!$O490&gt;=60%,"High",IF('Automated raw'!$O490&gt;=30%,"Avg",IF('Automated raw'!$O490&lt;30%,"Dead Stock","Incomplete")))</f>
        <v>Dead Stock</v>
      </c>
      <c r="S454" s="43" t="str">
        <f>TEXT('Automated raw'!$B490,"mmm")</f>
        <v>Jan</v>
      </c>
      <c r="T454" s="82">
        <f>'Automated raw'!$G490*'Automated raw'!$M490</f>
        <v>165870</v>
      </c>
      <c r="U454" s="6">
        <f>IFERROR((Table7[[#This Row],[Stock In(Total)]]+Table7[[#This Row],[In Stock or Remaining]])/2,"-")</f>
        <v>134</v>
      </c>
      <c r="V454" s="93">
        <f>IFERROR(Table7[[#This Row],[Stock_Out]]/Table7[[#This Row],[Avg Inventory]],"-")</f>
        <v>0.70149253731343286</v>
      </c>
      <c r="W454" s="6"/>
      <c r="X454" s="6"/>
      <c r="Y454" s="6"/>
      <c r="Z454" s="6"/>
      <c r="AA454" s="6"/>
      <c r="AB454" s="6"/>
      <c r="AC454" s="6"/>
      <c r="AD454" s="6"/>
      <c r="AE454" s="6"/>
      <c r="AF454" s="6"/>
      <c r="AG454" s="6"/>
      <c r="AH454" s="6"/>
      <c r="AI454" s="6"/>
      <c r="AJ454" s="6"/>
      <c r="AK454" s="6"/>
      <c r="AL454" t="s">
        <v>231</v>
      </c>
      <c r="AM454">
        <v>45390</v>
      </c>
      <c r="AN454" t="s">
        <v>30</v>
      </c>
      <c r="AO454" t="s">
        <v>17</v>
      </c>
      <c r="AP454" t="s">
        <v>21</v>
      </c>
      <c r="AQ454">
        <v>139</v>
      </c>
      <c r="AR454">
        <v>95</v>
      </c>
      <c r="AS454">
        <v>234</v>
      </c>
      <c r="AT454">
        <v>214</v>
      </c>
      <c r="AU454">
        <v>33</v>
      </c>
      <c r="AV454">
        <v>11</v>
      </c>
      <c r="AW454">
        <v>787</v>
      </c>
      <c r="AX454">
        <v>1632</v>
      </c>
      <c r="AY454">
        <v>0.40598290598290598</v>
      </c>
      <c r="AZ454">
        <v>0.40598290598290598</v>
      </c>
      <c r="BA454">
        <v>139</v>
      </c>
      <c r="BB454">
        <v>109393</v>
      </c>
      <c r="BC454" t="s">
        <v>551</v>
      </c>
      <c r="BD454" t="s">
        <v>558</v>
      </c>
      <c r="BE454">
        <v>155040</v>
      </c>
    </row>
    <row r="455" spans="1:57" x14ac:dyDescent="0.3">
      <c r="A455" s="44" t="s">
        <v>251</v>
      </c>
      <c r="B455" s="45">
        <v>45593</v>
      </c>
      <c r="C455" s="44" t="s">
        <v>30</v>
      </c>
      <c r="D455" s="44" t="s">
        <v>17</v>
      </c>
      <c r="E455" s="44" t="s">
        <v>33</v>
      </c>
      <c r="F455" s="40">
        <v>34</v>
      </c>
      <c r="G455" s="44">
        <v>43</v>
      </c>
      <c r="H455" s="44">
        <f>IFERROR('Automated raw'!$F221+'Automated raw'!$G221,"-")</f>
        <v>213</v>
      </c>
      <c r="I455" s="44">
        <v>121</v>
      </c>
      <c r="J455" s="44">
        <v>43</v>
      </c>
      <c r="K455" s="44">
        <v>15</v>
      </c>
      <c r="L455" s="44">
        <v>707</v>
      </c>
      <c r="M455" s="44">
        <v>1284</v>
      </c>
      <c r="N455" s="44">
        <f>'Automated raw'!$G221/'Automated raw'!$H221</f>
        <v>0.52071005917159763</v>
      </c>
      <c r="O455" s="46">
        <f>IFERROR('Automated raw'!$G221/'Automated raw'!$H221,"incomplete")</f>
        <v>0.52071005917159763</v>
      </c>
      <c r="P455" s="44">
        <f>'Automated raw'!$F221</f>
        <v>125</v>
      </c>
      <c r="Q455" s="47">
        <f>IFERROR('Automated raw'!$P221*'Automated raw'!$L221,0)</f>
        <v>178310</v>
      </c>
      <c r="R455" s="44" t="str">
        <f>IF('Automated raw'!$O221&gt;=60%,"High",IF('Automated raw'!$O221&gt;=30%,"Avg",IF('Automated raw'!$O221&lt;30%,"Dead Stock","Incomplete")))</f>
        <v>Dead Stock</v>
      </c>
      <c r="S455" s="48" t="str">
        <f>TEXT('Automated raw'!$B221,"mmm")</f>
        <v>Jan</v>
      </c>
      <c r="T455" s="83">
        <f>'Automated raw'!$G221*'Automated raw'!$M221</f>
        <v>258016</v>
      </c>
      <c r="U455" s="6">
        <f>IFERROR((Table7[[#This Row],[Stock In(Total)]]+Table7[[#This Row],[In Stock or Remaining]])/2,"-")</f>
        <v>123.5</v>
      </c>
      <c r="V455" s="93">
        <f>IFERROR(Table7[[#This Row],[Stock_Out]]/Table7[[#This Row],[Avg Inventory]],"-")</f>
        <v>0.34817813765182187</v>
      </c>
      <c r="W455" s="6"/>
      <c r="X455" s="6"/>
      <c r="Y455" s="6"/>
      <c r="Z455" s="6"/>
      <c r="AA455" s="6"/>
      <c r="AB455" s="6"/>
      <c r="AC455" s="6"/>
      <c r="AD455" s="6"/>
      <c r="AE455" s="6"/>
      <c r="AF455" s="6"/>
      <c r="AG455" s="6"/>
      <c r="AH455" s="6"/>
      <c r="AI455" s="6"/>
      <c r="AJ455" s="6"/>
      <c r="AK455" s="6"/>
      <c r="AL455" t="s">
        <v>232</v>
      </c>
      <c r="AM455">
        <v>45494</v>
      </c>
      <c r="AN455" t="s">
        <v>19</v>
      </c>
      <c r="AO455" t="s">
        <v>13</v>
      </c>
      <c r="AP455" t="s">
        <v>21</v>
      </c>
      <c r="AQ455">
        <v>110</v>
      </c>
      <c r="AR455">
        <v>88</v>
      </c>
      <c r="AS455">
        <v>198</v>
      </c>
      <c r="AT455">
        <v>265</v>
      </c>
      <c r="AU455">
        <v>42</v>
      </c>
      <c r="AV455">
        <v>13</v>
      </c>
      <c r="AW455">
        <v>337</v>
      </c>
      <c r="AX455">
        <v>1565</v>
      </c>
      <c r="AY455">
        <v>0.44444444444444442</v>
      </c>
      <c r="AZ455">
        <v>0.44444444444444442</v>
      </c>
      <c r="BA455">
        <v>110</v>
      </c>
      <c r="BB455">
        <v>37070</v>
      </c>
      <c r="BC455" t="s">
        <v>551</v>
      </c>
      <c r="BD455" t="s">
        <v>556</v>
      </c>
      <c r="BE455">
        <v>137720</v>
      </c>
    </row>
    <row r="456" spans="1:57" x14ac:dyDescent="0.3">
      <c r="A456" s="38" t="s">
        <v>489</v>
      </c>
      <c r="B456" s="39">
        <v>45462</v>
      </c>
      <c r="C456" s="38" t="s">
        <v>26</v>
      </c>
      <c r="D456" s="38" t="s">
        <v>13</v>
      </c>
      <c r="E456" s="38" t="s">
        <v>21</v>
      </c>
      <c r="F456" s="40">
        <v>8</v>
      </c>
      <c r="G456" s="38">
        <v>117</v>
      </c>
      <c r="H456" s="38">
        <f>IFERROR('Automated raw'!$F456+'Automated raw'!$G456,"-")</f>
        <v>125</v>
      </c>
      <c r="I456" s="38">
        <v>252</v>
      </c>
      <c r="J456" s="38">
        <v>39</v>
      </c>
      <c r="K456" s="38">
        <v>8</v>
      </c>
      <c r="L456" s="38">
        <v>1955</v>
      </c>
      <c r="M456" s="38">
        <v>2406</v>
      </c>
      <c r="N456" s="38">
        <f>'Automated raw'!$G456/'Automated raw'!$H456</f>
        <v>0.93600000000000005</v>
      </c>
      <c r="O456" s="41">
        <f>IFERROR('Automated raw'!$G456/'Automated raw'!$H456,"incomplete")</f>
        <v>0.93600000000000005</v>
      </c>
      <c r="P456" s="38">
        <f>'Automated raw'!$F456</f>
        <v>8</v>
      </c>
      <c r="Q456" s="42">
        <f>IFERROR('Automated raw'!$P456*'Automated raw'!$L456,0)</f>
        <v>15640</v>
      </c>
      <c r="R456" s="38" t="str">
        <f>IF('Automated raw'!$O456&gt;=60%,"High",IF('Automated raw'!$O456&gt;=30%,"Avg",IF('Automated raw'!$O456&lt;30%,"Dead Stock","Incomplete")))</f>
        <v>High</v>
      </c>
      <c r="S456" s="43" t="str">
        <f>TEXT('Automated raw'!$B456,"mmm")</f>
        <v>Jun</v>
      </c>
      <c r="T456" s="82">
        <f>'Automated raw'!$G456*'Automated raw'!$M456</f>
        <v>281502</v>
      </c>
      <c r="U456" s="6">
        <f>IFERROR((Table7[[#This Row],[Stock In(Total)]]+Table7[[#This Row],[In Stock or Remaining]])/2,"-")</f>
        <v>66.5</v>
      </c>
      <c r="V456" s="93">
        <f>IFERROR(Table7[[#This Row],[Stock_Out]]/Table7[[#This Row],[Avg Inventory]],"-")</f>
        <v>1.7593984962406015</v>
      </c>
      <c r="W456" s="6"/>
      <c r="X456" s="6"/>
      <c r="Y456" s="6"/>
      <c r="Z456" s="6"/>
      <c r="AA456" s="6"/>
      <c r="AB456" s="6"/>
      <c r="AC456" s="6"/>
      <c r="AD456" s="6"/>
      <c r="AE456" s="6"/>
      <c r="AF456" s="6"/>
      <c r="AG456" s="6"/>
      <c r="AH456" s="6"/>
      <c r="AI456" s="6"/>
      <c r="AJ456" s="6"/>
      <c r="AK456" s="6"/>
      <c r="AL456" t="s">
        <v>233</v>
      </c>
      <c r="AM456">
        <v>45381</v>
      </c>
      <c r="AN456" t="s">
        <v>12</v>
      </c>
      <c r="AO456" t="s">
        <v>20</v>
      </c>
      <c r="AP456" t="s">
        <v>38</v>
      </c>
      <c r="AQ456">
        <v>97</v>
      </c>
      <c r="AR456">
        <v>67</v>
      </c>
      <c r="AS456">
        <v>164</v>
      </c>
      <c r="AT456">
        <v>279</v>
      </c>
      <c r="AU456">
        <v>40</v>
      </c>
      <c r="AV456">
        <v>3</v>
      </c>
      <c r="AW456">
        <v>975</v>
      </c>
      <c r="AX456">
        <v>1320</v>
      </c>
      <c r="AY456">
        <v>0.40853658536585363</v>
      </c>
      <c r="AZ456">
        <v>0.40853658536585363</v>
      </c>
      <c r="BA456">
        <v>97</v>
      </c>
      <c r="BB456">
        <v>94575</v>
      </c>
      <c r="BC456" t="s">
        <v>551</v>
      </c>
      <c r="BD456" t="s">
        <v>562</v>
      </c>
      <c r="BE456">
        <v>88440</v>
      </c>
    </row>
    <row r="457" spans="1:57" x14ac:dyDescent="0.3">
      <c r="A457" s="38" t="s">
        <v>52</v>
      </c>
      <c r="B457" s="39">
        <v>45467</v>
      </c>
      <c r="C457" s="38" t="s">
        <v>53</v>
      </c>
      <c r="D457" s="38" t="s">
        <v>17</v>
      </c>
      <c r="E457" s="38" t="s">
        <v>14</v>
      </c>
      <c r="F457" s="40">
        <v>45</v>
      </c>
      <c r="G457" s="38">
        <v>57</v>
      </c>
      <c r="H457" s="38">
        <f>IFERROR('Automated raw'!$F26+'Automated raw'!$G26,"-")</f>
        <v>99</v>
      </c>
      <c r="I457" s="38">
        <v>100</v>
      </c>
      <c r="J457" s="38">
        <v>66</v>
      </c>
      <c r="K457" s="38">
        <v>15</v>
      </c>
      <c r="L457" s="38">
        <v>713</v>
      </c>
      <c r="M457" s="38">
        <v>1903</v>
      </c>
      <c r="N457" s="38">
        <f>'Automated raw'!$G26/'Automated raw'!$H26</f>
        <v>0.17032967032967034</v>
      </c>
      <c r="O457" s="41">
        <f>IFERROR('Automated raw'!$G26/'Automated raw'!$H26,"incomplete")</f>
        <v>0.17032967032967034</v>
      </c>
      <c r="P457" s="38">
        <f>'Automated raw'!$F26</f>
        <v>68</v>
      </c>
      <c r="Q457" s="42">
        <f>IFERROR('Automated raw'!$P26*'Automated raw'!$L26,0)</f>
        <v>115038</v>
      </c>
      <c r="R457" s="38" t="str">
        <f>IF('Automated raw'!$O26&gt;=60%,"High",IF('Automated raw'!$O26&gt;=30%,"Avg",IF('Automated raw'!$O26&lt;30%,"Dead Stock","Incomplete")))</f>
        <v>Avg</v>
      </c>
      <c r="S457" s="43" t="str">
        <f>TEXT('Automated raw'!$B26,"mmm")</f>
        <v>Jul</v>
      </c>
      <c r="T457" s="82">
        <f>'Automated raw'!$G26*'Automated raw'!$M26</f>
        <v>81437</v>
      </c>
      <c r="U457" s="6">
        <f>IFERROR((Table7[[#This Row],[Stock In(Total)]]+Table7[[#This Row],[In Stock or Remaining]])/2,"-")</f>
        <v>72</v>
      </c>
      <c r="V457" s="93">
        <f>IFERROR(Table7[[#This Row],[Stock_Out]]/Table7[[#This Row],[Avg Inventory]],"-")</f>
        <v>0.79166666666666663</v>
      </c>
      <c r="W457" s="6"/>
      <c r="X457" s="6"/>
      <c r="Y457" s="6"/>
      <c r="Z457" s="6"/>
      <c r="AA457" s="6"/>
      <c r="AB457" s="6"/>
      <c r="AC457" s="6"/>
      <c r="AD457" s="6"/>
      <c r="AE457" s="6"/>
      <c r="AF457" s="6"/>
      <c r="AG457" s="6"/>
      <c r="AH457" s="6"/>
      <c r="AI457" s="6"/>
      <c r="AJ457" s="6"/>
      <c r="AK457" s="6"/>
      <c r="AL457" t="s">
        <v>236</v>
      </c>
      <c r="AM457">
        <v>45570</v>
      </c>
      <c r="AN457" t="s">
        <v>53</v>
      </c>
      <c r="AO457" t="s">
        <v>17</v>
      </c>
      <c r="AP457" t="s">
        <v>33</v>
      </c>
      <c r="AQ457">
        <v>147</v>
      </c>
      <c r="AR457">
        <v>119</v>
      </c>
      <c r="AS457">
        <v>266</v>
      </c>
      <c r="AT457">
        <v>157</v>
      </c>
      <c r="AU457">
        <v>71</v>
      </c>
      <c r="AV457">
        <v>4</v>
      </c>
      <c r="AW457">
        <v>1608</v>
      </c>
      <c r="AX457">
        <v>3042</v>
      </c>
      <c r="AY457">
        <v>0.44736842105263158</v>
      </c>
      <c r="AZ457">
        <v>0.44736842105263158</v>
      </c>
      <c r="BA457">
        <v>147</v>
      </c>
      <c r="BB457">
        <v>236376</v>
      </c>
      <c r="BC457" t="s">
        <v>551</v>
      </c>
      <c r="BD457" t="s">
        <v>565</v>
      </c>
      <c r="BE457" s="5">
        <v>361998</v>
      </c>
    </row>
    <row r="458" spans="1:57" x14ac:dyDescent="0.3">
      <c r="A458" s="38" t="s">
        <v>491</v>
      </c>
      <c r="B458" s="39">
        <v>45506</v>
      </c>
      <c r="C458" s="38" t="s">
        <v>53</v>
      </c>
      <c r="D458" s="38" t="s">
        <v>13</v>
      </c>
      <c r="E458" s="38" t="s">
        <v>14</v>
      </c>
      <c r="F458" s="40">
        <v>5</v>
      </c>
      <c r="G458" s="38">
        <v>22</v>
      </c>
      <c r="H458" s="38">
        <f>IFERROR('Automated raw'!$F458+'Automated raw'!$G458,"-")</f>
        <v>27</v>
      </c>
      <c r="I458" s="38">
        <v>129</v>
      </c>
      <c r="J458" s="38">
        <v>67</v>
      </c>
      <c r="K458" s="38">
        <v>6</v>
      </c>
      <c r="L458" s="38">
        <v>360</v>
      </c>
      <c r="M458" s="38">
        <v>639</v>
      </c>
      <c r="N458" s="38">
        <f>'Automated raw'!$G458/'Automated raw'!$H458</f>
        <v>0.81481481481481477</v>
      </c>
      <c r="O458" s="41">
        <f>IFERROR('Automated raw'!$G458/'Automated raw'!$H458,"incomplete")</f>
        <v>0.81481481481481477</v>
      </c>
      <c r="P458" s="38">
        <f>'Automated raw'!$F458</f>
        <v>5</v>
      </c>
      <c r="Q458" s="42">
        <f>IFERROR('Automated raw'!$P458*'Automated raw'!$L458,0)</f>
        <v>1800</v>
      </c>
      <c r="R458" s="38" t="str">
        <f>IF('Automated raw'!$O458&gt;=60%,"High",IF('Automated raw'!$O458&gt;=30%,"Avg",IF('Automated raw'!$O458&lt;30%,"Dead Stock","Incomplete")))</f>
        <v>High</v>
      </c>
      <c r="S458" s="43" t="str">
        <f>TEXT('Automated raw'!$B458,"mmm")</f>
        <v>Aug</v>
      </c>
      <c r="T458" s="82">
        <f>'Automated raw'!$G458*'Automated raw'!$M458</f>
        <v>14058</v>
      </c>
      <c r="U458" s="6">
        <f>IFERROR((Table7[[#This Row],[Stock In(Total)]]+Table7[[#This Row],[In Stock or Remaining]])/2,"-")</f>
        <v>16</v>
      </c>
      <c r="V458" s="93">
        <f>IFERROR(Table7[[#This Row],[Stock_Out]]/Table7[[#This Row],[Avg Inventory]],"-")</f>
        <v>1.375</v>
      </c>
      <c r="W458" s="6"/>
      <c r="X458" s="6"/>
      <c r="Y458" s="6"/>
      <c r="Z458" s="6"/>
      <c r="AA458" s="6"/>
      <c r="AB458" s="6"/>
      <c r="AC458" s="6"/>
      <c r="AD458" s="6"/>
      <c r="AE458" s="6"/>
      <c r="AF458" s="6"/>
      <c r="AG458" s="6"/>
      <c r="AH458" s="6"/>
      <c r="AI458" s="6"/>
      <c r="AJ458" s="6"/>
      <c r="AK458" s="6"/>
      <c r="AL458" t="s">
        <v>238</v>
      </c>
      <c r="AM458">
        <v>45408</v>
      </c>
      <c r="AN458" t="s">
        <v>157</v>
      </c>
      <c r="AO458" t="s">
        <v>17</v>
      </c>
      <c r="AP458" t="s">
        <v>38</v>
      </c>
      <c r="AQ458">
        <v>47</v>
      </c>
      <c r="AR458">
        <v>49</v>
      </c>
      <c r="AS458">
        <v>96</v>
      </c>
      <c r="AT458">
        <v>184</v>
      </c>
      <c r="AU458">
        <v>53</v>
      </c>
      <c r="AV458">
        <v>2</v>
      </c>
      <c r="AW458">
        <v>1860</v>
      </c>
      <c r="AX458">
        <v>2779</v>
      </c>
      <c r="AY458">
        <v>0.51041666666666663</v>
      </c>
      <c r="AZ458">
        <v>0.51041666666666663</v>
      </c>
      <c r="BA458">
        <v>47</v>
      </c>
      <c r="BB458">
        <v>87420</v>
      </c>
      <c r="BC458" t="s">
        <v>551</v>
      </c>
      <c r="BD458" t="s">
        <v>558</v>
      </c>
      <c r="BE458">
        <v>136171</v>
      </c>
    </row>
    <row r="459" spans="1:57" x14ac:dyDescent="0.3">
      <c r="A459" s="38" t="s">
        <v>182</v>
      </c>
      <c r="B459" s="39">
        <v>45343</v>
      </c>
      <c r="C459" s="38" t="s">
        <v>45</v>
      </c>
      <c r="D459" s="38" t="s">
        <v>13</v>
      </c>
      <c r="E459" s="38" t="s">
        <v>33</v>
      </c>
      <c r="F459" s="40">
        <v>26</v>
      </c>
      <c r="G459" s="38">
        <v>33</v>
      </c>
      <c r="H459" s="38">
        <f>IFERROR('Automated raw'!$F152+'Automated raw'!$G152,"-")</f>
        <v>132</v>
      </c>
      <c r="I459" s="38">
        <v>261</v>
      </c>
      <c r="J459" s="38">
        <v>70</v>
      </c>
      <c r="K459" s="38">
        <v>13</v>
      </c>
      <c r="L459" s="38">
        <v>1799</v>
      </c>
      <c r="M459" s="38">
        <v>2856</v>
      </c>
      <c r="N459" s="38">
        <f>'Automated raw'!$G152/'Automated raw'!$H152</f>
        <v>0.21551724137931033</v>
      </c>
      <c r="O459" s="41">
        <f>IFERROR('Automated raw'!$G152/'Automated raw'!$H152,"incomplete")</f>
        <v>0.21551724137931033</v>
      </c>
      <c r="P459" s="38">
        <f>'Automated raw'!$F152</f>
        <v>82</v>
      </c>
      <c r="Q459" s="42">
        <f>IFERROR('Automated raw'!$P152*'Automated raw'!$L152,0)</f>
        <v>155854</v>
      </c>
      <c r="R459" s="38" t="str">
        <f>IF('Automated raw'!$O152&gt;=60%,"High",IF('Automated raw'!$O152&gt;=30%,"Avg",IF('Automated raw'!$O152&lt;30%,"Dead Stock","Incomplete")))</f>
        <v>Avg</v>
      </c>
      <c r="S459" s="43" t="str">
        <f>TEXT('Automated raw'!$B152,"mmm")</f>
        <v>Dec</v>
      </c>
      <c r="T459" s="82">
        <f>'Automated raw'!$G152*'Automated raw'!$M152</f>
        <v>105450</v>
      </c>
      <c r="U459" s="6">
        <f>IFERROR((Table7[[#This Row],[Stock In(Total)]]+Table7[[#This Row],[In Stock or Remaining]])/2,"-")</f>
        <v>79</v>
      </c>
      <c r="V459" s="93">
        <f>IFERROR(Table7[[#This Row],[Stock_Out]]/Table7[[#This Row],[Avg Inventory]],"-")</f>
        <v>0.41772151898734178</v>
      </c>
      <c r="W459" s="6"/>
      <c r="X459" s="6"/>
      <c r="Y459" s="6"/>
      <c r="Z459" s="6"/>
      <c r="AA459" s="6"/>
      <c r="AB459" s="6"/>
      <c r="AC459" s="6"/>
      <c r="AD459" s="6"/>
      <c r="AE459" s="6"/>
      <c r="AF459" s="6"/>
      <c r="AG459" s="6"/>
      <c r="AH459" s="6"/>
      <c r="AI459" s="6"/>
      <c r="AJ459" s="6"/>
      <c r="AK459" s="6"/>
      <c r="AL459" t="s">
        <v>239</v>
      </c>
      <c r="AM459">
        <v>45588</v>
      </c>
      <c r="AN459" t="s">
        <v>12</v>
      </c>
      <c r="AO459" t="s">
        <v>20</v>
      </c>
      <c r="AP459" t="s">
        <v>21</v>
      </c>
      <c r="AQ459">
        <v>74</v>
      </c>
      <c r="AR459">
        <v>92</v>
      </c>
      <c r="AS459">
        <v>166</v>
      </c>
      <c r="AT459">
        <v>132</v>
      </c>
      <c r="AU459">
        <v>56</v>
      </c>
      <c r="AV459">
        <v>6</v>
      </c>
      <c r="AW459">
        <v>1008</v>
      </c>
      <c r="AX459">
        <v>1858</v>
      </c>
      <c r="AY459">
        <v>0.55421686746987953</v>
      </c>
      <c r="AZ459">
        <v>0.55421686746987953</v>
      </c>
      <c r="BA459">
        <v>74</v>
      </c>
      <c r="BB459">
        <v>74592</v>
      </c>
      <c r="BC459" t="s">
        <v>551</v>
      </c>
      <c r="BD459" t="s">
        <v>565</v>
      </c>
      <c r="BE459">
        <v>170936</v>
      </c>
    </row>
    <row r="460" spans="1:57" x14ac:dyDescent="0.3">
      <c r="A460" s="44" t="s">
        <v>464</v>
      </c>
      <c r="B460" s="45">
        <v>45556</v>
      </c>
      <c r="C460" s="44" t="s">
        <v>30</v>
      </c>
      <c r="D460" s="44" t="s">
        <v>17</v>
      </c>
      <c r="E460" s="44" t="s">
        <v>38</v>
      </c>
      <c r="F460" s="40">
        <v>66</v>
      </c>
      <c r="G460" s="44">
        <v>84</v>
      </c>
      <c r="H460" s="44">
        <f>IFERROR('Automated raw'!$F431+'Automated raw'!$G431,"-")</f>
        <v>214</v>
      </c>
      <c r="I460" s="44">
        <v>55</v>
      </c>
      <c r="J460" s="44">
        <v>49</v>
      </c>
      <c r="K460" s="44">
        <v>5</v>
      </c>
      <c r="L460" s="44">
        <v>1642</v>
      </c>
      <c r="M460" s="44">
        <v>1825</v>
      </c>
      <c r="N460" s="44">
        <f>'Automated raw'!$G431/'Automated raw'!$H431</f>
        <v>0.6460674157303371</v>
      </c>
      <c r="O460" s="46">
        <f>IFERROR('Automated raw'!$G431/'Automated raw'!$H431,"incomplete")</f>
        <v>0.6460674157303371</v>
      </c>
      <c r="P460" s="44">
        <f>'Automated raw'!$F431</f>
        <v>99</v>
      </c>
      <c r="Q460" s="47">
        <f>IFERROR('Automated raw'!$P431*'Automated raw'!$L431,0)</f>
        <v>171410</v>
      </c>
      <c r="R460" s="44" t="str">
        <f>IF('Automated raw'!$O431&gt;=60%,"High",IF('Automated raw'!$O431&gt;=30%,"Avg",IF('Automated raw'!$O431&lt;30%,"Dead Stock","Incomplete")))</f>
        <v>Dead Stock</v>
      </c>
      <c r="S460" s="48" t="str">
        <f>TEXT('Automated raw'!$B431,"mmm")</f>
        <v>Nov</v>
      </c>
      <c r="T460" s="83">
        <f>'Automated raw'!$G431*'Automated raw'!$M431</f>
        <v>205505</v>
      </c>
      <c r="U460" s="6">
        <f>IFERROR((Table7[[#This Row],[Stock In(Total)]]+Table7[[#This Row],[In Stock or Remaining]])/2,"-")</f>
        <v>140</v>
      </c>
      <c r="V460" s="93">
        <f>IFERROR(Table7[[#This Row],[Stock_Out]]/Table7[[#This Row],[Avg Inventory]],"-")</f>
        <v>0.6</v>
      </c>
      <c r="W460" s="6"/>
      <c r="X460" s="6"/>
      <c r="Y460" s="6"/>
      <c r="Z460" s="6"/>
      <c r="AA460" s="6"/>
      <c r="AB460" s="6"/>
      <c r="AC460" s="6"/>
      <c r="AD460" s="6"/>
      <c r="AE460" s="6"/>
      <c r="AF460" s="6"/>
      <c r="AG460" s="6"/>
      <c r="AH460" s="6"/>
      <c r="AI460" s="6"/>
      <c r="AJ460" s="6"/>
      <c r="AK460" s="6"/>
      <c r="AL460" t="s">
        <v>242</v>
      </c>
      <c r="AM460">
        <v>45422</v>
      </c>
      <c r="AN460" t="s">
        <v>16</v>
      </c>
      <c r="AO460" t="s">
        <v>17</v>
      </c>
      <c r="AP460" t="s">
        <v>21</v>
      </c>
      <c r="AQ460">
        <v>110</v>
      </c>
      <c r="AR460">
        <v>59</v>
      </c>
      <c r="AS460">
        <v>169</v>
      </c>
      <c r="AT460">
        <v>118</v>
      </c>
      <c r="AU460">
        <v>34</v>
      </c>
      <c r="AV460">
        <v>4</v>
      </c>
      <c r="AW460">
        <v>1015</v>
      </c>
      <c r="AX460">
        <v>2511</v>
      </c>
      <c r="AY460">
        <v>0.34911242603550297</v>
      </c>
      <c r="AZ460">
        <v>0.34911242603550297</v>
      </c>
      <c r="BA460">
        <v>110</v>
      </c>
      <c r="BB460">
        <v>111650</v>
      </c>
      <c r="BC460" t="s">
        <v>551</v>
      </c>
      <c r="BD460" t="s">
        <v>561</v>
      </c>
      <c r="BE460">
        <v>148149</v>
      </c>
    </row>
    <row r="461" spans="1:57" x14ac:dyDescent="0.3">
      <c r="A461" s="44" t="s">
        <v>494</v>
      </c>
      <c r="B461" s="45">
        <v>45377</v>
      </c>
      <c r="C461" s="44" t="s">
        <v>19</v>
      </c>
      <c r="D461" s="44" t="s">
        <v>20</v>
      </c>
      <c r="E461" s="44" t="s">
        <v>21</v>
      </c>
      <c r="F461" s="40">
        <v>81</v>
      </c>
      <c r="G461" s="44">
        <v>9</v>
      </c>
      <c r="H461" s="44">
        <f>IFERROR('Automated raw'!$F461+'Automated raw'!$G461,"-")</f>
        <v>90</v>
      </c>
      <c r="I461" s="44">
        <v>116</v>
      </c>
      <c r="J461" s="44">
        <v>79</v>
      </c>
      <c r="K461" s="44">
        <v>2</v>
      </c>
      <c r="L461" s="44">
        <v>660</v>
      </c>
      <c r="M461" s="44">
        <v>1277</v>
      </c>
      <c r="N461" s="44">
        <f>'Automated raw'!$G461/'Automated raw'!$H461</f>
        <v>0.1</v>
      </c>
      <c r="O461" s="46">
        <f>IFERROR('Automated raw'!$G461/'Automated raw'!$H461,"incomplete")</f>
        <v>0.1</v>
      </c>
      <c r="P461" s="44">
        <f>'Automated raw'!$F461</f>
        <v>81</v>
      </c>
      <c r="Q461" s="47">
        <f>IFERROR('Automated raw'!$P461*'Automated raw'!$L461,0)</f>
        <v>53460</v>
      </c>
      <c r="R461" s="44" t="str">
        <f>IF('Automated raw'!$O461&gt;=60%,"High",IF('Automated raw'!$O461&gt;=30%,"Avg",IF('Automated raw'!$O461&lt;30%,"Dead Stock","Incomplete")))</f>
        <v>Dead Stock</v>
      </c>
      <c r="S461" s="48" t="str">
        <f>TEXT('Automated raw'!$B461,"mmm")</f>
        <v>Mar</v>
      </c>
      <c r="T461" s="83">
        <f>'Automated raw'!$G461*'Automated raw'!$M461</f>
        <v>11493</v>
      </c>
      <c r="U461" s="6">
        <f>IFERROR((Table7[[#This Row],[Stock In(Total)]]+Table7[[#This Row],[In Stock or Remaining]])/2,"-")</f>
        <v>85.5</v>
      </c>
      <c r="V461" s="93">
        <f>IFERROR(Table7[[#This Row],[Stock_Out]]/Table7[[#This Row],[Avg Inventory]],"-")</f>
        <v>0.10526315789473684</v>
      </c>
      <c r="W461" s="6"/>
      <c r="X461" s="6"/>
      <c r="Y461" s="6"/>
      <c r="Z461" s="6"/>
      <c r="AA461" s="6"/>
      <c r="AB461" s="6"/>
      <c r="AC461" s="6"/>
      <c r="AD461" s="6"/>
      <c r="AE461" s="6"/>
      <c r="AF461" s="6"/>
      <c r="AG461" s="6"/>
      <c r="AH461" s="6"/>
      <c r="AI461" s="6"/>
      <c r="AJ461" s="6"/>
      <c r="AK461" s="6"/>
      <c r="AL461" t="s">
        <v>243</v>
      </c>
      <c r="AM461">
        <v>45312</v>
      </c>
      <c r="AN461" t="s">
        <v>37</v>
      </c>
      <c r="AO461" t="s">
        <v>17</v>
      </c>
      <c r="AP461" t="s">
        <v>33</v>
      </c>
      <c r="AQ461">
        <v>62</v>
      </c>
      <c r="AR461">
        <v>36</v>
      </c>
      <c r="AS461">
        <v>98</v>
      </c>
      <c r="AT461">
        <v>77</v>
      </c>
      <c r="AU461">
        <v>54</v>
      </c>
      <c r="AV461">
        <v>15</v>
      </c>
      <c r="AW461">
        <v>539</v>
      </c>
      <c r="AX461">
        <v>1664</v>
      </c>
      <c r="AY461">
        <v>0.36734693877551022</v>
      </c>
      <c r="AZ461">
        <v>0.36734693877551022</v>
      </c>
      <c r="BA461">
        <v>62</v>
      </c>
      <c r="BB461">
        <v>33418</v>
      </c>
      <c r="BC461" t="s">
        <v>551</v>
      </c>
      <c r="BD461" t="s">
        <v>557</v>
      </c>
      <c r="BE461">
        <v>59904</v>
      </c>
    </row>
    <row r="462" spans="1:57" x14ac:dyDescent="0.3">
      <c r="A462" s="38" t="s">
        <v>495</v>
      </c>
      <c r="B462" s="39">
        <v>45508</v>
      </c>
      <c r="C462" s="38" t="s">
        <v>19</v>
      </c>
      <c r="D462" s="38" t="s">
        <v>13</v>
      </c>
      <c r="E462" s="38" t="s">
        <v>38</v>
      </c>
      <c r="F462" s="40">
        <v>147</v>
      </c>
      <c r="G462" s="38">
        <v>24</v>
      </c>
      <c r="H462" s="38">
        <f>IFERROR('Automated raw'!$F462+'Automated raw'!$G462,"-")</f>
        <v>171</v>
      </c>
      <c r="I462" s="38">
        <v>45</v>
      </c>
      <c r="J462" s="38">
        <v>70</v>
      </c>
      <c r="K462" s="38">
        <v>15</v>
      </c>
      <c r="L462" s="38">
        <v>1918</v>
      </c>
      <c r="M462" s="38">
        <v>2648</v>
      </c>
      <c r="N462" s="38">
        <f>'Automated raw'!$G462/'Automated raw'!$H462</f>
        <v>0.14035087719298245</v>
      </c>
      <c r="O462" s="41">
        <f>IFERROR('Automated raw'!$G462/'Automated raw'!$H462,"incomplete")</f>
        <v>0.14035087719298245</v>
      </c>
      <c r="P462" s="38">
        <f>'Automated raw'!$F462</f>
        <v>147</v>
      </c>
      <c r="Q462" s="42">
        <f>IFERROR('Automated raw'!$P462*'Automated raw'!$L462,0)</f>
        <v>281946</v>
      </c>
      <c r="R462" s="38" t="str">
        <f>IF('Automated raw'!$O462&gt;=60%,"High",IF('Automated raw'!$O462&gt;=30%,"Avg",IF('Automated raw'!$O462&lt;30%,"Dead Stock","Incomplete")))</f>
        <v>Dead Stock</v>
      </c>
      <c r="S462" s="43" t="str">
        <f>TEXT('Automated raw'!$B462,"mmm")</f>
        <v>Aug</v>
      </c>
      <c r="T462" s="82">
        <f>'Automated raw'!$G462*'Automated raw'!$M462</f>
        <v>63552</v>
      </c>
      <c r="U462" s="6">
        <f>IFERROR((Table7[[#This Row],[Stock In(Total)]]+Table7[[#This Row],[In Stock or Remaining]])/2,"-")</f>
        <v>159</v>
      </c>
      <c r="V462" s="93">
        <f>IFERROR(Table7[[#This Row],[Stock_Out]]/Table7[[#This Row],[Avg Inventory]],"-")</f>
        <v>0.15094339622641509</v>
      </c>
      <c r="W462" s="6"/>
      <c r="X462" s="6"/>
      <c r="Y462" s="6"/>
      <c r="Z462" s="6"/>
      <c r="AA462" s="6"/>
      <c r="AB462" s="6"/>
      <c r="AC462" s="6"/>
      <c r="AD462" s="6"/>
      <c r="AE462" s="6"/>
      <c r="AF462" s="6"/>
      <c r="AG462" s="6"/>
      <c r="AH462" s="6"/>
      <c r="AI462" s="6"/>
      <c r="AJ462" s="6"/>
      <c r="AK462" s="6"/>
      <c r="AL462" t="s">
        <v>244</v>
      </c>
      <c r="AM462">
        <v>45306</v>
      </c>
      <c r="AN462" t="s">
        <v>26</v>
      </c>
      <c r="AO462" t="s">
        <v>17</v>
      </c>
      <c r="AP462" t="s">
        <v>33</v>
      </c>
      <c r="AQ462">
        <v>61</v>
      </c>
      <c r="AR462">
        <v>39</v>
      </c>
      <c r="AS462">
        <v>100</v>
      </c>
      <c r="AT462">
        <v>31</v>
      </c>
      <c r="AU462">
        <v>78</v>
      </c>
      <c r="AV462">
        <v>7</v>
      </c>
      <c r="AW462">
        <v>1028</v>
      </c>
      <c r="AX462">
        <v>1448</v>
      </c>
      <c r="AY462">
        <v>0.39</v>
      </c>
      <c r="AZ462">
        <v>0.39</v>
      </c>
      <c r="BA462">
        <v>61</v>
      </c>
      <c r="BB462">
        <v>62708</v>
      </c>
      <c r="BC462" t="s">
        <v>551</v>
      </c>
      <c r="BD462" t="s">
        <v>557</v>
      </c>
      <c r="BE462">
        <v>56472</v>
      </c>
    </row>
    <row r="463" spans="1:57" x14ac:dyDescent="0.3">
      <c r="A463" s="38" t="s">
        <v>155</v>
      </c>
      <c r="B463" s="39">
        <v>45526</v>
      </c>
      <c r="C463" s="38" t="s">
        <v>19</v>
      </c>
      <c r="D463" s="38" t="s">
        <v>20</v>
      </c>
      <c r="E463" s="38" t="s">
        <v>33</v>
      </c>
      <c r="F463" s="40">
        <v>39</v>
      </c>
      <c r="G463" s="38">
        <v>50</v>
      </c>
      <c r="H463" s="38">
        <f>IFERROR('Automated raw'!$F126+'Automated raw'!$G126,"-")</f>
        <v>60</v>
      </c>
      <c r="I463" s="38">
        <v>228</v>
      </c>
      <c r="J463" s="38">
        <v>73</v>
      </c>
      <c r="K463" s="38">
        <v>13</v>
      </c>
      <c r="L463" s="38">
        <v>1727</v>
      </c>
      <c r="M463" s="38">
        <v>2762</v>
      </c>
      <c r="N463" s="38">
        <f>'Automated raw'!$G126/'Automated raw'!$H126</f>
        <v>0.2857142857142857</v>
      </c>
      <c r="O463" s="41">
        <f>IFERROR('Automated raw'!$G126/'Automated raw'!$H126,"incomplete")</f>
        <v>0.2857142857142857</v>
      </c>
      <c r="P463" s="38">
        <f>'Automated raw'!$F126</f>
        <v>38</v>
      </c>
      <c r="Q463" s="42">
        <f>IFERROR('Automated raw'!$P126*'Automated raw'!$L126,0)</f>
        <v>45832</v>
      </c>
      <c r="R463" s="38" t="str">
        <f>IF('Automated raw'!$O126&gt;=60%,"High",IF('Automated raw'!$O126&gt;=30%,"Avg",IF('Automated raw'!$O126&lt;30%,"Dead Stock","Incomplete")))</f>
        <v>Dead Stock</v>
      </c>
      <c r="S463" s="43" t="str">
        <f>TEXT('Automated raw'!$B126,"mmm")</f>
        <v>Feb</v>
      </c>
      <c r="T463" s="82">
        <f>'Automated raw'!$G126*'Automated raw'!$M126</f>
        <v>60390</v>
      </c>
      <c r="U463" s="6">
        <f>IFERROR((Table7[[#This Row],[Stock In(Total)]]+Table7[[#This Row],[In Stock or Remaining]])/2,"-")</f>
        <v>49.5</v>
      </c>
      <c r="V463" s="93">
        <f>IFERROR(Table7[[#This Row],[Stock_Out]]/Table7[[#This Row],[Avg Inventory]],"-")</f>
        <v>1.0101010101010102</v>
      </c>
      <c r="W463" s="6"/>
      <c r="X463" s="6"/>
      <c r="Y463" s="6"/>
      <c r="Z463" s="6"/>
      <c r="AA463" s="6"/>
      <c r="AB463" s="6"/>
      <c r="AC463" s="6"/>
      <c r="AD463" s="6"/>
      <c r="AE463" s="6"/>
      <c r="AF463" s="6"/>
      <c r="AG463" s="6"/>
      <c r="AH463" s="6"/>
      <c r="AI463" s="6"/>
      <c r="AJ463" s="6"/>
      <c r="AK463" s="6"/>
      <c r="AL463" t="s">
        <v>247</v>
      </c>
      <c r="AM463">
        <v>45587</v>
      </c>
      <c r="AN463" t="s">
        <v>26</v>
      </c>
      <c r="AO463" t="s">
        <v>13</v>
      </c>
      <c r="AP463" t="s">
        <v>14</v>
      </c>
      <c r="AQ463">
        <v>110</v>
      </c>
      <c r="AR463">
        <v>66</v>
      </c>
      <c r="AS463">
        <v>176</v>
      </c>
      <c r="AT463">
        <v>70</v>
      </c>
      <c r="AU463">
        <v>71</v>
      </c>
      <c r="AV463">
        <v>3</v>
      </c>
      <c r="AW463">
        <v>763</v>
      </c>
      <c r="AX463">
        <v>2178</v>
      </c>
      <c r="AY463">
        <v>0.375</v>
      </c>
      <c r="AZ463">
        <v>0.375</v>
      </c>
      <c r="BA463">
        <v>110</v>
      </c>
      <c r="BB463">
        <v>83930</v>
      </c>
      <c r="BC463" t="s">
        <v>551</v>
      </c>
      <c r="BD463" t="s">
        <v>565</v>
      </c>
      <c r="BE463">
        <v>143748</v>
      </c>
    </row>
    <row r="464" spans="1:57" x14ac:dyDescent="0.3">
      <c r="A464" s="44" t="s">
        <v>317</v>
      </c>
      <c r="B464" s="45">
        <v>45459</v>
      </c>
      <c r="C464" s="44" t="s">
        <v>26</v>
      </c>
      <c r="D464" s="44" t="s">
        <v>20</v>
      </c>
      <c r="E464" s="44" t="s">
        <v>14</v>
      </c>
      <c r="F464" s="40">
        <v>62</v>
      </c>
      <c r="G464" s="44">
        <v>80</v>
      </c>
      <c r="H464" s="44">
        <f>IFERROR('Automated raw'!$F285+'Automated raw'!$G285,"-")</f>
        <v>264</v>
      </c>
      <c r="I464" s="44">
        <v>193</v>
      </c>
      <c r="J464" s="44">
        <v>72</v>
      </c>
      <c r="K464" s="44">
        <v>2</v>
      </c>
      <c r="L464" s="44">
        <v>490</v>
      </c>
      <c r="M464" s="44">
        <v>1768</v>
      </c>
      <c r="N464" s="44">
        <f>'Automated raw'!$G285/'Automated raw'!$H285</f>
        <v>0.48360655737704916</v>
      </c>
      <c r="O464" s="46">
        <f>IFERROR('Automated raw'!$G285/'Automated raw'!$H285,"incomplete")</f>
        <v>0.48360655737704916</v>
      </c>
      <c r="P464" s="44">
        <f>'Automated raw'!$F285</f>
        <v>146</v>
      </c>
      <c r="Q464" s="47">
        <f>IFERROR('Automated raw'!$P285*'Automated raw'!$L285,0)</f>
        <v>98559</v>
      </c>
      <c r="R464" s="44" t="str">
        <f>IF('Automated raw'!$O285&gt;=60%,"High",IF('Automated raw'!$O285&gt;=30%,"Avg",IF('Automated raw'!$O285&lt;30%,"Dead Stock","Incomplete")))</f>
        <v>High</v>
      </c>
      <c r="S464" s="48" t="str">
        <f>TEXT('Automated raw'!$B285,"mmm")</f>
        <v>Jan</v>
      </c>
      <c r="T464" s="83">
        <f>'Automated raw'!$G285*'Automated raw'!$M285</f>
        <v>163784</v>
      </c>
      <c r="U464" s="6">
        <f>IFERROR((Table7[[#This Row],[Stock In(Total)]]+Table7[[#This Row],[In Stock or Remaining]])/2,"-")</f>
        <v>163</v>
      </c>
      <c r="V464" s="93">
        <f>IFERROR(Table7[[#This Row],[Stock_Out]]/Table7[[#This Row],[Avg Inventory]],"-")</f>
        <v>0.49079754601226994</v>
      </c>
      <c r="W464" s="6"/>
      <c r="X464" s="6"/>
      <c r="Y464" s="6"/>
      <c r="Z464" s="6"/>
      <c r="AA464" s="6"/>
      <c r="AB464" s="6"/>
      <c r="AC464" s="6"/>
      <c r="AD464" s="6"/>
      <c r="AE464" s="6"/>
      <c r="AF464" s="6"/>
      <c r="AG464" s="6"/>
      <c r="AH464" s="6"/>
      <c r="AI464" s="6"/>
      <c r="AJ464" s="6"/>
      <c r="AK464" s="6"/>
      <c r="AL464" t="s">
        <v>248</v>
      </c>
      <c r="AM464">
        <v>45490</v>
      </c>
      <c r="AN464" t="s">
        <v>12</v>
      </c>
      <c r="AO464" t="s">
        <v>17</v>
      </c>
      <c r="AP464" t="s">
        <v>23</v>
      </c>
      <c r="AQ464">
        <v>48</v>
      </c>
      <c r="AR464">
        <v>27</v>
      </c>
      <c r="AS464">
        <v>75</v>
      </c>
      <c r="AT464">
        <v>180</v>
      </c>
      <c r="AU464">
        <v>73</v>
      </c>
      <c r="AV464">
        <v>5</v>
      </c>
      <c r="AW464">
        <v>326</v>
      </c>
      <c r="AX464">
        <v>1264</v>
      </c>
      <c r="AY464">
        <v>0.36</v>
      </c>
      <c r="AZ464">
        <v>0.36</v>
      </c>
      <c r="BA464">
        <v>48</v>
      </c>
      <c r="BB464">
        <v>15648</v>
      </c>
      <c r="BC464" t="s">
        <v>551</v>
      </c>
      <c r="BD464" t="s">
        <v>556</v>
      </c>
      <c r="BE464">
        <v>34128</v>
      </c>
    </row>
    <row r="465" spans="1:57" x14ac:dyDescent="0.3">
      <c r="A465" s="44" t="s">
        <v>498</v>
      </c>
      <c r="B465" s="45">
        <v>45584</v>
      </c>
      <c r="C465" s="44" t="s">
        <v>305</v>
      </c>
      <c r="D465" s="44" t="s">
        <v>13</v>
      </c>
      <c r="E465" s="44" t="s">
        <v>33</v>
      </c>
      <c r="F465" s="40">
        <v>31</v>
      </c>
      <c r="G465" s="44">
        <v>101</v>
      </c>
      <c r="H465" s="44">
        <f>IFERROR('Automated raw'!$F465+'Automated raw'!$G465,"-")</f>
        <v>132</v>
      </c>
      <c r="I465" s="44">
        <v>115</v>
      </c>
      <c r="J465" s="44">
        <v>43</v>
      </c>
      <c r="K465" s="44">
        <v>15</v>
      </c>
      <c r="L465" s="44">
        <v>1835</v>
      </c>
      <c r="M465" s="44">
        <v>3327</v>
      </c>
      <c r="N465" s="44">
        <f>'Automated raw'!$G465/'Automated raw'!$H465</f>
        <v>0.76515151515151514</v>
      </c>
      <c r="O465" s="46">
        <f>IFERROR('Automated raw'!$G465/'Automated raw'!$H465,"incomplete")</f>
        <v>0.76515151515151514</v>
      </c>
      <c r="P465" s="44">
        <f>'Automated raw'!$F465</f>
        <v>31</v>
      </c>
      <c r="Q465" s="47">
        <f>IFERROR('Automated raw'!$P465*'Automated raw'!$L465,0)</f>
        <v>56885</v>
      </c>
      <c r="R465" s="44" t="str">
        <f>IF('Automated raw'!$O465&gt;=60%,"High",IF('Automated raw'!$O465&gt;=30%,"Avg",IF('Automated raw'!$O465&lt;30%,"Dead Stock","Incomplete")))</f>
        <v>High</v>
      </c>
      <c r="S465" s="48" t="str">
        <f>TEXT('Automated raw'!$B465,"mmm")</f>
        <v>Oct</v>
      </c>
      <c r="T465" s="83">
        <f>'Automated raw'!$G465*'Automated raw'!$M465</f>
        <v>336027</v>
      </c>
      <c r="U465" s="6">
        <f>IFERROR((Table7[[#This Row],[Stock In(Total)]]+Table7[[#This Row],[In Stock or Remaining]])/2,"-")</f>
        <v>81.5</v>
      </c>
      <c r="V465" s="93">
        <f>IFERROR(Table7[[#This Row],[Stock_Out]]/Table7[[#This Row],[Avg Inventory]],"-")</f>
        <v>1.2392638036809815</v>
      </c>
      <c r="W465" s="6"/>
      <c r="X465" s="6"/>
      <c r="Y465" s="6"/>
      <c r="Z465" s="6"/>
      <c r="AA465" s="6"/>
      <c r="AB465" s="6"/>
      <c r="AC465" s="6"/>
      <c r="AD465" s="6"/>
      <c r="AE465" s="6"/>
      <c r="AF465" s="6"/>
      <c r="AG465" s="6"/>
      <c r="AH465" s="6"/>
      <c r="AI465" s="6"/>
      <c r="AJ465" s="6"/>
      <c r="AK465" s="6"/>
      <c r="AL465" t="s">
        <v>250</v>
      </c>
      <c r="AM465">
        <v>45341</v>
      </c>
      <c r="AN465" t="s">
        <v>12</v>
      </c>
      <c r="AO465" t="s">
        <v>13</v>
      </c>
      <c r="AP465" t="s">
        <v>14</v>
      </c>
      <c r="AQ465">
        <v>125</v>
      </c>
      <c r="AR465">
        <v>81</v>
      </c>
      <c r="AS465">
        <v>206</v>
      </c>
      <c r="AT465">
        <v>176</v>
      </c>
      <c r="AU465">
        <v>53</v>
      </c>
      <c r="AV465">
        <v>2</v>
      </c>
      <c r="AW465">
        <v>1613</v>
      </c>
      <c r="AX465">
        <v>2358</v>
      </c>
      <c r="AY465">
        <v>0.39320388349514562</v>
      </c>
      <c r="AZ465">
        <v>0.39320388349514562</v>
      </c>
      <c r="BA465">
        <v>125</v>
      </c>
      <c r="BB465">
        <v>201625</v>
      </c>
      <c r="BC465" t="s">
        <v>551</v>
      </c>
      <c r="BD465" t="s">
        <v>555</v>
      </c>
      <c r="BE465">
        <v>190998</v>
      </c>
    </row>
    <row r="466" spans="1:57" x14ac:dyDescent="0.3">
      <c r="A466" s="44" t="s">
        <v>185</v>
      </c>
      <c r="B466" s="45">
        <v>45385</v>
      </c>
      <c r="C466" s="44" t="s">
        <v>16</v>
      </c>
      <c r="D466" s="44" t="s">
        <v>13</v>
      </c>
      <c r="E466" s="44" t="s">
        <v>33</v>
      </c>
      <c r="F466" s="40">
        <v>34</v>
      </c>
      <c r="G466" s="44">
        <v>44</v>
      </c>
      <c r="H466" s="44">
        <f>IFERROR('Automated raw'!$F155+'Automated raw'!$G155,"-")</f>
        <v>113</v>
      </c>
      <c r="I466" s="44">
        <v>12</v>
      </c>
      <c r="J466" s="44">
        <v>43</v>
      </c>
      <c r="K466" s="44">
        <v>12</v>
      </c>
      <c r="L466" s="44">
        <v>1314</v>
      </c>
      <c r="M466" s="44">
        <v>1619</v>
      </c>
      <c r="N466" s="44">
        <f>'Automated raw'!$G155/'Automated raw'!$H155</f>
        <v>0.22994652406417113</v>
      </c>
      <c r="O466" s="46">
        <f>IFERROR('Automated raw'!$G155/'Automated raw'!$H155,"incomplete")</f>
        <v>0.22994652406417113</v>
      </c>
      <c r="P466" s="44">
        <f>'Automated raw'!$F155</f>
        <v>70</v>
      </c>
      <c r="Q466" s="47">
        <f>IFERROR('Automated raw'!$P155*'Automated raw'!$L155,0)</f>
        <v>108309</v>
      </c>
      <c r="R466" s="44" t="str">
        <f>IF('Automated raw'!$O155&gt;=60%,"High",IF('Automated raw'!$O155&gt;=30%,"Avg",IF('Automated raw'!$O155&lt;30%,"Dead Stock","Incomplete")))</f>
        <v>Avg</v>
      </c>
      <c r="S466" s="48" t="str">
        <f>TEXT('Automated raw'!$B155,"mmm")</f>
        <v>Nov</v>
      </c>
      <c r="T466" s="83">
        <f>'Automated raw'!$G155*'Automated raw'!$M155</f>
        <v>94256</v>
      </c>
      <c r="U466" s="6">
        <f>IFERROR((Table7[[#This Row],[Stock In(Total)]]+Table7[[#This Row],[In Stock or Remaining]])/2,"-")</f>
        <v>73.5</v>
      </c>
      <c r="V466" s="93">
        <f>IFERROR(Table7[[#This Row],[Stock_Out]]/Table7[[#This Row],[Avg Inventory]],"-")</f>
        <v>0.59863945578231292</v>
      </c>
      <c r="W466" s="6"/>
      <c r="X466" s="6"/>
      <c r="Y466" s="6"/>
      <c r="Z466" s="6"/>
      <c r="AA466" s="6"/>
      <c r="AB466" s="6"/>
      <c r="AC466" s="6"/>
      <c r="AD466" s="6"/>
      <c r="AE466" s="6"/>
      <c r="AF466" s="6"/>
      <c r="AG466" s="6"/>
      <c r="AH466" s="6"/>
      <c r="AI466" s="6"/>
      <c r="AJ466" s="6"/>
      <c r="AK466" s="6"/>
      <c r="AL466" t="s">
        <v>251</v>
      </c>
      <c r="AM466">
        <v>45593</v>
      </c>
      <c r="AN466" t="s">
        <v>30</v>
      </c>
      <c r="AO466" t="s">
        <v>17</v>
      </c>
      <c r="AP466" t="s">
        <v>33</v>
      </c>
      <c r="AQ466">
        <v>34</v>
      </c>
      <c r="AR466">
        <v>43</v>
      </c>
      <c r="AS466">
        <v>77</v>
      </c>
      <c r="AT466">
        <v>121</v>
      </c>
      <c r="AU466">
        <v>43</v>
      </c>
      <c r="AV466">
        <v>15</v>
      </c>
      <c r="AW466">
        <v>707</v>
      </c>
      <c r="AX466">
        <v>1284</v>
      </c>
      <c r="AY466">
        <v>0.55844155844155841</v>
      </c>
      <c r="AZ466">
        <v>0.55844155844155841</v>
      </c>
      <c r="BA466">
        <v>34</v>
      </c>
      <c r="BB466">
        <v>24038</v>
      </c>
      <c r="BC466" t="s">
        <v>551</v>
      </c>
      <c r="BD466" t="s">
        <v>565</v>
      </c>
      <c r="BE466">
        <v>55212</v>
      </c>
    </row>
    <row r="467" spans="1:57" x14ac:dyDescent="0.3">
      <c r="A467" s="44" t="s">
        <v>500</v>
      </c>
      <c r="B467" s="45">
        <v>45339</v>
      </c>
      <c r="C467" s="44" t="s">
        <v>37</v>
      </c>
      <c r="D467" s="44" t="s">
        <v>20</v>
      </c>
      <c r="E467" s="44" t="s">
        <v>38</v>
      </c>
      <c r="F467" s="40">
        <v>130</v>
      </c>
      <c r="G467" s="44">
        <v>5</v>
      </c>
      <c r="H467" s="44">
        <f>IFERROR('Automated raw'!$F467+'Automated raw'!$G467,"-")</f>
        <v>135</v>
      </c>
      <c r="I467" s="44">
        <v>117</v>
      </c>
      <c r="J467" s="44">
        <v>32</v>
      </c>
      <c r="K467" s="44">
        <v>10</v>
      </c>
      <c r="L467" s="44">
        <v>1518</v>
      </c>
      <c r="M467" s="44">
        <v>2889</v>
      </c>
      <c r="N467" s="44">
        <f>'Automated raw'!$G467/'Automated raw'!$H467</f>
        <v>3.7037037037037035E-2</v>
      </c>
      <c r="O467" s="46">
        <f>IFERROR('Automated raw'!$G467/'Automated raw'!$H467,"incomplete")</f>
        <v>3.7037037037037035E-2</v>
      </c>
      <c r="P467" s="44">
        <f>'Automated raw'!$F467</f>
        <v>130</v>
      </c>
      <c r="Q467" s="47">
        <f>IFERROR('Automated raw'!$P467*'Automated raw'!$L467,0)</f>
        <v>197340</v>
      </c>
      <c r="R467" s="44" t="str">
        <f>IF('Automated raw'!$O467&gt;=60%,"High",IF('Automated raw'!$O467&gt;=30%,"Avg",IF('Automated raw'!$O467&lt;30%,"Dead Stock","Incomplete")))</f>
        <v>Dead Stock</v>
      </c>
      <c r="S467" s="48" t="str">
        <f>TEXT('Automated raw'!$B467,"mmm")</f>
        <v>Feb</v>
      </c>
      <c r="T467" s="83">
        <f>'Automated raw'!$G467*'Automated raw'!$M467</f>
        <v>14445</v>
      </c>
      <c r="U467" s="6">
        <f>IFERROR((Table7[[#This Row],[Stock In(Total)]]+Table7[[#This Row],[In Stock or Remaining]])/2,"-")</f>
        <v>132.5</v>
      </c>
      <c r="V467" s="93">
        <f>IFERROR(Table7[[#This Row],[Stock_Out]]/Table7[[#This Row],[Avg Inventory]],"-")</f>
        <v>3.7735849056603772E-2</v>
      </c>
      <c r="W467" s="6"/>
      <c r="X467" s="6"/>
      <c r="Y467" s="6"/>
      <c r="Z467" s="6"/>
      <c r="AA467" s="6"/>
      <c r="AB467" s="6"/>
      <c r="AC467" s="6"/>
      <c r="AD467" s="6"/>
      <c r="AE467" s="6"/>
      <c r="AF467" s="6"/>
      <c r="AG467" s="6"/>
      <c r="AH467" s="6"/>
      <c r="AI467" s="6"/>
      <c r="AJ467" s="6"/>
      <c r="AK467" s="6"/>
      <c r="AL467" t="s">
        <v>252</v>
      </c>
      <c r="AM467">
        <v>45366</v>
      </c>
      <c r="AN467" t="s">
        <v>53</v>
      </c>
      <c r="AO467" t="s">
        <v>17</v>
      </c>
      <c r="AP467" t="s">
        <v>21</v>
      </c>
      <c r="AQ467">
        <v>149</v>
      </c>
      <c r="AR467">
        <v>107</v>
      </c>
      <c r="AS467">
        <v>256</v>
      </c>
      <c r="AT467">
        <v>65</v>
      </c>
      <c r="AU467">
        <v>68</v>
      </c>
      <c r="AV467">
        <v>10</v>
      </c>
      <c r="AW467">
        <v>331</v>
      </c>
      <c r="AX467">
        <v>733</v>
      </c>
      <c r="AY467">
        <v>0.41796875</v>
      </c>
      <c r="AZ467">
        <v>0.41796875</v>
      </c>
      <c r="BA467">
        <v>149</v>
      </c>
      <c r="BB467">
        <v>49319</v>
      </c>
      <c r="BC467" t="s">
        <v>551</v>
      </c>
      <c r="BD467" t="s">
        <v>562</v>
      </c>
      <c r="BE467">
        <v>78431</v>
      </c>
    </row>
    <row r="468" spans="1:57" x14ac:dyDescent="0.3">
      <c r="A468" s="44" t="s">
        <v>452</v>
      </c>
      <c r="B468" s="45">
        <v>45432</v>
      </c>
      <c r="C468" s="44" t="s">
        <v>16</v>
      </c>
      <c r="D468" s="44" t="s">
        <v>13</v>
      </c>
      <c r="E468" s="44" t="s">
        <v>21</v>
      </c>
      <c r="F468" s="40">
        <v>86</v>
      </c>
      <c r="G468" s="44">
        <v>113</v>
      </c>
      <c r="H468" s="44">
        <f>IFERROR('Automated raw'!$F419+'Automated raw'!$G419,"-")</f>
        <v>223</v>
      </c>
      <c r="I468" s="44">
        <v>55</v>
      </c>
      <c r="J468" s="44">
        <v>35</v>
      </c>
      <c r="K468" s="44">
        <v>12</v>
      </c>
      <c r="L468" s="44">
        <v>843</v>
      </c>
      <c r="M468" s="44">
        <v>2249</v>
      </c>
      <c r="N468" s="44">
        <f>'Automated raw'!$G419/'Automated raw'!$H419</f>
        <v>0.93600000000000005</v>
      </c>
      <c r="O468" s="46">
        <f>IFERROR('Automated raw'!$G419/'Automated raw'!$H419,"incomplete")</f>
        <v>0.93600000000000005</v>
      </c>
      <c r="P468" s="44">
        <f>'Automated raw'!$F419</f>
        <v>106</v>
      </c>
      <c r="Q468" s="47">
        <f>IFERROR('Automated raw'!$P419*'Automated raw'!$L419,0)</f>
        <v>117183</v>
      </c>
      <c r="R468" s="44" t="str">
        <f>IF('Automated raw'!$O419&gt;=60%,"High",IF('Automated raw'!$O419&gt;=30%,"Avg",IF('Automated raw'!$O419&lt;30%,"Dead Stock","Incomplete")))</f>
        <v>Dead Stock</v>
      </c>
      <c r="S468" s="48" t="str">
        <f>TEXT('Automated raw'!$B419,"mmm")</f>
        <v>Jun</v>
      </c>
      <c r="T468" s="83">
        <f>'Automated raw'!$G419*'Automated raw'!$M419</f>
        <v>260325</v>
      </c>
      <c r="U468" s="6">
        <f>IFERROR((Table7[[#This Row],[Stock In(Total)]]+Table7[[#This Row],[In Stock or Remaining]])/2,"-")</f>
        <v>154.5</v>
      </c>
      <c r="V468" s="93">
        <f>IFERROR(Table7[[#This Row],[Stock_Out]]/Table7[[#This Row],[Avg Inventory]],"-")</f>
        <v>0.73139158576051777</v>
      </c>
      <c r="W468" s="6"/>
      <c r="X468" s="6"/>
      <c r="Y468" s="6"/>
      <c r="Z468" s="6"/>
      <c r="AA468" s="6"/>
      <c r="AB468" s="6"/>
      <c r="AC468" s="6"/>
      <c r="AD468" s="6"/>
      <c r="AE468" s="6"/>
      <c r="AF468" s="6"/>
      <c r="AG468" s="6"/>
      <c r="AH468" s="6"/>
      <c r="AI468" s="6"/>
      <c r="AJ468" s="6"/>
      <c r="AK468" s="6"/>
      <c r="AL468" t="s">
        <v>253</v>
      </c>
      <c r="AM468">
        <v>45507</v>
      </c>
      <c r="AN468" t="s">
        <v>30</v>
      </c>
      <c r="AO468" t="s">
        <v>17</v>
      </c>
      <c r="AP468" t="s">
        <v>38</v>
      </c>
      <c r="AQ468">
        <v>135</v>
      </c>
      <c r="AR468">
        <v>90</v>
      </c>
      <c r="AS468">
        <v>225</v>
      </c>
      <c r="AT468">
        <v>140</v>
      </c>
      <c r="AU468">
        <v>70</v>
      </c>
      <c r="AV468">
        <v>14</v>
      </c>
      <c r="AW468">
        <v>1400</v>
      </c>
      <c r="AX468">
        <v>2237</v>
      </c>
      <c r="AY468">
        <v>0.4</v>
      </c>
      <c r="AZ468">
        <v>0.4</v>
      </c>
      <c r="BA468">
        <v>135</v>
      </c>
      <c r="BB468">
        <v>189000</v>
      </c>
      <c r="BC468" t="s">
        <v>551</v>
      </c>
      <c r="BD468" t="s">
        <v>554</v>
      </c>
      <c r="BE468">
        <v>201330</v>
      </c>
    </row>
    <row r="469" spans="1:57" x14ac:dyDescent="0.3">
      <c r="A469" s="44" t="s">
        <v>502</v>
      </c>
      <c r="B469" s="45">
        <v>45633</v>
      </c>
      <c r="C469" s="44" t="s">
        <v>26</v>
      </c>
      <c r="D469" s="44" t="s">
        <v>20</v>
      </c>
      <c r="E469" s="44" t="s">
        <v>38</v>
      </c>
      <c r="F469" s="40">
        <v>56</v>
      </c>
      <c r="G469" s="44">
        <v>106</v>
      </c>
      <c r="H469" s="44">
        <f>IFERROR('Automated raw'!$F469+'Automated raw'!$G469,"-")</f>
        <v>162</v>
      </c>
      <c r="I469" s="44">
        <v>91</v>
      </c>
      <c r="J469" s="44">
        <v>41</v>
      </c>
      <c r="K469" s="44">
        <v>7</v>
      </c>
      <c r="L469" s="44">
        <v>1452</v>
      </c>
      <c r="M469" s="44">
        <v>2386</v>
      </c>
      <c r="N469" s="44">
        <f>'Automated raw'!$G469/'Automated raw'!$H469</f>
        <v>0.65432098765432101</v>
      </c>
      <c r="O469" s="46">
        <f>IFERROR('Automated raw'!$G469/'Automated raw'!$H469,"incomplete")</f>
        <v>0.65432098765432101</v>
      </c>
      <c r="P469" s="44">
        <f>'Automated raw'!$F469</f>
        <v>56</v>
      </c>
      <c r="Q469" s="47">
        <f>IFERROR('Automated raw'!$P469*'Automated raw'!$L469,0)</f>
        <v>81312</v>
      </c>
      <c r="R469" s="44" t="str">
        <f>IF('Automated raw'!$O469&gt;=60%,"High",IF('Automated raw'!$O469&gt;=30%,"Avg",IF('Automated raw'!$O469&lt;30%,"Dead Stock","Incomplete")))</f>
        <v>High</v>
      </c>
      <c r="S469" s="48" t="str">
        <f>TEXT('Automated raw'!$B469,"mmm")</f>
        <v>Dec</v>
      </c>
      <c r="T469" s="83">
        <f>'Automated raw'!$G469*'Automated raw'!$M469</f>
        <v>252916</v>
      </c>
      <c r="U469" s="6">
        <f>IFERROR((Table7[[#This Row],[Stock In(Total)]]+Table7[[#This Row],[In Stock or Remaining]])/2,"-")</f>
        <v>109</v>
      </c>
      <c r="V469" s="93">
        <f>IFERROR(Table7[[#This Row],[Stock_Out]]/Table7[[#This Row],[Avg Inventory]],"-")</f>
        <v>0.97247706422018354</v>
      </c>
      <c r="W469" s="6"/>
      <c r="X469" s="6"/>
      <c r="Y469" s="6"/>
      <c r="Z469" s="6"/>
      <c r="AA469" s="6"/>
      <c r="AB469" s="6"/>
      <c r="AC469" s="6"/>
      <c r="AD469" s="6"/>
      <c r="AE469" s="6"/>
      <c r="AF469" s="6"/>
      <c r="AG469" s="6"/>
      <c r="AH469" s="6"/>
      <c r="AI469" s="6"/>
      <c r="AJ469" s="6"/>
      <c r="AK469" s="6"/>
      <c r="AL469" t="s">
        <v>254</v>
      </c>
      <c r="AM469">
        <v>45634</v>
      </c>
      <c r="AN469" t="s">
        <v>30</v>
      </c>
      <c r="AO469" t="s">
        <v>13</v>
      </c>
      <c r="AP469" t="s">
        <v>21</v>
      </c>
      <c r="AQ469">
        <v>110</v>
      </c>
      <c r="AR469">
        <v>109</v>
      </c>
      <c r="AS469">
        <v>219</v>
      </c>
      <c r="AT469">
        <v>277</v>
      </c>
      <c r="AU469">
        <v>42</v>
      </c>
      <c r="AV469">
        <v>14</v>
      </c>
      <c r="AW469">
        <v>1400</v>
      </c>
      <c r="AX469">
        <v>1644</v>
      </c>
      <c r="AY469">
        <v>0.49771689497716892</v>
      </c>
      <c r="AZ469">
        <v>0.49771689497716892</v>
      </c>
      <c r="BA469">
        <v>110</v>
      </c>
      <c r="BB469">
        <v>154000</v>
      </c>
      <c r="BC469" t="s">
        <v>551</v>
      </c>
      <c r="BD469" t="s">
        <v>563</v>
      </c>
      <c r="BE469">
        <v>179196</v>
      </c>
    </row>
    <row r="470" spans="1:57" x14ac:dyDescent="0.3">
      <c r="A470" s="38" t="s">
        <v>503</v>
      </c>
      <c r="B470" s="39">
        <v>45657</v>
      </c>
      <c r="C470" s="38" t="s">
        <v>19</v>
      </c>
      <c r="D470" s="38" t="s">
        <v>13</v>
      </c>
      <c r="E470" s="38" t="s">
        <v>38</v>
      </c>
      <c r="F470" s="40">
        <v>132</v>
      </c>
      <c r="G470" s="38">
        <v>18</v>
      </c>
      <c r="H470" s="38">
        <f>IFERROR('Automated raw'!$F470+'Automated raw'!$G470,"-")</f>
        <v>150</v>
      </c>
      <c r="I470" s="38">
        <v>156</v>
      </c>
      <c r="J470" s="38">
        <v>46</v>
      </c>
      <c r="K470" s="38">
        <v>14</v>
      </c>
      <c r="L470" s="38">
        <v>1192</v>
      </c>
      <c r="M470" s="38">
        <v>1832</v>
      </c>
      <c r="N470" s="38">
        <f>'Automated raw'!$G470/'Automated raw'!$H470</f>
        <v>0.12</v>
      </c>
      <c r="O470" s="41">
        <f>IFERROR('Automated raw'!$G470/'Automated raw'!$H470,"incomplete")</f>
        <v>0.12</v>
      </c>
      <c r="P470" s="38">
        <f>'Automated raw'!$F470</f>
        <v>132</v>
      </c>
      <c r="Q470" s="42">
        <f>IFERROR('Automated raw'!$P470*'Automated raw'!$L470,0)</f>
        <v>157344</v>
      </c>
      <c r="R470" s="38" t="str">
        <f>IF('Automated raw'!$O470&gt;=60%,"High",IF('Automated raw'!$O470&gt;=30%,"Avg",IF('Automated raw'!$O470&lt;30%,"Dead Stock","Incomplete")))</f>
        <v>Dead Stock</v>
      </c>
      <c r="S470" s="43" t="str">
        <f>TEXT('Automated raw'!$B470,"mmm")</f>
        <v>Dec</v>
      </c>
      <c r="T470" s="82">
        <f>'Automated raw'!$G470*'Automated raw'!$M470</f>
        <v>32976</v>
      </c>
      <c r="U470" s="6">
        <f>IFERROR((Table7[[#This Row],[Stock In(Total)]]+Table7[[#This Row],[In Stock or Remaining]])/2,"-")</f>
        <v>141</v>
      </c>
      <c r="V470" s="93">
        <f>IFERROR(Table7[[#This Row],[Stock_Out]]/Table7[[#This Row],[Avg Inventory]],"-")</f>
        <v>0.1276595744680851</v>
      </c>
      <c r="W470" s="6"/>
      <c r="X470" s="6"/>
      <c r="Y470" s="6"/>
      <c r="Z470" s="6"/>
      <c r="AA470" s="6"/>
      <c r="AB470" s="6"/>
      <c r="AC470" s="6"/>
      <c r="AD470" s="6"/>
      <c r="AE470" s="6"/>
      <c r="AF470" s="6"/>
      <c r="AG470" s="6"/>
      <c r="AH470" s="6"/>
      <c r="AI470" s="6"/>
      <c r="AJ470" s="6"/>
      <c r="AK470" s="6"/>
      <c r="AL470" t="s">
        <v>255</v>
      </c>
      <c r="AM470">
        <v>45407</v>
      </c>
      <c r="AN470" t="s">
        <v>53</v>
      </c>
      <c r="AO470" t="s">
        <v>17</v>
      </c>
      <c r="AP470" t="s">
        <v>33</v>
      </c>
      <c r="AQ470">
        <v>123</v>
      </c>
      <c r="AR470">
        <v>109</v>
      </c>
      <c r="AS470">
        <v>232</v>
      </c>
      <c r="AT470">
        <v>201</v>
      </c>
      <c r="AU470">
        <v>67</v>
      </c>
      <c r="AV470">
        <v>15</v>
      </c>
      <c r="AW470">
        <v>600</v>
      </c>
      <c r="AX470">
        <v>829</v>
      </c>
      <c r="AY470">
        <v>0.46982758620689657</v>
      </c>
      <c r="AZ470">
        <v>0.46982758620689657</v>
      </c>
      <c r="BA470">
        <v>123</v>
      </c>
      <c r="BB470">
        <v>73800</v>
      </c>
      <c r="BC470" t="s">
        <v>551</v>
      </c>
      <c r="BD470" t="s">
        <v>558</v>
      </c>
      <c r="BE470">
        <v>90361</v>
      </c>
    </row>
    <row r="471" spans="1:57" x14ac:dyDescent="0.3">
      <c r="A471" s="44" t="s">
        <v>272</v>
      </c>
      <c r="B471" s="45">
        <v>45574</v>
      </c>
      <c r="C471" s="44" t="s">
        <v>30</v>
      </c>
      <c r="D471" s="44" t="s">
        <v>20</v>
      </c>
      <c r="E471" s="44" t="s">
        <v>33</v>
      </c>
      <c r="F471" s="40">
        <v>33</v>
      </c>
      <c r="G471" s="44">
        <v>44</v>
      </c>
      <c r="H471" s="44">
        <f>IFERROR('Automated raw'!$F241+'Automated raw'!$G241,"-")</f>
        <v>154</v>
      </c>
      <c r="I471" s="44">
        <v>226</v>
      </c>
      <c r="J471" s="44">
        <v>58</v>
      </c>
      <c r="K471" s="44">
        <v>12</v>
      </c>
      <c r="L471" s="44">
        <v>1554</v>
      </c>
      <c r="M471" s="44">
        <v>2338</v>
      </c>
      <c r="N471" s="44">
        <f>'Automated raw'!$G241/'Automated raw'!$H241</f>
        <v>0.31578947368421051</v>
      </c>
      <c r="O471" s="46">
        <f>IFERROR('Automated raw'!$G241/'Automated raw'!$H241,"incomplete")</f>
        <v>0.31578947368421051</v>
      </c>
      <c r="P471" s="44">
        <f>'Automated raw'!$F241</f>
        <v>88</v>
      </c>
      <c r="Q471" s="47">
        <f>IFERROR('Automated raw'!$P241*'Automated raw'!$L241,0)</f>
        <v>35689</v>
      </c>
      <c r="R471" s="44" t="str">
        <f>IF('Automated raw'!$O241&gt;=60%,"High",IF('Automated raw'!$O241&gt;=30%,"Avg",IF('Automated raw'!$O241&lt;30%,"Dead Stock","Incomplete")))</f>
        <v>High</v>
      </c>
      <c r="S471" s="48" t="str">
        <f>TEXT('Automated raw'!$B241,"mmm")</f>
        <v>Jun</v>
      </c>
      <c r="T471" s="83">
        <f>'Automated raw'!$G241*'Automated raw'!$M241</f>
        <v>93126</v>
      </c>
      <c r="U471" s="6">
        <f>IFERROR((Table7[[#This Row],[Stock In(Total)]]+Table7[[#This Row],[In Stock or Remaining]])/2,"-")</f>
        <v>93.5</v>
      </c>
      <c r="V471" s="93">
        <f>IFERROR(Table7[[#This Row],[Stock_Out]]/Table7[[#This Row],[Avg Inventory]],"-")</f>
        <v>0.47058823529411764</v>
      </c>
      <c r="W471" s="6"/>
      <c r="X471" s="6"/>
      <c r="Y471" s="6"/>
      <c r="Z471" s="6"/>
      <c r="AA471" s="6"/>
      <c r="AB471" s="6"/>
      <c r="AC471" s="6"/>
      <c r="AD471" s="6"/>
      <c r="AE471" s="6"/>
      <c r="AF471" s="6"/>
      <c r="AG471" s="6"/>
      <c r="AH471" s="6"/>
      <c r="AI471" s="6"/>
      <c r="AJ471" s="6"/>
      <c r="AK471" s="6"/>
      <c r="AL471" t="s">
        <v>256</v>
      </c>
      <c r="AM471">
        <v>45591</v>
      </c>
      <c r="AN471" t="s">
        <v>37</v>
      </c>
      <c r="AO471" t="s">
        <v>17</v>
      </c>
      <c r="AP471" t="s">
        <v>14</v>
      </c>
      <c r="AQ471">
        <v>55</v>
      </c>
      <c r="AR471">
        <v>33</v>
      </c>
      <c r="AS471">
        <v>88</v>
      </c>
      <c r="AT471">
        <v>193</v>
      </c>
      <c r="AU471">
        <v>44</v>
      </c>
      <c r="AV471">
        <v>6</v>
      </c>
      <c r="AW471">
        <v>1535</v>
      </c>
      <c r="AX471">
        <v>2928</v>
      </c>
      <c r="AY471">
        <v>0.375</v>
      </c>
      <c r="AZ471">
        <v>0.375</v>
      </c>
      <c r="BA471">
        <v>55</v>
      </c>
      <c r="BB471">
        <v>84425</v>
      </c>
      <c r="BC471" t="s">
        <v>551</v>
      </c>
      <c r="BD471" t="s">
        <v>565</v>
      </c>
      <c r="BE471">
        <v>96624</v>
      </c>
    </row>
    <row r="472" spans="1:57" x14ac:dyDescent="0.3">
      <c r="A472" s="44" t="s">
        <v>102</v>
      </c>
      <c r="B472" s="45">
        <v>45552</v>
      </c>
      <c r="C472" s="44" t="s">
        <v>45</v>
      </c>
      <c r="D472" s="44" t="s">
        <v>13</v>
      </c>
      <c r="E472" s="44" t="s">
        <v>38</v>
      </c>
      <c r="F472" s="40">
        <v>46</v>
      </c>
      <c r="G472" s="44">
        <v>62</v>
      </c>
      <c r="H472" s="44">
        <f>IFERROR('Automated raw'!$F75+'Automated raw'!$G75,"-")</f>
        <v>219</v>
      </c>
      <c r="I472" s="44">
        <v>2</v>
      </c>
      <c r="J472" s="44">
        <v>69</v>
      </c>
      <c r="K472" s="44">
        <v>3</v>
      </c>
      <c r="L472" s="44">
        <v>410</v>
      </c>
      <c r="M472" s="44">
        <v>987</v>
      </c>
      <c r="N472" s="44">
        <f>'Automated raw'!$G75/'Automated raw'!$H75</f>
        <v>0.46012269938650308</v>
      </c>
      <c r="O472" s="46">
        <f>IFERROR('Automated raw'!$G75/'Automated raw'!$H75,"incomplete")</f>
        <v>0.46012269938650308</v>
      </c>
      <c r="P472" s="44">
        <f>'Automated raw'!$F75</f>
        <v>144</v>
      </c>
      <c r="Q472" s="47">
        <f>IFERROR('Automated raw'!$P75*'Automated raw'!$L75,0)</f>
        <v>204129</v>
      </c>
      <c r="R472" s="44" t="str">
        <f>IF('Automated raw'!$O75&gt;=60%,"High",IF('Automated raw'!$O75&gt;=30%,"Avg",IF('Automated raw'!$O75&lt;30%,"Dead Stock","Incomplete")))</f>
        <v>Dead Stock</v>
      </c>
      <c r="S472" s="48" t="str">
        <f>TEXT('Automated raw'!$B75,"mmm")</f>
        <v>Jun</v>
      </c>
      <c r="T472" s="83">
        <f>'Automated raw'!$G75*'Automated raw'!$M75</f>
        <v>203250</v>
      </c>
      <c r="U472" s="6">
        <f>IFERROR((Table7[[#This Row],[Stock In(Total)]]+Table7[[#This Row],[In Stock or Remaining]])/2,"-")</f>
        <v>132.5</v>
      </c>
      <c r="V472" s="93">
        <f>IFERROR(Table7[[#This Row],[Stock_Out]]/Table7[[#This Row],[Avg Inventory]],"-")</f>
        <v>0.4679245283018868</v>
      </c>
      <c r="W472" s="6"/>
      <c r="X472" s="6"/>
      <c r="Y472" s="6"/>
      <c r="Z472" s="6"/>
      <c r="AA472" s="6"/>
      <c r="AB472" s="6"/>
      <c r="AC472" s="6"/>
      <c r="AD472" s="6"/>
      <c r="AE472" s="6"/>
      <c r="AF472" s="6"/>
      <c r="AG472" s="6"/>
      <c r="AH472" s="6"/>
      <c r="AI472" s="6"/>
      <c r="AJ472" s="6"/>
      <c r="AK472" s="6"/>
      <c r="AL472" t="s">
        <v>260</v>
      </c>
      <c r="AM472">
        <v>45305</v>
      </c>
      <c r="AN472" t="s">
        <v>53</v>
      </c>
      <c r="AO472" t="s">
        <v>13</v>
      </c>
      <c r="AP472" t="s">
        <v>38</v>
      </c>
      <c r="AQ472">
        <v>146</v>
      </c>
      <c r="AR472">
        <v>118</v>
      </c>
      <c r="AS472">
        <v>264</v>
      </c>
      <c r="AT472">
        <v>155</v>
      </c>
      <c r="AU472">
        <v>78</v>
      </c>
      <c r="AV472">
        <v>8</v>
      </c>
      <c r="AW472">
        <v>699</v>
      </c>
      <c r="AX472">
        <v>1388</v>
      </c>
      <c r="AY472">
        <v>0.44696969696969696</v>
      </c>
      <c r="AZ472">
        <v>0.44696969696969696</v>
      </c>
      <c r="BA472">
        <v>146</v>
      </c>
      <c r="BB472">
        <v>102054</v>
      </c>
      <c r="BC472" t="s">
        <v>551</v>
      </c>
      <c r="BD472" t="s">
        <v>557</v>
      </c>
      <c r="BE472">
        <v>163784</v>
      </c>
    </row>
    <row r="473" spans="1:57" x14ac:dyDescent="0.3">
      <c r="A473" s="44" t="s">
        <v>506</v>
      </c>
      <c r="B473" s="45">
        <v>45304</v>
      </c>
      <c r="C473" s="44" t="s">
        <v>37</v>
      </c>
      <c r="D473" s="44" t="s">
        <v>20</v>
      </c>
      <c r="E473" s="44" t="s">
        <v>14</v>
      </c>
      <c r="F473" s="40">
        <v>93</v>
      </c>
      <c r="G473" s="44">
        <v>21</v>
      </c>
      <c r="H473" s="44">
        <f>IFERROR('Automated raw'!$F473+'Automated raw'!$G473,"-")</f>
        <v>114</v>
      </c>
      <c r="I473" s="44">
        <v>99</v>
      </c>
      <c r="J473" s="44">
        <v>31</v>
      </c>
      <c r="K473" s="44">
        <v>3</v>
      </c>
      <c r="L473" s="44">
        <v>1957</v>
      </c>
      <c r="M473" s="44">
        <v>3349</v>
      </c>
      <c r="N473" s="44">
        <f>'Automated raw'!$G473/'Automated raw'!$H473</f>
        <v>0.18421052631578946</v>
      </c>
      <c r="O473" s="46">
        <f>IFERROR('Automated raw'!$G473/'Automated raw'!$H473,"incomplete")</f>
        <v>0.18421052631578946</v>
      </c>
      <c r="P473" s="44">
        <f>'Automated raw'!$F473</f>
        <v>93</v>
      </c>
      <c r="Q473" s="47">
        <f>IFERROR('Automated raw'!$P473*'Automated raw'!$L473,0)</f>
        <v>182001</v>
      </c>
      <c r="R473" s="44" t="str">
        <f>IF('Automated raw'!$O473&gt;=60%,"High",IF('Automated raw'!$O473&gt;=30%,"Avg",IF('Automated raw'!$O473&lt;30%,"Dead Stock","Incomplete")))</f>
        <v>Dead Stock</v>
      </c>
      <c r="S473" s="48" t="str">
        <f>TEXT('Automated raw'!$B473,"mmm")</f>
        <v>Jan</v>
      </c>
      <c r="T473" s="83">
        <f>'Automated raw'!$G473*'Automated raw'!$M473</f>
        <v>70329</v>
      </c>
      <c r="U473" s="6">
        <f>IFERROR((Table7[[#This Row],[Stock In(Total)]]+Table7[[#This Row],[In Stock or Remaining]])/2,"-")</f>
        <v>103.5</v>
      </c>
      <c r="V473" s="93">
        <f>IFERROR(Table7[[#This Row],[Stock_Out]]/Table7[[#This Row],[Avg Inventory]],"-")</f>
        <v>0.20289855072463769</v>
      </c>
      <c r="W473" s="6"/>
      <c r="X473" s="6"/>
      <c r="Y473" s="6"/>
      <c r="Z473" s="6"/>
      <c r="AA473" s="6"/>
      <c r="AB473" s="6"/>
      <c r="AC473" s="6"/>
      <c r="AD473" s="6"/>
      <c r="AE473" s="6"/>
      <c r="AF473" s="6"/>
      <c r="AG473" s="6"/>
      <c r="AH473" s="6"/>
      <c r="AI473" s="6"/>
      <c r="AJ473" s="6"/>
      <c r="AK473" s="6"/>
      <c r="AL473" t="s">
        <v>265</v>
      </c>
      <c r="AM473">
        <v>45490</v>
      </c>
      <c r="AN473" t="s">
        <v>37</v>
      </c>
      <c r="AO473" t="s">
        <v>20</v>
      </c>
      <c r="AP473" t="s">
        <v>33</v>
      </c>
      <c r="AQ473">
        <v>106</v>
      </c>
      <c r="AR473">
        <v>73</v>
      </c>
      <c r="AS473">
        <v>179</v>
      </c>
      <c r="AT473">
        <v>151</v>
      </c>
      <c r="AU473">
        <v>67</v>
      </c>
      <c r="AV473">
        <v>10</v>
      </c>
      <c r="AW473">
        <v>1959</v>
      </c>
      <c r="AX473">
        <v>2689</v>
      </c>
      <c r="AY473">
        <v>0.40782122905027934</v>
      </c>
      <c r="AZ473">
        <v>0.40782122905027934</v>
      </c>
      <c r="BA473">
        <v>106</v>
      </c>
      <c r="BB473">
        <v>207654</v>
      </c>
      <c r="BC473" t="s">
        <v>551</v>
      </c>
      <c r="BD473" t="s">
        <v>556</v>
      </c>
      <c r="BE473">
        <v>196297</v>
      </c>
    </row>
    <row r="474" spans="1:57" x14ac:dyDescent="0.3">
      <c r="A474" s="38" t="s">
        <v>507</v>
      </c>
      <c r="B474" s="39">
        <v>45331</v>
      </c>
      <c r="C474" s="38" t="s">
        <v>53</v>
      </c>
      <c r="D474" s="38" t="s">
        <v>13</v>
      </c>
      <c r="E474" s="38" t="s">
        <v>38</v>
      </c>
      <c r="F474" s="40" t="s">
        <v>23</v>
      </c>
      <c r="G474" s="38">
        <v>103</v>
      </c>
      <c r="H474" s="38" t="str">
        <f>IFERROR('Automated raw'!$F474+'Automated raw'!$G474,"-")</f>
        <v>-</v>
      </c>
      <c r="I474" s="38">
        <v>197</v>
      </c>
      <c r="J474" s="38">
        <v>39</v>
      </c>
      <c r="K474" s="38">
        <v>12</v>
      </c>
      <c r="L474" s="38">
        <v>857</v>
      </c>
      <c r="M474" s="38">
        <v>1147</v>
      </c>
      <c r="N474" s="38" t="e">
        <f>'Automated raw'!$G474/'Automated raw'!$H474</f>
        <v>#VALUE!</v>
      </c>
      <c r="O474" s="49" t="str">
        <f>IFERROR('Automated raw'!$G474/'Automated raw'!$H474,"incomplete")</f>
        <v>incomplete</v>
      </c>
      <c r="P474" s="38" t="str">
        <f>'Automated raw'!$F474</f>
        <v>Not Available</v>
      </c>
      <c r="Q474" s="42">
        <f>IFERROR('Automated raw'!$P474*'Automated raw'!$L474,0)</f>
        <v>0</v>
      </c>
      <c r="R474" s="38" t="str">
        <f>IF('Automated raw'!$O474&gt;=60%,"High",IF('Automated raw'!$O474&gt;=30%,"Avg",IF('Automated raw'!$O474&lt;30%,"Dead Stock","Incomplete")))</f>
        <v>High</v>
      </c>
      <c r="S474" s="43" t="str">
        <f>TEXT('Automated raw'!$B474,"mmm")</f>
        <v>Feb</v>
      </c>
      <c r="T474" s="82">
        <f>'Automated raw'!$G474*'Automated raw'!$M474</f>
        <v>118141</v>
      </c>
      <c r="U474" s="6" t="str">
        <f>IFERROR((Table7[[#This Row],[Stock In(Total)]]+Table7[[#This Row],[In Stock or Remaining]])/2,"-")</f>
        <v>-</v>
      </c>
      <c r="V474" s="93" t="str">
        <f>IFERROR(Table7[[#This Row],[Stock_Out]]/Table7[[#This Row],[Avg Inventory]],"-")</f>
        <v>-</v>
      </c>
      <c r="W474" s="6"/>
      <c r="X474" s="6"/>
      <c r="Y474" s="6"/>
      <c r="Z474" s="6"/>
      <c r="AA474" s="6"/>
      <c r="AB474" s="6"/>
      <c r="AC474" s="6"/>
      <c r="AD474" s="6"/>
      <c r="AE474" s="6"/>
      <c r="AF474" s="6"/>
      <c r="AG474" s="6"/>
      <c r="AH474" s="6"/>
      <c r="AI474" s="6"/>
      <c r="AJ474" s="6"/>
      <c r="AK474" s="6"/>
      <c r="AL474" t="s">
        <v>267</v>
      </c>
      <c r="AM474">
        <v>45406</v>
      </c>
      <c r="AN474" t="s">
        <v>16</v>
      </c>
      <c r="AO474" t="s">
        <v>20</v>
      </c>
      <c r="AP474" t="s">
        <v>38</v>
      </c>
      <c r="AQ474">
        <v>126</v>
      </c>
      <c r="AR474">
        <v>105</v>
      </c>
      <c r="AS474">
        <v>231</v>
      </c>
      <c r="AT474">
        <v>45</v>
      </c>
      <c r="AU474">
        <v>63</v>
      </c>
      <c r="AV474">
        <v>4</v>
      </c>
      <c r="AW474">
        <v>662</v>
      </c>
      <c r="AX474">
        <v>1723</v>
      </c>
      <c r="AY474">
        <v>0.45454545454545453</v>
      </c>
      <c r="AZ474">
        <v>0.45454545454545453</v>
      </c>
      <c r="BA474">
        <v>126</v>
      </c>
      <c r="BB474">
        <v>83412</v>
      </c>
      <c r="BC474" t="s">
        <v>551</v>
      </c>
      <c r="BD474" t="s">
        <v>558</v>
      </c>
      <c r="BE474">
        <v>180915</v>
      </c>
    </row>
    <row r="475" spans="1:57" x14ac:dyDescent="0.3">
      <c r="A475" s="44" t="s">
        <v>508</v>
      </c>
      <c r="B475" s="45">
        <v>45513</v>
      </c>
      <c r="C475" s="44" t="s">
        <v>26</v>
      </c>
      <c r="D475" s="44" t="s">
        <v>17</v>
      </c>
      <c r="E475" s="44" t="s">
        <v>21</v>
      </c>
      <c r="F475" s="40">
        <v>51</v>
      </c>
      <c r="G475" s="44">
        <v>12</v>
      </c>
      <c r="H475" s="44">
        <f>IFERROR('Automated raw'!$F475+'Automated raw'!$G475,"-")</f>
        <v>63</v>
      </c>
      <c r="I475" s="44">
        <v>141</v>
      </c>
      <c r="J475" s="44">
        <v>69</v>
      </c>
      <c r="K475" s="44">
        <v>2</v>
      </c>
      <c r="L475" s="44">
        <v>1101</v>
      </c>
      <c r="M475" s="44">
        <v>1202</v>
      </c>
      <c r="N475" s="44">
        <f>'Automated raw'!$G475/'Automated raw'!$H475</f>
        <v>0.19047619047619047</v>
      </c>
      <c r="O475" s="46">
        <f>IFERROR('Automated raw'!$G475/'Automated raw'!$H475,"incomplete")</f>
        <v>0.19047619047619047</v>
      </c>
      <c r="P475" s="44">
        <f>'Automated raw'!$F475</f>
        <v>51</v>
      </c>
      <c r="Q475" s="47">
        <f>IFERROR('Automated raw'!$P475*'Automated raw'!$L475,0)</f>
        <v>56151</v>
      </c>
      <c r="R475" s="44" t="str">
        <f>IF('Automated raw'!$O475&gt;=60%,"High",IF('Automated raw'!$O475&gt;=30%,"Avg",IF('Automated raw'!$O475&lt;30%,"Dead Stock","Incomplete")))</f>
        <v>Dead Stock</v>
      </c>
      <c r="S475" s="48" t="str">
        <f>TEXT('Automated raw'!$B475,"mmm")</f>
        <v>Aug</v>
      </c>
      <c r="T475" s="83">
        <f>'Automated raw'!$G475*'Automated raw'!$M475</f>
        <v>14424</v>
      </c>
      <c r="U475" s="6">
        <f>IFERROR((Table7[[#This Row],[Stock In(Total)]]+Table7[[#This Row],[In Stock or Remaining]])/2,"-")</f>
        <v>57</v>
      </c>
      <c r="V475" s="93">
        <f>IFERROR(Table7[[#This Row],[Stock_Out]]/Table7[[#This Row],[Avg Inventory]],"-")</f>
        <v>0.21052631578947367</v>
      </c>
      <c r="W475" s="6"/>
      <c r="X475" s="6"/>
      <c r="Y475" s="6"/>
      <c r="Z475" s="6"/>
      <c r="AA475" s="6"/>
      <c r="AB475" s="6"/>
      <c r="AC475" s="6"/>
      <c r="AD475" s="6"/>
      <c r="AE475" s="6"/>
      <c r="AF475" s="6"/>
      <c r="AG475" s="6"/>
      <c r="AH475" s="6"/>
      <c r="AI475" s="6"/>
      <c r="AJ475" s="6"/>
      <c r="AK475" s="6"/>
      <c r="AL475" t="s">
        <v>270</v>
      </c>
      <c r="AM475">
        <v>45463</v>
      </c>
      <c r="AN475" t="s">
        <v>30</v>
      </c>
      <c r="AO475" t="s">
        <v>20</v>
      </c>
      <c r="AP475" t="s">
        <v>21</v>
      </c>
      <c r="AQ475">
        <v>38</v>
      </c>
      <c r="AR475">
        <v>28</v>
      </c>
      <c r="AS475">
        <v>66</v>
      </c>
      <c r="AT475">
        <v>24</v>
      </c>
      <c r="AU475">
        <v>77</v>
      </c>
      <c r="AV475">
        <v>8</v>
      </c>
      <c r="AW475">
        <v>1162</v>
      </c>
      <c r="AX475">
        <v>1521</v>
      </c>
      <c r="AY475">
        <v>0.42424242424242425</v>
      </c>
      <c r="AZ475">
        <v>0.42424242424242425</v>
      </c>
      <c r="BA475">
        <v>38</v>
      </c>
      <c r="BB475">
        <v>44156</v>
      </c>
      <c r="BC475" t="s">
        <v>551</v>
      </c>
      <c r="BD475" t="s">
        <v>559</v>
      </c>
      <c r="BE475">
        <v>42588</v>
      </c>
    </row>
    <row r="476" spans="1:57" x14ac:dyDescent="0.3">
      <c r="A476" s="38" t="s">
        <v>509</v>
      </c>
      <c r="B476" s="39">
        <v>45489</v>
      </c>
      <c r="C476" s="38" t="s">
        <v>53</v>
      </c>
      <c r="D476" s="38" t="s">
        <v>20</v>
      </c>
      <c r="E476" s="38" t="s">
        <v>38</v>
      </c>
      <c r="F476" s="40">
        <v>7</v>
      </c>
      <c r="G476" s="38">
        <v>85</v>
      </c>
      <c r="H476" s="38">
        <f>IFERROR('Automated raw'!$F476+'Automated raw'!$G476,"-")</f>
        <v>92</v>
      </c>
      <c r="I476" s="38">
        <v>232</v>
      </c>
      <c r="J476" s="38">
        <v>70</v>
      </c>
      <c r="K476" s="38">
        <v>13</v>
      </c>
      <c r="L476" s="38">
        <v>845</v>
      </c>
      <c r="M476" s="38">
        <v>1532</v>
      </c>
      <c r="N476" s="38">
        <f>'Automated raw'!$G476/'Automated raw'!$H476</f>
        <v>0.92391304347826086</v>
      </c>
      <c r="O476" s="41">
        <f>IFERROR('Automated raw'!$G476/'Automated raw'!$H476,"incomplete")</f>
        <v>0.92391304347826086</v>
      </c>
      <c r="P476" s="38">
        <f>'Automated raw'!$F476</f>
        <v>7</v>
      </c>
      <c r="Q476" s="42">
        <f>IFERROR('Automated raw'!$P476*'Automated raw'!$L476,0)</f>
        <v>5915</v>
      </c>
      <c r="R476" s="38" t="str">
        <f>IF('Automated raw'!$O476&gt;=60%,"High",IF('Automated raw'!$O476&gt;=30%,"Avg",IF('Automated raw'!$O476&lt;30%,"Dead Stock","Incomplete")))</f>
        <v>High</v>
      </c>
      <c r="S476" s="43" t="str">
        <f>TEXT('Automated raw'!$B476,"mmm")</f>
        <v>Jul</v>
      </c>
      <c r="T476" s="82">
        <f>'Automated raw'!$G476*'Automated raw'!$M476</f>
        <v>130220</v>
      </c>
      <c r="U476" s="6">
        <f>IFERROR((Table7[[#This Row],[Stock In(Total)]]+Table7[[#This Row],[In Stock or Remaining]])/2,"-")</f>
        <v>49.5</v>
      </c>
      <c r="V476" s="93">
        <f>IFERROR(Table7[[#This Row],[Stock_Out]]/Table7[[#This Row],[Avg Inventory]],"-")</f>
        <v>1.7171717171717171</v>
      </c>
      <c r="W476" s="6"/>
      <c r="X476" s="6"/>
      <c r="Y476" s="6"/>
      <c r="Z476" s="6"/>
      <c r="AA476" s="6"/>
      <c r="AB476" s="6"/>
      <c r="AC476" s="6"/>
      <c r="AD476" s="6"/>
      <c r="AE476" s="6"/>
      <c r="AF476" s="6"/>
      <c r="AG476" s="6"/>
      <c r="AH476" s="6"/>
      <c r="AI476" s="6"/>
      <c r="AJ476" s="6"/>
      <c r="AK476" s="6"/>
      <c r="AL476" t="s">
        <v>271</v>
      </c>
      <c r="AM476">
        <v>45320</v>
      </c>
      <c r="AN476" t="s">
        <v>37</v>
      </c>
      <c r="AO476" t="s">
        <v>17</v>
      </c>
      <c r="AP476" t="s">
        <v>21</v>
      </c>
      <c r="AQ476">
        <v>11</v>
      </c>
      <c r="AR476">
        <v>8</v>
      </c>
      <c r="AS476">
        <v>19</v>
      </c>
      <c r="AT476">
        <v>191</v>
      </c>
      <c r="AU476">
        <v>33</v>
      </c>
      <c r="AV476">
        <v>5</v>
      </c>
      <c r="AW476">
        <v>727</v>
      </c>
      <c r="AX476">
        <v>1577</v>
      </c>
      <c r="AY476">
        <v>0.42105263157894735</v>
      </c>
      <c r="AZ476">
        <v>0.42105263157894735</v>
      </c>
      <c r="BA476">
        <v>11</v>
      </c>
      <c r="BB476">
        <v>7997</v>
      </c>
      <c r="BC476" t="s">
        <v>551</v>
      </c>
      <c r="BD476" t="s">
        <v>557</v>
      </c>
      <c r="BE476">
        <v>12616</v>
      </c>
    </row>
    <row r="477" spans="1:57" x14ac:dyDescent="0.3">
      <c r="A477" s="44" t="s">
        <v>510</v>
      </c>
      <c r="B477" s="45">
        <v>45502</v>
      </c>
      <c r="C477" s="44" t="s">
        <v>26</v>
      </c>
      <c r="D477" s="44" t="s">
        <v>17</v>
      </c>
      <c r="E477" s="44" t="s">
        <v>21</v>
      </c>
      <c r="F477" s="40">
        <v>45</v>
      </c>
      <c r="G477" s="44">
        <v>1</v>
      </c>
      <c r="H477" s="44">
        <f>IFERROR('Automated raw'!$F477+'Automated raw'!$G477,"-")</f>
        <v>46</v>
      </c>
      <c r="I477" s="44">
        <v>2</v>
      </c>
      <c r="J477" s="44">
        <v>59</v>
      </c>
      <c r="K477" s="44">
        <v>8</v>
      </c>
      <c r="L477" s="44">
        <v>1551</v>
      </c>
      <c r="M477" s="44">
        <v>1824</v>
      </c>
      <c r="N477" s="44">
        <f>'Automated raw'!$G477/'Automated raw'!$H477</f>
        <v>2.1739130434782608E-2</v>
      </c>
      <c r="O477" s="46">
        <f>IFERROR('Automated raw'!$G477/'Automated raw'!$H477,"incomplete")</f>
        <v>2.1739130434782608E-2</v>
      </c>
      <c r="P477" s="44">
        <f>'Automated raw'!$F477</f>
        <v>45</v>
      </c>
      <c r="Q477" s="47">
        <f>IFERROR('Automated raw'!$P477*'Automated raw'!$L477,0)</f>
        <v>69795</v>
      </c>
      <c r="R477" s="44" t="str">
        <f>IF('Automated raw'!$O477&gt;=60%,"High",IF('Automated raw'!$O477&gt;=30%,"Avg",IF('Automated raw'!$O477&lt;30%,"Dead Stock","Incomplete")))</f>
        <v>Dead Stock</v>
      </c>
      <c r="S477" s="48" t="str">
        <f>TEXT('Automated raw'!$B477,"mmm")</f>
        <v>Jul</v>
      </c>
      <c r="T477" s="83">
        <f>'Automated raw'!$G477*'Automated raw'!$M477</f>
        <v>1824</v>
      </c>
      <c r="U477" s="6">
        <f>IFERROR((Table7[[#This Row],[Stock In(Total)]]+Table7[[#This Row],[In Stock or Remaining]])/2,"-")</f>
        <v>45.5</v>
      </c>
      <c r="V477" s="93">
        <f>IFERROR(Table7[[#This Row],[Stock_Out]]/Table7[[#This Row],[Avg Inventory]],"-")</f>
        <v>2.197802197802198E-2</v>
      </c>
      <c r="W477" s="6"/>
      <c r="X477" s="6"/>
      <c r="Y477" s="6"/>
      <c r="Z477" s="6"/>
      <c r="AA477" s="6"/>
      <c r="AB477" s="6"/>
      <c r="AC477" s="6"/>
      <c r="AD477" s="6"/>
      <c r="AE477" s="6"/>
      <c r="AF477" s="6"/>
      <c r="AG477" s="6"/>
      <c r="AH477" s="6"/>
      <c r="AI477" s="6"/>
      <c r="AJ477" s="6"/>
      <c r="AK477" s="6"/>
      <c r="AL477" t="s">
        <v>272</v>
      </c>
      <c r="AM477">
        <v>45574</v>
      </c>
      <c r="AN477" t="s">
        <v>30</v>
      </c>
      <c r="AO477" t="s">
        <v>20</v>
      </c>
      <c r="AP477" t="s">
        <v>33</v>
      </c>
      <c r="AQ477">
        <v>33</v>
      </c>
      <c r="AR477">
        <v>44</v>
      </c>
      <c r="AS477">
        <v>77</v>
      </c>
      <c r="AT477">
        <v>226</v>
      </c>
      <c r="AU477">
        <v>58</v>
      </c>
      <c r="AV477">
        <v>12</v>
      </c>
      <c r="AW477">
        <v>1554</v>
      </c>
      <c r="AX477">
        <v>2338</v>
      </c>
      <c r="AY477">
        <v>0.5714285714285714</v>
      </c>
      <c r="AZ477">
        <v>0.5714285714285714</v>
      </c>
      <c r="BA477">
        <v>33</v>
      </c>
      <c r="BB477">
        <v>51282</v>
      </c>
      <c r="BC477" t="s">
        <v>551</v>
      </c>
      <c r="BD477" t="s">
        <v>565</v>
      </c>
      <c r="BE477">
        <v>102872</v>
      </c>
    </row>
    <row r="478" spans="1:57" x14ac:dyDescent="0.3">
      <c r="A478" s="38" t="s">
        <v>511</v>
      </c>
      <c r="B478" s="39">
        <v>45450</v>
      </c>
      <c r="C478" s="38" t="s">
        <v>45</v>
      </c>
      <c r="D478" s="38" t="s">
        <v>13</v>
      </c>
      <c r="E478" s="38" t="s">
        <v>23</v>
      </c>
      <c r="F478" s="40">
        <v>30</v>
      </c>
      <c r="G478" s="38">
        <v>115</v>
      </c>
      <c r="H478" s="38">
        <f>IFERROR('Automated raw'!$F478+'Automated raw'!$G478,"-")</f>
        <v>145</v>
      </c>
      <c r="I478" s="38">
        <v>234</v>
      </c>
      <c r="J478" s="38">
        <v>34</v>
      </c>
      <c r="K478" s="38">
        <v>6</v>
      </c>
      <c r="L478" s="38">
        <v>254</v>
      </c>
      <c r="M478" s="38">
        <v>1001</v>
      </c>
      <c r="N478" s="38">
        <f>'Automated raw'!$G478/'Automated raw'!$H478</f>
        <v>0.7931034482758621</v>
      </c>
      <c r="O478" s="41">
        <f>IFERROR('Automated raw'!$G478/'Automated raw'!$H478,"incomplete")</f>
        <v>0.7931034482758621</v>
      </c>
      <c r="P478" s="38">
        <f>'Automated raw'!$F478</f>
        <v>30</v>
      </c>
      <c r="Q478" s="42">
        <f>IFERROR('Automated raw'!$P478*'Automated raw'!$L478,0)</f>
        <v>7620</v>
      </c>
      <c r="R478" s="38" t="str">
        <f>IF('Automated raw'!$O478&gt;=60%,"High",IF('Automated raw'!$O478&gt;=30%,"Avg",IF('Automated raw'!$O478&lt;30%,"Dead Stock","Incomplete")))</f>
        <v>High</v>
      </c>
      <c r="S478" s="43" t="str">
        <f>TEXT('Automated raw'!$B478,"mmm")</f>
        <v>Jun</v>
      </c>
      <c r="T478" s="82">
        <f>'Automated raw'!$G478*'Automated raw'!$M478</f>
        <v>115115</v>
      </c>
      <c r="U478" s="6">
        <f>IFERROR((Table7[[#This Row],[Stock In(Total)]]+Table7[[#This Row],[In Stock or Remaining]])/2,"-")</f>
        <v>87.5</v>
      </c>
      <c r="V478" s="93">
        <f>IFERROR(Table7[[#This Row],[Stock_Out]]/Table7[[#This Row],[Avg Inventory]],"-")</f>
        <v>1.3142857142857143</v>
      </c>
      <c r="W478" s="6"/>
      <c r="X478" s="6"/>
      <c r="Y478" s="6"/>
      <c r="Z478" s="6"/>
      <c r="AA478" s="6"/>
      <c r="AB478" s="6"/>
      <c r="AC478" s="6"/>
      <c r="AD478" s="6"/>
      <c r="AE478" s="6"/>
      <c r="AF478" s="6"/>
      <c r="AG478" s="6"/>
      <c r="AH478" s="6"/>
      <c r="AI478" s="6"/>
      <c r="AJ478" s="6"/>
      <c r="AK478" s="6"/>
      <c r="AL478" t="s">
        <v>276</v>
      </c>
      <c r="AM478">
        <v>45517</v>
      </c>
      <c r="AN478" t="s">
        <v>26</v>
      </c>
      <c r="AO478" t="s">
        <v>17</v>
      </c>
      <c r="AP478" t="s">
        <v>33</v>
      </c>
      <c r="AQ478">
        <v>74</v>
      </c>
      <c r="AR478">
        <v>88</v>
      </c>
      <c r="AS478">
        <v>162</v>
      </c>
      <c r="AT478">
        <v>192</v>
      </c>
      <c r="AU478">
        <v>67</v>
      </c>
      <c r="AV478">
        <v>13</v>
      </c>
      <c r="AW478">
        <v>730</v>
      </c>
      <c r="AX478">
        <v>1013</v>
      </c>
      <c r="AY478">
        <v>0.54320987654320985</v>
      </c>
      <c r="AZ478">
        <v>0.54320987654320985</v>
      </c>
      <c r="BA478">
        <v>74</v>
      </c>
      <c r="BB478">
        <v>54020</v>
      </c>
      <c r="BC478" t="s">
        <v>551</v>
      </c>
      <c r="BD478" t="s">
        <v>554</v>
      </c>
      <c r="BE478">
        <v>89144</v>
      </c>
    </row>
    <row r="479" spans="1:57" x14ac:dyDescent="0.3">
      <c r="A479" s="44" t="s">
        <v>512</v>
      </c>
      <c r="B479" s="45">
        <v>45338</v>
      </c>
      <c r="C479" s="44" t="s">
        <v>305</v>
      </c>
      <c r="D479" s="44" t="s">
        <v>13</v>
      </c>
      <c r="E479" s="44" t="s">
        <v>38</v>
      </c>
      <c r="F479" s="40">
        <v>74</v>
      </c>
      <c r="G479" s="44">
        <v>13</v>
      </c>
      <c r="H479" s="44">
        <f>IFERROR('Automated raw'!$F479+'Automated raw'!$G479,"-")</f>
        <v>87</v>
      </c>
      <c r="I479" s="44">
        <v>42</v>
      </c>
      <c r="J479" s="44">
        <v>75</v>
      </c>
      <c r="K479" s="44">
        <v>3</v>
      </c>
      <c r="L479" s="44">
        <v>1203</v>
      </c>
      <c r="M479" s="44">
        <v>2048</v>
      </c>
      <c r="N479" s="44">
        <f>'Automated raw'!$G479/'Automated raw'!$H479</f>
        <v>0.14942528735632185</v>
      </c>
      <c r="O479" s="46">
        <f>IFERROR('Automated raw'!$G479/'Automated raw'!$H479,"incomplete")</f>
        <v>0.14942528735632185</v>
      </c>
      <c r="P479" s="44">
        <f>'Automated raw'!$F479</f>
        <v>74</v>
      </c>
      <c r="Q479" s="47">
        <f>IFERROR('Automated raw'!$P479*'Automated raw'!$L479,0)</f>
        <v>89022</v>
      </c>
      <c r="R479" s="44" t="str">
        <f>IF('Automated raw'!$O479&gt;=60%,"High",IF('Automated raw'!$O479&gt;=30%,"Avg",IF('Automated raw'!$O479&lt;30%,"Dead Stock","Incomplete")))</f>
        <v>Dead Stock</v>
      </c>
      <c r="S479" s="48" t="str">
        <f>TEXT('Automated raw'!$B479,"mmm")</f>
        <v>Feb</v>
      </c>
      <c r="T479" s="83">
        <f>'Automated raw'!$G479*'Automated raw'!$M479</f>
        <v>26624</v>
      </c>
      <c r="U479" s="6">
        <f>IFERROR((Table7[[#This Row],[Stock In(Total)]]+Table7[[#This Row],[In Stock or Remaining]])/2,"-")</f>
        <v>80.5</v>
      </c>
      <c r="V479" s="93">
        <f>IFERROR(Table7[[#This Row],[Stock_Out]]/Table7[[#This Row],[Avg Inventory]],"-")</f>
        <v>0.16149068322981366</v>
      </c>
      <c r="W479" s="6"/>
      <c r="X479" s="6"/>
      <c r="Y479" s="6"/>
      <c r="Z479" s="6"/>
      <c r="AA479" s="6"/>
      <c r="AB479" s="6"/>
      <c r="AC479" s="6"/>
      <c r="AD479" s="6"/>
      <c r="AE479" s="6"/>
      <c r="AF479" s="6"/>
      <c r="AG479" s="6"/>
      <c r="AH479" s="6"/>
      <c r="AI479" s="6"/>
      <c r="AJ479" s="6"/>
      <c r="AK479" s="6"/>
      <c r="AL479" t="s">
        <v>277</v>
      </c>
      <c r="AM479">
        <v>45354</v>
      </c>
      <c r="AN479" t="s">
        <v>45</v>
      </c>
      <c r="AO479" t="s">
        <v>13</v>
      </c>
      <c r="AP479" t="s">
        <v>38</v>
      </c>
      <c r="AQ479">
        <v>103</v>
      </c>
      <c r="AR479">
        <v>60</v>
      </c>
      <c r="AS479">
        <v>163</v>
      </c>
      <c r="AT479">
        <v>299</v>
      </c>
      <c r="AU479">
        <v>78</v>
      </c>
      <c r="AV479">
        <v>10</v>
      </c>
      <c r="AW479">
        <v>1465</v>
      </c>
      <c r="AX479">
        <v>2738</v>
      </c>
      <c r="AY479">
        <v>0.36809815950920244</v>
      </c>
      <c r="AZ479">
        <v>0.36809815950920244</v>
      </c>
      <c r="BA479">
        <v>103</v>
      </c>
      <c r="BB479">
        <v>150895</v>
      </c>
      <c r="BC479" t="s">
        <v>551</v>
      </c>
      <c r="BD479" t="s">
        <v>562</v>
      </c>
      <c r="BE479">
        <v>164280</v>
      </c>
    </row>
    <row r="480" spans="1:57" x14ac:dyDescent="0.3">
      <c r="A480" s="38" t="s">
        <v>188</v>
      </c>
      <c r="B480" s="39">
        <v>45457</v>
      </c>
      <c r="C480" s="38" t="s">
        <v>12</v>
      </c>
      <c r="D480" s="38" t="s">
        <v>13</v>
      </c>
      <c r="E480" s="38" t="s">
        <v>14</v>
      </c>
      <c r="F480" s="40">
        <v>89</v>
      </c>
      <c r="G480" s="38">
        <v>120</v>
      </c>
      <c r="H480" s="38">
        <f>IFERROR('Automated raw'!$F158+'Automated raw'!$G158,"-")</f>
        <v>157</v>
      </c>
      <c r="I480" s="38">
        <v>28</v>
      </c>
      <c r="J480" s="38">
        <v>78</v>
      </c>
      <c r="K480" s="38">
        <v>7</v>
      </c>
      <c r="L480" s="38">
        <v>480</v>
      </c>
      <c r="M480" s="38">
        <v>926</v>
      </c>
      <c r="N480" s="38">
        <f>'Automated raw'!$G158/'Automated raw'!$H158</f>
        <v>0.3592814371257485</v>
      </c>
      <c r="O480" s="41">
        <f>IFERROR('Automated raw'!$G158/'Automated raw'!$H158,"incomplete")</f>
        <v>0.3592814371257485</v>
      </c>
      <c r="P480" s="38">
        <f>'Automated raw'!$F158</f>
        <v>97</v>
      </c>
      <c r="Q480" s="42">
        <f>IFERROR('Automated raw'!$P158*'Automated raw'!$L158,0)</f>
        <v>35076</v>
      </c>
      <c r="R480" s="38" t="str">
        <f>IF('Automated raw'!$O158&gt;=60%,"High",IF('Automated raw'!$O158&gt;=30%,"Avg",IF('Automated raw'!$O158&lt;30%,"Dead Stock","Incomplete")))</f>
        <v>High</v>
      </c>
      <c r="S480" s="43" t="str">
        <f>TEXT('Automated raw'!$B158,"mmm")</f>
        <v>Oct</v>
      </c>
      <c r="T480" s="82">
        <f>'Automated raw'!$G158*'Automated raw'!$M158</f>
        <v>52560</v>
      </c>
      <c r="U480" s="6">
        <f>IFERROR((Table7[[#This Row],[Stock In(Total)]]+Table7[[#This Row],[In Stock or Remaining]])/2,"-")</f>
        <v>123</v>
      </c>
      <c r="V480" s="93">
        <f>IFERROR(Table7[[#This Row],[Stock_Out]]/Table7[[#This Row],[Avg Inventory]],"-")</f>
        <v>0.97560975609756095</v>
      </c>
      <c r="W480" s="6"/>
      <c r="X480" s="6"/>
      <c r="Y480" s="6"/>
      <c r="Z480" s="6"/>
      <c r="AA480" s="6"/>
      <c r="AB480" s="6"/>
      <c r="AC480" s="6"/>
      <c r="AD480" s="6"/>
      <c r="AE480" s="6"/>
      <c r="AF480" s="6"/>
      <c r="AG480" s="6"/>
      <c r="AH480" s="6"/>
      <c r="AI480" s="6"/>
      <c r="AJ480" s="6"/>
      <c r="AK480" s="6"/>
      <c r="AL480" t="s">
        <v>278</v>
      </c>
      <c r="AM480">
        <v>45654</v>
      </c>
      <c r="AN480" t="s">
        <v>37</v>
      </c>
      <c r="AO480" t="s">
        <v>17</v>
      </c>
      <c r="AP480" t="s">
        <v>33</v>
      </c>
      <c r="AQ480">
        <v>78</v>
      </c>
      <c r="AR480">
        <v>73</v>
      </c>
      <c r="AS480">
        <v>151</v>
      </c>
      <c r="AT480">
        <v>10</v>
      </c>
      <c r="AU480">
        <v>75</v>
      </c>
      <c r="AV480">
        <v>12</v>
      </c>
      <c r="AW480">
        <v>640</v>
      </c>
      <c r="AX480">
        <v>1430</v>
      </c>
      <c r="AY480">
        <v>0.48344370860927155</v>
      </c>
      <c r="AZ480">
        <v>0.48344370860927155</v>
      </c>
      <c r="BA480">
        <v>78</v>
      </c>
      <c r="BB480">
        <v>49920</v>
      </c>
      <c r="BC480" t="s">
        <v>551</v>
      </c>
      <c r="BD480" t="s">
        <v>563</v>
      </c>
      <c r="BE480">
        <v>104390</v>
      </c>
    </row>
    <row r="481" spans="1:57" x14ac:dyDescent="0.3">
      <c r="A481" s="38" t="s">
        <v>150</v>
      </c>
      <c r="B481" s="39">
        <v>45509</v>
      </c>
      <c r="C481" s="38" t="s">
        <v>151</v>
      </c>
      <c r="D481" s="38" t="s">
        <v>20</v>
      </c>
      <c r="E481" s="38" t="s">
        <v>33</v>
      </c>
      <c r="F481" s="40">
        <v>66</v>
      </c>
      <c r="G481" s="38">
        <v>89</v>
      </c>
      <c r="H481" s="38">
        <f>IFERROR('Automated raw'!$F122+'Automated raw'!$G122,"-")</f>
        <v>219</v>
      </c>
      <c r="I481" s="38">
        <v>117</v>
      </c>
      <c r="J481" s="38">
        <v>43</v>
      </c>
      <c r="K481" s="38">
        <v>7</v>
      </c>
      <c r="L481" s="38">
        <v>1580</v>
      </c>
      <c r="M481" s="38">
        <v>1969</v>
      </c>
      <c r="N481" s="38">
        <f>'Automated raw'!$G122/'Automated raw'!$H122</f>
        <v>0.40609137055837563</v>
      </c>
      <c r="O481" s="41">
        <f>IFERROR('Automated raw'!$G122/'Automated raw'!$H122,"incomplete")</f>
        <v>0.40609137055837563</v>
      </c>
      <c r="P481" s="38">
        <f>'Automated raw'!$F122</f>
        <v>139</v>
      </c>
      <c r="Q481" s="42">
        <f>IFERROR('Automated raw'!$P122*'Automated raw'!$L122,0)</f>
        <v>28688</v>
      </c>
      <c r="R481" s="38" t="str">
        <f>IF('Automated raw'!$O122&gt;=60%,"High",IF('Automated raw'!$O122&gt;=30%,"Avg",IF('Automated raw'!$O122&lt;30%,"Dead Stock","Incomplete")))</f>
        <v>High</v>
      </c>
      <c r="S481" s="43" t="str">
        <f>TEXT('Automated raw'!$B122,"mmm")</f>
        <v>Dec</v>
      </c>
      <c r="T481" s="82">
        <f>'Automated raw'!$G122*'Automated raw'!$M122</f>
        <v>61360</v>
      </c>
      <c r="U481" s="6">
        <f>IFERROR((Table7[[#This Row],[Stock In(Total)]]+Table7[[#This Row],[In Stock or Remaining]])/2,"-")</f>
        <v>142.5</v>
      </c>
      <c r="V481" s="93">
        <f>IFERROR(Table7[[#This Row],[Stock_Out]]/Table7[[#This Row],[Avg Inventory]],"-")</f>
        <v>0.62456140350877198</v>
      </c>
      <c r="W481" s="6"/>
      <c r="X481" s="6"/>
      <c r="Y481" s="6"/>
      <c r="Z481" s="6"/>
      <c r="AA481" s="6"/>
      <c r="AB481" s="6"/>
      <c r="AC481" s="6"/>
      <c r="AD481" s="6"/>
      <c r="AE481" s="6"/>
      <c r="AF481" s="6"/>
      <c r="AG481" s="6"/>
      <c r="AH481" s="6"/>
      <c r="AI481" s="6"/>
      <c r="AJ481" s="6"/>
      <c r="AK481" s="6"/>
      <c r="AL481" t="s">
        <v>281</v>
      </c>
      <c r="AM481">
        <v>45381</v>
      </c>
      <c r="AN481" t="s">
        <v>151</v>
      </c>
      <c r="AO481" t="s">
        <v>13</v>
      </c>
      <c r="AP481" t="s">
        <v>14</v>
      </c>
      <c r="AQ481">
        <v>93</v>
      </c>
      <c r="AR481">
        <v>57</v>
      </c>
      <c r="AS481">
        <v>150</v>
      </c>
      <c r="AT481">
        <v>37</v>
      </c>
      <c r="AU481">
        <v>61</v>
      </c>
      <c r="AV481">
        <v>13</v>
      </c>
      <c r="AW481">
        <v>1908</v>
      </c>
      <c r="AX481">
        <v>2437</v>
      </c>
      <c r="AY481">
        <v>0.38</v>
      </c>
      <c r="AZ481">
        <v>0.38</v>
      </c>
      <c r="BA481">
        <v>93</v>
      </c>
      <c r="BB481">
        <v>177444</v>
      </c>
      <c r="BC481" t="s">
        <v>551</v>
      </c>
      <c r="BD481" t="s">
        <v>562</v>
      </c>
      <c r="BE481">
        <v>138909</v>
      </c>
    </row>
    <row r="482" spans="1:57" x14ac:dyDescent="0.3">
      <c r="A482" s="38" t="s">
        <v>477</v>
      </c>
      <c r="B482" s="39">
        <v>45323</v>
      </c>
      <c r="C482" s="38" t="s">
        <v>37</v>
      </c>
      <c r="D482" s="38" t="s">
        <v>20</v>
      </c>
      <c r="E482" s="38" t="s">
        <v>33</v>
      </c>
      <c r="F482" s="40">
        <v>63</v>
      </c>
      <c r="G482" s="38">
        <v>86</v>
      </c>
      <c r="H482" s="38">
        <f>IFERROR('Automated raw'!$F444+'Automated raw'!$G444,"-")</f>
        <v>209</v>
      </c>
      <c r="I482" s="38">
        <v>77</v>
      </c>
      <c r="J482" s="38">
        <v>36</v>
      </c>
      <c r="K482" s="38">
        <v>5</v>
      </c>
      <c r="L482" s="38">
        <v>1137</v>
      </c>
      <c r="M482" s="38">
        <v>1508</v>
      </c>
      <c r="N482" s="38">
        <f>'Automated raw'!$G444/'Automated raw'!$H444</f>
        <v>0.83941605839416056</v>
      </c>
      <c r="O482" s="41">
        <f>IFERROR('Automated raw'!$G444/'Automated raw'!$H444,"incomplete")</f>
        <v>0.83941605839416056</v>
      </c>
      <c r="P482" s="38">
        <f>'Automated raw'!$F444</f>
        <v>94</v>
      </c>
      <c r="Q482" s="42">
        <f>IFERROR('Automated raw'!$P444*'Automated raw'!$L444,0)</f>
        <v>118950</v>
      </c>
      <c r="R482" s="38" t="str">
        <f>IF('Automated raw'!$O444&gt;=60%,"High",IF('Automated raw'!$O444&gt;=30%,"Avg",IF('Automated raw'!$O444&lt;30%,"Dead Stock","Incomplete")))</f>
        <v>High</v>
      </c>
      <c r="S482" s="43" t="str">
        <f>TEXT('Automated raw'!$B444,"mmm")</f>
        <v>Dec</v>
      </c>
      <c r="T482" s="82">
        <f>'Automated raw'!$G444*'Automated raw'!$M444</f>
        <v>224710</v>
      </c>
      <c r="U482" s="6">
        <f>IFERROR((Table7[[#This Row],[Stock In(Total)]]+Table7[[#This Row],[In Stock or Remaining]])/2,"-")</f>
        <v>136</v>
      </c>
      <c r="V482" s="93">
        <f>IFERROR(Table7[[#This Row],[Stock_Out]]/Table7[[#This Row],[Avg Inventory]],"-")</f>
        <v>0.63235294117647056</v>
      </c>
      <c r="W482" s="6"/>
      <c r="X482" s="6"/>
      <c r="Y482" s="6"/>
      <c r="Z482" s="6"/>
      <c r="AA482" s="6"/>
      <c r="AB482" s="6"/>
      <c r="AC482" s="6"/>
      <c r="AD482" s="6"/>
      <c r="AE482" s="6"/>
      <c r="AF482" s="6"/>
      <c r="AG482" s="6"/>
      <c r="AH482" s="6"/>
      <c r="AI482" s="6"/>
      <c r="AJ482" s="6"/>
      <c r="AK482" s="6"/>
      <c r="AL482" t="s">
        <v>285</v>
      </c>
      <c r="AM482">
        <v>45601</v>
      </c>
      <c r="AN482" t="s">
        <v>19</v>
      </c>
      <c r="AO482" t="s">
        <v>17</v>
      </c>
      <c r="AP482" t="s">
        <v>21</v>
      </c>
      <c r="AQ482">
        <v>80</v>
      </c>
      <c r="AR482">
        <v>84</v>
      </c>
      <c r="AS482">
        <v>164</v>
      </c>
      <c r="AT482">
        <v>219</v>
      </c>
      <c r="AU482">
        <v>38</v>
      </c>
      <c r="AV482">
        <v>5</v>
      </c>
      <c r="AW482">
        <v>1310</v>
      </c>
      <c r="AX482">
        <v>1640</v>
      </c>
      <c r="AY482">
        <v>0.51219512195121952</v>
      </c>
      <c r="AZ482">
        <v>0.51219512195121952</v>
      </c>
      <c r="BA482">
        <v>80</v>
      </c>
      <c r="BB482">
        <v>104800</v>
      </c>
      <c r="BC482" t="s">
        <v>551</v>
      </c>
      <c r="BD482" t="s">
        <v>564</v>
      </c>
      <c r="BE482">
        <v>137760</v>
      </c>
    </row>
    <row r="483" spans="1:57" x14ac:dyDescent="0.3">
      <c r="A483" s="44" t="s">
        <v>31</v>
      </c>
      <c r="B483" s="45">
        <v>45588</v>
      </c>
      <c r="C483" s="44" t="s">
        <v>30</v>
      </c>
      <c r="D483" s="44" t="s">
        <v>17</v>
      </c>
      <c r="E483" s="44" t="s">
        <v>21</v>
      </c>
      <c r="F483" s="40">
        <v>79</v>
      </c>
      <c r="G483" s="44">
        <v>108</v>
      </c>
      <c r="H483" s="44">
        <f>IFERROR('Automated raw'!$F11+'Automated raw'!$G11,"-")</f>
        <v>201</v>
      </c>
      <c r="I483" s="44">
        <v>122</v>
      </c>
      <c r="J483" s="44">
        <v>43</v>
      </c>
      <c r="K483" s="44">
        <v>5</v>
      </c>
      <c r="L483" s="44">
        <v>754</v>
      </c>
      <c r="M483" s="44">
        <v>2150</v>
      </c>
      <c r="N483" s="44">
        <f>'Automated raw'!$G11/'Automated raw'!$H11</f>
        <v>0.42957746478873238</v>
      </c>
      <c r="O483" s="46">
        <f>IFERROR('Automated raw'!$G11/'Automated raw'!$H11,"incomplete")</f>
        <v>0.42957746478873238</v>
      </c>
      <c r="P483" s="44">
        <f>'Automated raw'!$F11</f>
        <v>140</v>
      </c>
      <c r="Q483" s="47">
        <f>IFERROR('Automated raw'!$P11*'Automated raw'!$L11,0)</f>
        <v>116498</v>
      </c>
      <c r="R483" s="44" t="str">
        <f>IF('Automated raw'!$O11&gt;=60%,"High",IF('Automated raw'!$O11&gt;=30%,"Avg",IF('Automated raw'!$O11&lt;30%,"Dead Stock","Incomplete")))</f>
        <v>Avg</v>
      </c>
      <c r="S483" s="48" t="str">
        <f>TEXT('Automated raw'!$B11,"mmm")</f>
        <v>Dec</v>
      </c>
      <c r="T483" s="83">
        <f>'Automated raw'!$G11*'Automated raw'!$M11</f>
        <v>175375</v>
      </c>
      <c r="U483" s="6">
        <f>IFERROR((Table7[[#This Row],[Stock In(Total)]]+Table7[[#This Row],[In Stock or Remaining]])/2,"-")</f>
        <v>140</v>
      </c>
      <c r="V483" s="93">
        <f>IFERROR(Table7[[#This Row],[Stock_Out]]/Table7[[#This Row],[Avg Inventory]],"-")</f>
        <v>0.77142857142857146</v>
      </c>
      <c r="W483" s="6"/>
      <c r="X483" s="6"/>
      <c r="Y483" s="6"/>
      <c r="Z483" s="6"/>
      <c r="AA483" s="6"/>
      <c r="AB483" s="6"/>
      <c r="AC483" s="6"/>
      <c r="AD483" s="6"/>
      <c r="AE483" s="6"/>
      <c r="AF483" s="6"/>
      <c r="AG483" s="6"/>
      <c r="AH483" s="6"/>
      <c r="AI483" s="6"/>
      <c r="AJ483" s="6"/>
      <c r="AK483" s="6"/>
      <c r="AL483" t="s">
        <v>286</v>
      </c>
      <c r="AM483">
        <v>45336</v>
      </c>
      <c r="AN483" t="s">
        <v>12</v>
      </c>
      <c r="AO483" t="s">
        <v>20</v>
      </c>
      <c r="AP483" t="s">
        <v>14</v>
      </c>
      <c r="AQ483">
        <v>96</v>
      </c>
      <c r="AR483">
        <v>56</v>
      </c>
      <c r="AS483">
        <v>152</v>
      </c>
      <c r="AT483">
        <v>64</v>
      </c>
      <c r="AU483">
        <v>72</v>
      </c>
      <c r="AV483">
        <v>12</v>
      </c>
      <c r="AW483">
        <v>1606</v>
      </c>
      <c r="AX483">
        <v>3052</v>
      </c>
      <c r="AY483">
        <v>0.36842105263157893</v>
      </c>
      <c r="AZ483">
        <v>0.36842105263157893</v>
      </c>
      <c r="BA483">
        <v>96</v>
      </c>
      <c r="BB483">
        <v>154176</v>
      </c>
      <c r="BC483" t="s">
        <v>551</v>
      </c>
      <c r="BD483" t="s">
        <v>555</v>
      </c>
      <c r="BE483">
        <v>170912</v>
      </c>
    </row>
    <row r="484" spans="1:57" x14ac:dyDescent="0.3">
      <c r="A484" s="38" t="s">
        <v>463</v>
      </c>
      <c r="B484" s="39">
        <v>45618</v>
      </c>
      <c r="C484" s="38" t="s">
        <v>19</v>
      </c>
      <c r="D484" s="38" t="s">
        <v>13</v>
      </c>
      <c r="E484" s="38" t="s">
        <v>38</v>
      </c>
      <c r="F484" s="40">
        <v>39</v>
      </c>
      <c r="G484" s="38">
        <v>54</v>
      </c>
      <c r="H484" s="38">
        <f>IFERROR('Automated raw'!$F430+'Automated raw'!$G430,"-")</f>
        <v>143</v>
      </c>
      <c r="I484" s="38">
        <v>218</v>
      </c>
      <c r="J484" s="38">
        <v>36</v>
      </c>
      <c r="K484" s="38">
        <v>5</v>
      </c>
      <c r="L484" s="38">
        <v>1425</v>
      </c>
      <c r="M484" s="38">
        <v>2035</v>
      </c>
      <c r="N484" s="38">
        <f>'Automated raw'!$G430/'Automated raw'!$H430</f>
        <v>0.52054794520547942</v>
      </c>
      <c r="O484" s="41">
        <f>IFERROR('Automated raw'!$G430/'Automated raw'!$H430,"incomplete")</f>
        <v>0.52054794520547942</v>
      </c>
      <c r="P484" s="38">
        <f>'Automated raw'!$F430</f>
        <v>67</v>
      </c>
      <c r="Q484" s="42">
        <f>IFERROR('Automated raw'!$P430*'Automated raw'!$L430,0)</f>
        <v>79156</v>
      </c>
      <c r="R484" s="38" t="str">
        <f>IF('Automated raw'!$O430&gt;=60%,"High",IF('Automated raw'!$O430&gt;=30%,"Avg",IF('Automated raw'!$O430&lt;30%,"Dead Stock","Incomplete")))</f>
        <v>Avg</v>
      </c>
      <c r="S484" s="43" t="str">
        <f>TEXT('Automated raw'!$B430,"mmm")</f>
        <v>Jul</v>
      </c>
      <c r="T484" s="82">
        <f>'Automated raw'!$G430*'Automated raw'!$M430</f>
        <v>160740</v>
      </c>
      <c r="U484" s="6">
        <f>IFERROR((Table7[[#This Row],[Stock In(Total)]]+Table7[[#This Row],[In Stock or Remaining]])/2,"-")</f>
        <v>91</v>
      </c>
      <c r="V484" s="93">
        <f>IFERROR(Table7[[#This Row],[Stock_Out]]/Table7[[#This Row],[Avg Inventory]],"-")</f>
        <v>0.59340659340659341</v>
      </c>
      <c r="W484" s="6"/>
      <c r="X484" s="6"/>
      <c r="Y484" s="6"/>
      <c r="Z484" s="6"/>
      <c r="AA484" s="6"/>
      <c r="AB484" s="6"/>
      <c r="AC484" s="6"/>
      <c r="AD484" s="6"/>
      <c r="AE484" s="6"/>
      <c r="AF484" s="6"/>
      <c r="AG484" s="6"/>
      <c r="AH484" s="6"/>
      <c r="AI484" s="6"/>
      <c r="AJ484" s="6"/>
      <c r="AK484" s="6"/>
      <c r="AL484" t="s">
        <v>287</v>
      </c>
      <c r="AM484">
        <v>45352</v>
      </c>
      <c r="AN484" t="s">
        <v>19</v>
      </c>
      <c r="AO484" t="s">
        <v>13</v>
      </c>
      <c r="AP484" t="s">
        <v>38</v>
      </c>
      <c r="AQ484">
        <v>131</v>
      </c>
      <c r="AR484">
        <v>88</v>
      </c>
      <c r="AS484">
        <v>219</v>
      </c>
      <c r="AT484">
        <v>126</v>
      </c>
      <c r="AU484">
        <v>35</v>
      </c>
      <c r="AV484">
        <v>15</v>
      </c>
      <c r="AW484">
        <v>416</v>
      </c>
      <c r="AX484">
        <v>1492</v>
      </c>
      <c r="AY484">
        <v>0.40182648401826482</v>
      </c>
      <c r="AZ484">
        <v>0.40182648401826482</v>
      </c>
      <c r="BA484">
        <v>131</v>
      </c>
      <c r="BB484">
        <v>54496</v>
      </c>
      <c r="BC484" t="s">
        <v>551</v>
      </c>
      <c r="BD484" t="s">
        <v>562</v>
      </c>
      <c r="BE484">
        <v>131296</v>
      </c>
    </row>
    <row r="485" spans="1:57" x14ac:dyDescent="0.3">
      <c r="A485" s="44" t="s">
        <v>518</v>
      </c>
      <c r="B485" s="45">
        <v>45512</v>
      </c>
      <c r="C485" s="44" t="s">
        <v>19</v>
      </c>
      <c r="D485" s="44" t="s">
        <v>17</v>
      </c>
      <c r="E485" s="44" t="s">
        <v>21</v>
      </c>
      <c r="F485" s="40">
        <v>30</v>
      </c>
      <c r="G485" s="44">
        <v>115</v>
      </c>
      <c r="H485" s="44">
        <f>IFERROR('Automated raw'!$F485+'Automated raw'!$G485,"-")</f>
        <v>145</v>
      </c>
      <c r="I485" s="44">
        <v>238</v>
      </c>
      <c r="J485" s="44">
        <v>48</v>
      </c>
      <c r="K485" s="44">
        <v>11</v>
      </c>
      <c r="L485" s="44">
        <v>261</v>
      </c>
      <c r="M485" s="44">
        <v>1391</v>
      </c>
      <c r="N485" s="44">
        <f>'Automated raw'!$G485/'Automated raw'!$H485</f>
        <v>0.7931034482758621</v>
      </c>
      <c r="O485" s="46">
        <f>IFERROR('Automated raw'!$G485/'Automated raw'!$H485,"incomplete")</f>
        <v>0.7931034482758621</v>
      </c>
      <c r="P485" s="44">
        <f>'Automated raw'!$F485</f>
        <v>30</v>
      </c>
      <c r="Q485" s="47">
        <f>IFERROR('Automated raw'!$P485*'Automated raw'!$L485,0)</f>
        <v>7830</v>
      </c>
      <c r="R485" s="44" t="str">
        <f>IF('Automated raw'!$O485&gt;=60%,"High",IF('Automated raw'!$O485&gt;=30%,"Avg",IF('Automated raw'!$O485&lt;30%,"Dead Stock","Incomplete")))</f>
        <v>High</v>
      </c>
      <c r="S485" s="48" t="str">
        <f>TEXT('Automated raw'!$B485,"mmm")</f>
        <v>Aug</v>
      </c>
      <c r="T485" s="83">
        <f>'Automated raw'!$G485*'Automated raw'!$M485</f>
        <v>159965</v>
      </c>
      <c r="U485" s="6">
        <f>IFERROR((Table7[[#This Row],[Stock In(Total)]]+Table7[[#This Row],[In Stock or Remaining]])/2,"-")</f>
        <v>87.5</v>
      </c>
      <c r="V485" s="93">
        <f>IFERROR(Table7[[#This Row],[Stock_Out]]/Table7[[#This Row],[Avg Inventory]],"-")</f>
        <v>1.3142857142857143</v>
      </c>
      <c r="W485" s="6"/>
      <c r="X485" s="6"/>
      <c r="Y485" s="6"/>
      <c r="Z485" s="6"/>
      <c r="AA485" s="6"/>
      <c r="AB485" s="6"/>
      <c r="AC485" s="6"/>
      <c r="AD485" s="6"/>
      <c r="AE485" s="6"/>
      <c r="AF485" s="6"/>
      <c r="AG485" s="6"/>
      <c r="AH485" s="6"/>
      <c r="AI485" s="6"/>
      <c r="AJ485" s="6"/>
      <c r="AK485" s="6"/>
      <c r="AL485" t="s">
        <v>288</v>
      </c>
      <c r="AM485">
        <v>45589</v>
      </c>
      <c r="AN485" t="s">
        <v>30</v>
      </c>
      <c r="AO485" t="s">
        <v>17</v>
      </c>
      <c r="AP485" t="s">
        <v>33</v>
      </c>
      <c r="AQ485">
        <v>48</v>
      </c>
      <c r="AR485">
        <v>37</v>
      </c>
      <c r="AS485">
        <v>85</v>
      </c>
      <c r="AT485">
        <v>260</v>
      </c>
      <c r="AU485">
        <v>31</v>
      </c>
      <c r="AV485">
        <v>15</v>
      </c>
      <c r="AW485">
        <v>880</v>
      </c>
      <c r="AX485">
        <v>1337</v>
      </c>
      <c r="AY485">
        <v>0.43529411764705883</v>
      </c>
      <c r="AZ485">
        <v>0.43529411764705883</v>
      </c>
      <c r="BA485">
        <v>48</v>
      </c>
      <c r="BB485">
        <v>42240</v>
      </c>
      <c r="BC485" t="s">
        <v>551</v>
      </c>
      <c r="BD485" t="s">
        <v>565</v>
      </c>
      <c r="BE485">
        <v>49469</v>
      </c>
    </row>
    <row r="486" spans="1:57" x14ac:dyDescent="0.3">
      <c r="A486" s="38" t="s">
        <v>222</v>
      </c>
      <c r="B486" s="39">
        <v>45610</v>
      </c>
      <c r="C486" s="38" t="s">
        <v>37</v>
      </c>
      <c r="D486" s="38" t="s">
        <v>13</v>
      </c>
      <c r="E486" s="38" t="s">
        <v>21</v>
      </c>
      <c r="F486" s="40">
        <v>68</v>
      </c>
      <c r="G486" s="38">
        <v>95</v>
      </c>
      <c r="H486" s="38">
        <f>IFERROR('Automated raw'!$F192+'Automated raw'!$G192,"-")</f>
        <v>230</v>
      </c>
      <c r="I486" s="38">
        <v>106</v>
      </c>
      <c r="J486" s="38">
        <v>35</v>
      </c>
      <c r="K486" s="38">
        <v>4</v>
      </c>
      <c r="L486" s="38">
        <v>1076</v>
      </c>
      <c r="M486" s="38">
        <v>2064</v>
      </c>
      <c r="N486" s="38">
        <f>'Automated raw'!$G192/'Automated raw'!$H192</f>
        <v>0.61073825503355705</v>
      </c>
      <c r="O486" s="41">
        <f>IFERROR('Automated raw'!$G192/'Automated raw'!$H192,"incomplete")</f>
        <v>0.61073825503355705</v>
      </c>
      <c r="P486" s="38">
        <f>'Automated raw'!$F192</f>
        <v>139</v>
      </c>
      <c r="Q486" s="42">
        <f>IFERROR('Automated raw'!$P192*'Automated raw'!$L192,0)</f>
        <v>78246</v>
      </c>
      <c r="R486" s="38" t="str">
        <f>IF('Automated raw'!$O192&gt;=60%,"High",IF('Automated raw'!$O192&gt;=30%,"Avg",IF('Automated raw'!$O192&lt;30%,"Dead Stock","Incomplete")))</f>
        <v>Avg</v>
      </c>
      <c r="S486" s="43" t="str">
        <f>TEXT('Automated raw'!$B192,"mmm")</f>
        <v>Feb</v>
      </c>
      <c r="T486" s="82">
        <f>'Automated raw'!$G192*'Automated raw'!$M192</f>
        <v>136318</v>
      </c>
      <c r="U486" s="6">
        <f>IFERROR((Table7[[#This Row],[Stock In(Total)]]+Table7[[#This Row],[In Stock or Remaining]])/2,"-")</f>
        <v>149</v>
      </c>
      <c r="V486" s="93">
        <f>IFERROR(Table7[[#This Row],[Stock_Out]]/Table7[[#This Row],[Avg Inventory]],"-")</f>
        <v>0.63758389261744963</v>
      </c>
      <c r="W486" s="6"/>
      <c r="X486" s="6"/>
      <c r="Y486" s="6"/>
      <c r="Z486" s="6"/>
      <c r="AA486" s="6"/>
      <c r="AB486" s="6"/>
      <c r="AC486" s="6"/>
      <c r="AD486" s="6"/>
      <c r="AE486" s="6"/>
      <c r="AF486" s="6"/>
      <c r="AG486" s="6"/>
      <c r="AH486" s="6"/>
      <c r="AI486" s="6"/>
      <c r="AJ486" s="6"/>
      <c r="AK486" s="6"/>
      <c r="AL486" t="s">
        <v>290</v>
      </c>
      <c r="AM486">
        <v>45296</v>
      </c>
      <c r="AN486" t="s">
        <v>26</v>
      </c>
      <c r="AO486" t="s">
        <v>20</v>
      </c>
      <c r="AP486" t="s">
        <v>38</v>
      </c>
      <c r="AQ486">
        <v>58</v>
      </c>
      <c r="AR486">
        <v>46</v>
      </c>
      <c r="AS486">
        <v>104</v>
      </c>
      <c r="AT486">
        <v>142</v>
      </c>
      <c r="AU486">
        <v>62</v>
      </c>
      <c r="AV486">
        <v>5</v>
      </c>
      <c r="AW486">
        <v>1673</v>
      </c>
      <c r="AX486">
        <v>2127</v>
      </c>
      <c r="AY486">
        <v>0.44230769230769229</v>
      </c>
      <c r="AZ486">
        <v>0.44230769230769229</v>
      </c>
      <c r="BA486">
        <v>58</v>
      </c>
      <c r="BB486">
        <v>97034</v>
      </c>
      <c r="BC486" t="s">
        <v>551</v>
      </c>
      <c r="BD486" t="s">
        <v>557</v>
      </c>
      <c r="BE486">
        <v>97842</v>
      </c>
    </row>
    <row r="487" spans="1:57" x14ac:dyDescent="0.3">
      <c r="A487" s="44" t="s">
        <v>520</v>
      </c>
      <c r="B487" s="45">
        <v>45513</v>
      </c>
      <c r="C487" s="44" t="s">
        <v>26</v>
      </c>
      <c r="D487" s="44" t="s">
        <v>13</v>
      </c>
      <c r="E487" s="44" t="s">
        <v>21</v>
      </c>
      <c r="F487" s="40">
        <v>99</v>
      </c>
      <c r="G487" s="44">
        <v>34</v>
      </c>
      <c r="H487" s="44">
        <f>IFERROR('Automated raw'!$F487+'Automated raw'!$G487,"-")</f>
        <v>133</v>
      </c>
      <c r="I487" s="44">
        <v>129</v>
      </c>
      <c r="J487" s="44">
        <v>77</v>
      </c>
      <c r="K487" s="44">
        <v>2</v>
      </c>
      <c r="L487" s="44">
        <v>1818</v>
      </c>
      <c r="M487" s="44">
        <v>2883</v>
      </c>
      <c r="N487" s="44">
        <f>'Automated raw'!$G487/'Automated raw'!$H487</f>
        <v>0.25563909774436089</v>
      </c>
      <c r="O487" s="46">
        <f>IFERROR('Automated raw'!$G487/'Automated raw'!$H487,"incomplete")</f>
        <v>0.25563909774436089</v>
      </c>
      <c r="P487" s="44">
        <f>'Automated raw'!$F487</f>
        <v>99</v>
      </c>
      <c r="Q487" s="47">
        <f>IFERROR('Automated raw'!$P487*'Automated raw'!$L487,0)</f>
        <v>179982</v>
      </c>
      <c r="R487" s="44" t="str">
        <f>IF('Automated raw'!$O487&gt;=60%,"High",IF('Automated raw'!$O487&gt;=30%,"Avg",IF('Automated raw'!$O487&lt;30%,"Dead Stock","Incomplete")))</f>
        <v>Dead Stock</v>
      </c>
      <c r="S487" s="48" t="str">
        <f>TEXT('Automated raw'!$B487,"mmm")</f>
        <v>Aug</v>
      </c>
      <c r="T487" s="83">
        <f>'Automated raw'!$G487*'Automated raw'!$M487</f>
        <v>98022</v>
      </c>
      <c r="U487" s="6">
        <f>IFERROR((Table7[[#This Row],[Stock In(Total)]]+Table7[[#This Row],[In Stock or Remaining]])/2,"-")</f>
        <v>116</v>
      </c>
      <c r="V487" s="93">
        <f>IFERROR(Table7[[#This Row],[Stock_Out]]/Table7[[#This Row],[Avg Inventory]],"-")</f>
        <v>0.29310344827586204</v>
      </c>
      <c r="W487" s="6"/>
      <c r="X487" s="6"/>
      <c r="Y487" s="6"/>
      <c r="Z487" s="6"/>
      <c r="AA487" s="6"/>
      <c r="AB487" s="6"/>
      <c r="AC487" s="6"/>
      <c r="AD487" s="6"/>
      <c r="AE487" s="6"/>
      <c r="AF487" s="6"/>
      <c r="AG487" s="6"/>
      <c r="AH487" s="6"/>
      <c r="AI487" s="6"/>
      <c r="AJ487" s="6"/>
      <c r="AK487" s="6"/>
      <c r="AL487" t="s">
        <v>291</v>
      </c>
      <c r="AM487">
        <v>45312</v>
      </c>
      <c r="AN487" t="s">
        <v>26</v>
      </c>
      <c r="AO487" t="s">
        <v>13</v>
      </c>
      <c r="AP487" t="s">
        <v>21</v>
      </c>
      <c r="AQ487">
        <v>61</v>
      </c>
      <c r="AR487">
        <v>34</v>
      </c>
      <c r="AS487">
        <v>95</v>
      </c>
      <c r="AT487">
        <v>133</v>
      </c>
      <c r="AU487">
        <v>49</v>
      </c>
      <c r="AV487">
        <v>2</v>
      </c>
      <c r="AW487">
        <v>377</v>
      </c>
      <c r="AX487">
        <v>1122</v>
      </c>
      <c r="AY487">
        <v>0.35789473684210527</v>
      </c>
      <c r="AZ487">
        <v>0.35789473684210527</v>
      </c>
      <c r="BA487">
        <v>61</v>
      </c>
      <c r="BB487">
        <v>22997</v>
      </c>
      <c r="BC487" t="s">
        <v>551</v>
      </c>
      <c r="BD487" t="s">
        <v>557</v>
      </c>
      <c r="BE487">
        <v>38148</v>
      </c>
    </row>
    <row r="488" spans="1:57" x14ac:dyDescent="0.3">
      <c r="A488" s="38" t="s">
        <v>531</v>
      </c>
      <c r="B488" s="39">
        <v>45530</v>
      </c>
      <c r="C488" s="38" t="s">
        <v>26</v>
      </c>
      <c r="D488" s="38" t="s">
        <v>17</v>
      </c>
      <c r="E488" s="38" t="s">
        <v>38</v>
      </c>
      <c r="F488" s="40">
        <v>16</v>
      </c>
      <c r="G488" s="38">
        <v>23</v>
      </c>
      <c r="H488" s="38">
        <f>IFERROR('Automated raw'!$F498+'Automated raw'!$G498,"-")</f>
        <v>144</v>
      </c>
      <c r="I488" s="38">
        <v>154</v>
      </c>
      <c r="J488" s="38">
        <v>59</v>
      </c>
      <c r="K488" s="38">
        <v>11</v>
      </c>
      <c r="L488" s="38">
        <v>923</v>
      </c>
      <c r="M488" s="38">
        <v>1291</v>
      </c>
      <c r="N488" s="38">
        <f>'Automated raw'!$G498/'Automated raw'!$H498</f>
        <v>0.41148325358851673</v>
      </c>
      <c r="O488" s="41">
        <f>IFERROR('Automated raw'!$G498/'Automated raw'!$H498,"incomplete")</f>
        <v>0.41148325358851673</v>
      </c>
      <c r="P488" s="38">
        <f>'Automated raw'!$F498</f>
        <v>58</v>
      </c>
      <c r="Q488" s="42">
        <f>IFERROR('Automated raw'!$P498*'Automated raw'!$L498,0)</f>
        <v>148248</v>
      </c>
      <c r="R488" s="38" t="str">
        <f>IF('Automated raw'!$O498&gt;=60%,"High",IF('Automated raw'!$O498&gt;=30%,"Avg",IF('Automated raw'!$O498&lt;30%,"Dead Stock","Incomplete")))</f>
        <v>High</v>
      </c>
      <c r="S488" s="43" t="str">
        <f>TEXT('Automated raw'!$B498,"mmm")</f>
        <v>Feb</v>
      </c>
      <c r="T488" s="82">
        <f>'Automated raw'!$G498*'Automated raw'!$M498</f>
        <v>172602</v>
      </c>
      <c r="U488" s="6">
        <f>IFERROR((Table7[[#This Row],[Stock In(Total)]]+Table7[[#This Row],[In Stock or Remaining]])/2,"-")</f>
        <v>80</v>
      </c>
      <c r="V488" s="93">
        <f>IFERROR(Table7[[#This Row],[Stock_Out]]/Table7[[#This Row],[Avg Inventory]],"-")</f>
        <v>0.28749999999999998</v>
      </c>
      <c r="W488" s="6"/>
      <c r="X488" s="6"/>
      <c r="Y488" s="6"/>
      <c r="Z488" s="6"/>
      <c r="AA488" s="6"/>
      <c r="AB488" s="6"/>
      <c r="AC488" s="6"/>
      <c r="AD488" s="6"/>
      <c r="AE488" s="6"/>
      <c r="AF488" s="6"/>
      <c r="AG488" s="6"/>
      <c r="AH488" s="6"/>
      <c r="AI488" s="6"/>
      <c r="AJ488" s="6"/>
      <c r="AK488" s="6"/>
      <c r="AL488" t="s">
        <v>293</v>
      </c>
      <c r="AM488">
        <v>45618</v>
      </c>
      <c r="AN488" t="s">
        <v>157</v>
      </c>
      <c r="AO488" t="s">
        <v>20</v>
      </c>
      <c r="AP488" t="s">
        <v>21</v>
      </c>
      <c r="AQ488">
        <v>104</v>
      </c>
      <c r="AR488">
        <v>63</v>
      </c>
      <c r="AS488">
        <v>167</v>
      </c>
      <c r="AT488">
        <v>222</v>
      </c>
      <c r="AU488">
        <v>40</v>
      </c>
      <c r="AV488">
        <v>13</v>
      </c>
      <c r="AW488">
        <v>1716</v>
      </c>
      <c r="AX488">
        <v>2288</v>
      </c>
      <c r="AY488">
        <v>0.3772455089820359</v>
      </c>
      <c r="AZ488">
        <v>0.3772455089820359</v>
      </c>
      <c r="BA488">
        <v>104</v>
      </c>
      <c r="BB488">
        <v>178464</v>
      </c>
      <c r="BC488" t="s">
        <v>551</v>
      </c>
      <c r="BD488" t="s">
        <v>564</v>
      </c>
      <c r="BE488">
        <v>144144</v>
      </c>
    </row>
    <row r="489" spans="1:57" x14ac:dyDescent="0.3">
      <c r="A489" s="44" t="s">
        <v>522</v>
      </c>
      <c r="B489" s="45">
        <v>45345</v>
      </c>
      <c r="C489" s="44" t="s">
        <v>30</v>
      </c>
      <c r="D489" s="44" t="s">
        <v>13</v>
      </c>
      <c r="E489" s="44" t="s">
        <v>14</v>
      </c>
      <c r="F489" s="40">
        <v>49</v>
      </c>
      <c r="G489" s="44">
        <v>4</v>
      </c>
      <c r="H489" s="44">
        <f>IFERROR('Automated raw'!$F489+'Automated raw'!$G489,"-")</f>
        <v>53</v>
      </c>
      <c r="I489" s="44">
        <v>283</v>
      </c>
      <c r="J489" s="44">
        <v>64</v>
      </c>
      <c r="K489" s="44">
        <v>6</v>
      </c>
      <c r="L489" s="44">
        <v>1143</v>
      </c>
      <c r="M489" s="44">
        <v>2543</v>
      </c>
      <c r="N489" s="44">
        <f>'Automated raw'!$G489/'Automated raw'!$H489</f>
        <v>7.5471698113207544E-2</v>
      </c>
      <c r="O489" s="46">
        <f>IFERROR('Automated raw'!$G489/'Automated raw'!$H489,"incomplete")</f>
        <v>7.5471698113207544E-2</v>
      </c>
      <c r="P489" s="44">
        <f>'Automated raw'!$F489</f>
        <v>49</v>
      </c>
      <c r="Q489" s="47">
        <f>IFERROR('Automated raw'!$P489*'Automated raw'!$L489,0)</f>
        <v>56007</v>
      </c>
      <c r="R489" s="44" t="str">
        <f>IF('Automated raw'!$O489&gt;=60%,"High",IF('Automated raw'!$O489&gt;=30%,"Avg",IF('Automated raw'!$O489&lt;30%,"Dead Stock","Incomplete")))</f>
        <v>Dead Stock</v>
      </c>
      <c r="S489" s="48" t="str">
        <f>TEXT('Automated raw'!$B489,"mmm")</f>
        <v>Feb</v>
      </c>
      <c r="T489" s="83">
        <f>'Automated raw'!$G489*'Automated raw'!$M489</f>
        <v>10172</v>
      </c>
      <c r="U489" s="6">
        <f>IFERROR((Table7[[#This Row],[Stock In(Total)]]+Table7[[#This Row],[In Stock or Remaining]])/2,"-")</f>
        <v>51</v>
      </c>
      <c r="V489" s="93">
        <f>IFERROR(Table7[[#This Row],[Stock_Out]]/Table7[[#This Row],[Avg Inventory]],"-")</f>
        <v>7.8431372549019607E-2</v>
      </c>
      <c r="W489" s="6"/>
      <c r="X489" s="6"/>
      <c r="Y489" s="6"/>
      <c r="Z489" s="6"/>
      <c r="AA489" s="6"/>
      <c r="AB489" s="6"/>
      <c r="AC489" s="6"/>
      <c r="AD489" s="6"/>
      <c r="AE489" s="6"/>
      <c r="AF489" s="6"/>
      <c r="AG489" s="6"/>
      <c r="AH489" s="6"/>
      <c r="AI489" s="6"/>
      <c r="AJ489" s="6"/>
      <c r="AK489" s="6"/>
      <c r="AL489" t="s">
        <v>294</v>
      </c>
      <c r="AM489">
        <v>45536</v>
      </c>
      <c r="AN489" t="s">
        <v>30</v>
      </c>
      <c r="AO489" t="s">
        <v>17</v>
      </c>
      <c r="AP489" t="s">
        <v>33</v>
      </c>
      <c r="AQ489">
        <v>98</v>
      </c>
      <c r="AR489">
        <v>117</v>
      </c>
      <c r="AS489">
        <v>215</v>
      </c>
      <c r="AT489">
        <v>56</v>
      </c>
      <c r="AU489">
        <v>48</v>
      </c>
      <c r="AV489">
        <v>4</v>
      </c>
      <c r="AW489">
        <v>1541</v>
      </c>
      <c r="AX489">
        <v>3023</v>
      </c>
      <c r="AY489">
        <v>0.54418604651162794</v>
      </c>
      <c r="AZ489">
        <v>0.54418604651162794</v>
      </c>
      <c r="BA489">
        <v>98</v>
      </c>
      <c r="BB489">
        <v>151018</v>
      </c>
      <c r="BC489" t="s">
        <v>551</v>
      </c>
      <c r="BD489" t="s">
        <v>560</v>
      </c>
      <c r="BE489" s="5">
        <v>353691</v>
      </c>
    </row>
    <row r="490" spans="1:57" x14ac:dyDescent="0.3">
      <c r="A490" s="38" t="s">
        <v>40</v>
      </c>
      <c r="B490" s="39">
        <v>45293</v>
      </c>
      <c r="C490" s="38" t="s">
        <v>16</v>
      </c>
      <c r="D490" s="38" t="s">
        <v>17</v>
      </c>
      <c r="E490" s="38" t="s">
        <v>38</v>
      </c>
      <c r="F490" s="40">
        <v>79</v>
      </c>
      <c r="G490" s="38">
        <v>114</v>
      </c>
      <c r="H490" s="38">
        <f>IFERROR('Automated raw'!$F16+'Automated raw'!$G16,"-")</f>
        <v>167</v>
      </c>
      <c r="I490" s="38">
        <v>24</v>
      </c>
      <c r="J490" s="38">
        <v>36</v>
      </c>
      <c r="K490" s="38">
        <v>6</v>
      </c>
      <c r="L490" s="38">
        <v>416</v>
      </c>
      <c r="M490" s="38">
        <v>1455</v>
      </c>
      <c r="N490" s="38">
        <f>'Automated raw'!$G16/'Automated raw'!$H16</f>
        <v>0.21982758620689655</v>
      </c>
      <c r="O490" s="41">
        <f>IFERROR('Automated raw'!$G16/'Automated raw'!$H16,"incomplete")</f>
        <v>0.21982758620689655</v>
      </c>
      <c r="P490" s="38">
        <f>'Automated raw'!$F16</f>
        <v>116</v>
      </c>
      <c r="Q490" s="42">
        <f>IFERROR('Automated raw'!$P16*'Automated raw'!$L16,0)</f>
        <v>87975</v>
      </c>
      <c r="R490" s="38" t="str">
        <f>IF('Automated raw'!$O16&gt;=60%,"High",IF('Automated raw'!$O16&gt;=30%,"Avg",IF('Automated raw'!$O16&lt;30%,"Dead Stock","Incomplete")))</f>
        <v>High</v>
      </c>
      <c r="S490" s="43" t="str">
        <f>TEXT('Automated raw'!$B16,"mmm")</f>
        <v>Jul</v>
      </c>
      <c r="T490" s="82">
        <f>'Automated raw'!$G16*'Automated raw'!$M16</f>
        <v>111792</v>
      </c>
      <c r="U490" s="6">
        <f>IFERROR((Table7[[#This Row],[Stock In(Total)]]+Table7[[#This Row],[In Stock or Remaining]])/2,"-")</f>
        <v>123</v>
      </c>
      <c r="V490" s="93">
        <f>IFERROR(Table7[[#This Row],[Stock_Out]]/Table7[[#This Row],[Avg Inventory]],"-")</f>
        <v>0.92682926829268297</v>
      </c>
      <c r="W490" s="6"/>
      <c r="X490" s="6"/>
      <c r="Y490" s="6"/>
      <c r="Z490" s="6"/>
      <c r="AA490" s="6"/>
      <c r="AB490" s="6"/>
      <c r="AC490" s="6"/>
      <c r="AD490" s="6"/>
      <c r="AE490" s="6"/>
      <c r="AF490" s="6"/>
      <c r="AG490" s="6"/>
      <c r="AH490" s="6"/>
      <c r="AI490" s="6"/>
      <c r="AJ490" s="6"/>
      <c r="AK490" s="6"/>
      <c r="AL490" t="s">
        <v>297</v>
      </c>
      <c r="AM490">
        <v>45303</v>
      </c>
      <c r="AN490" t="s">
        <v>53</v>
      </c>
      <c r="AO490" t="s">
        <v>20</v>
      </c>
      <c r="AP490" t="s">
        <v>14</v>
      </c>
      <c r="AQ490">
        <v>108</v>
      </c>
      <c r="AR490">
        <v>117</v>
      </c>
      <c r="AS490">
        <v>225</v>
      </c>
      <c r="AT490">
        <v>104</v>
      </c>
      <c r="AU490">
        <v>57</v>
      </c>
      <c r="AV490">
        <v>2</v>
      </c>
      <c r="AW490">
        <v>1220</v>
      </c>
      <c r="AX490">
        <v>2236</v>
      </c>
      <c r="AY490">
        <v>0.52</v>
      </c>
      <c r="AZ490">
        <v>0.52</v>
      </c>
      <c r="BA490">
        <v>108</v>
      </c>
      <c r="BB490">
        <v>131760</v>
      </c>
      <c r="BC490" t="s">
        <v>551</v>
      </c>
      <c r="BD490" t="s">
        <v>557</v>
      </c>
      <c r="BE490" s="5">
        <v>261612</v>
      </c>
    </row>
    <row r="491" spans="1:57" x14ac:dyDescent="0.3">
      <c r="A491" s="44" t="s">
        <v>524</v>
      </c>
      <c r="B491" s="45">
        <v>45543</v>
      </c>
      <c r="C491" s="44" t="s">
        <v>12</v>
      </c>
      <c r="D491" s="44" t="s">
        <v>17</v>
      </c>
      <c r="E491" s="44" t="s">
        <v>14</v>
      </c>
      <c r="F491" s="40">
        <v>112</v>
      </c>
      <c r="G491" s="44">
        <v>42</v>
      </c>
      <c r="H491" s="44">
        <f>IFERROR('Automated raw'!$F491+'Automated raw'!$G491,"-")</f>
        <v>154</v>
      </c>
      <c r="I491" s="44">
        <v>223</v>
      </c>
      <c r="J491" s="44">
        <v>66</v>
      </c>
      <c r="K491" s="44">
        <v>6</v>
      </c>
      <c r="L491" s="44">
        <v>907</v>
      </c>
      <c r="M491" s="44">
        <v>2130</v>
      </c>
      <c r="N491" s="44">
        <f>'Automated raw'!$G491/'Automated raw'!$H491</f>
        <v>0.27272727272727271</v>
      </c>
      <c r="O491" s="46">
        <f>IFERROR('Automated raw'!$G491/'Automated raw'!$H491,"incomplete")</f>
        <v>0.27272727272727271</v>
      </c>
      <c r="P491" s="44">
        <f>'Automated raw'!$F491</f>
        <v>112</v>
      </c>
      <c r="Q491" s="47">
        <f>IFERROR('Automated raw'!$P491*'Automated raw'!$L491,0)</f>
        <v>101584</v>
      </c>
      <c r="R491" s="44" t="str">
        <f>IF('Automated raw'!$O491&gt;=60%,"High",IF('Automated raw'!$O491&gt;=30%,"Avg",IF('Automated raw'!$O491&lt;30%,"Dead Stock","Incomplete")))</f>
        <v>Dead Stock</v>
      </c>
      <c r="S491" s="48" t="str">
        <f>TEXT('Automated raw'!$B491,"mmm")</f>
        <v>Sep</v>
      </c>
      <c r="T491" s="83">
        <f>'Automated raw'!$G491*'Automated raw'!$M491</f>
        <v>89460</v>
      </c>
      <c r="U491" s="6">
        <f>IFERROR((Table7[[#This Row],[Stock In(Total)]]+Table7[[#This Row],[In Stock or Remaining]])/2,"-")</f>
        <v>133</v>
      </c>
      <c r="V491" s="93">
        <f>IFERROR(Table7[[#This Row],[Stock_Out]]/Table7[[#This Row],[Avg Inventory]],"-")</f>
        <v>0.31578947368421051</v>
      </c>
      <c r="W491" s="6"/>
      <c r="X491" s="6"/>
      <c r="Y491" s="6"/>
      <c r="Z491" s="6"/>
      <c r="AA491" s="6"/>
      <c r="AB491" s="6"/>
      <c r="AC491" s="6"/>
      <c r="AD491" s="6"/>
      <c r="AE491" s="6"/>
      <c r="AF491" s="6"/>
      <c r="AG491" s="6"/>
      <c r="AH491" s="6"/>
      <c r="AI491" s="6"/>
      <c r="AJ491" s="6"/>
      <c r="AK491" s="6"/>
      <c r="AL491" t="s">
        <v>299</v>
      </c>
      <c r="AM491">
        <v>45494</v>
      </c>
      <c r="AN491" t="s">
        <v>26</v>
      </c>
      <c r="AO491" t="s">
        <v>13</v>
      </c>
      <c r="AP491" t="s">
        <v>14</v>
      </c>
      <c r="AQ491">
        <v>106</v>
      </c>
      <c r="AR491">
        <v>50</v>
      </c>
      <c r="AS491">
        <v>156</v>
      </c>
      <c r="AT491">
        <v>111</v>
      </c>
      <c r="AU491">
        <v>43</v>
      </c>
      <c r="AV491">
        <v>2</v>
      </c>
      <c r="AW491">
        <v>1368</v>
      </c>
      <c r="AX491">
        <v>1744</v>
      </c>
      <c r="AY491">
        <v>0.32051282051282054</v>
      </c>
      <c r="AZ491">
        <v>0.32051282051282054</v>
      </c>
      <c r="BA491">
        <v>106</v>
      </c>
      <c r="BB491">
        <v>145008</v>
      </c>
      <c r="BC491" t="s">
        <v>551</v>
      </c>
      <c r="BD491" t="s">
        <v>556</v>
      </c>
      <c r="BE491">
        <v>87200</v>
      </c>
    </row>
    <row r="492" spans="1:57" x14ac:dyDescent="0.3">
      <c r="A492" s="44" t="s">
        <v>496</v>
      </c>
      <c r="B492" s="45">
        <v>45312</v>
      </c>
      <c r="C492" s="44" t="s">
        <v>329</v>
      </c>
      <c r="D492" s="44" t="s">
        <v>20</v>
      </c>
      <c r="E492" s="44" t="s">
        <v>38</v>
      </c>
      <c r="F492" s="40">
        <v>72</v>
      </c>
      <c r="G492" s="44">
        <v>104</v>
      </c>
      <c r="H492" s="44">
        <f>IFERROR('Automated raw'!$F463+'Automated raw'!$G463,"-")</f>
        <v>89</v>
      </c>
      <c r="I492" s="44">
        <v>1</v>
      </c>
      <c r="J492" s="44">
        <v>47</v>
      </c>
      <c r="K492" s="44">
        <v>13</v>
      </c>
      <c r="L492" s="44">
        <v>559</v>
      </c>
      <c r="M492" s="44">
        <v>1119</v>
      </c>
      <c r="N492" s="44">
        <f>'Automated raw'!$G463/'Automated raw'!$H463</f>
        <v>0.83333333333333337</v>
      </c>
      <c r="O492" s="46">
        <f>IFERROR('Automated raw'!$G463/'Automated raw'!$H463,"incomplete")</f>
        <v>0.83333333333333337</v>
      </c>
      <c r="P492" s="44">
        <f>'Automated raw'!$F463</f>
        <v>39</v>
      </c>
      <c r="Q492" s="47">
        <f>IFERROR('Automated raw'!$P463*'Automated raw'!$L463,0)</f>
        <v>65626</v>
      </c>
      <c r="R492" s="44" t="str">
        <f>IF('Automated raw'!$O463&gt;=60%,"High",IF('Automated raw'!$O463&gt;=30%,"Avg",IF('Automated raw'!$O463&lt;30%,"Dead Stock","Incomplete")))</f>
        <v>Dead Stock</v>
      </c>
      <c r="S492" s="48" t="str">
        <f>TEXT('Automated raw'!$B463,"mmm")</f>
        <v>Aug</v>
      </c>
      <c r="T492" s="83">
        <f>'Automated raw'!$G463*'Automated raw'!$M463</f>
        <v>138100</v>
      </c>
      <c r="U492" s="6">
        <f>IFERROR((Table7[[#This Row],[Stock In(Total)]]+Table7[[#This Row],[In Stock or Remaining]])/2,"-")</f>
        <v>80.5</v>
      </c>
      <c r="V492" s="93">
        <f>IFERROR(Table7[[#This Row],[Stock_Out]]/Table7[[#This Row],[Avg Inventory]],"-")</f>
        <v>1.2919254658385093</v>
      </c>
      <c r="W492" s="6"/>
      <c r="X492" s="6"/>
      <c r="Y492" s="6"/>
      <c r="Z492" s="6"/>
      <c r="AA492" s="6"/>
      <c r="AB492" s="6"/>
      <c r="AC492" s="6"/>
      <c r="AD492" s="6"/>
      <c r="AE492" s="6"/>
      <c r="AF492" s="6"/>
      <c r="AG492" s="6"/>
      <c r="AH492" s="6"/>
      <c r="AI492" s="6"/>
      <c r="AJ492" s="6"/>
      <c r="AK492" s="6"/>
      <c r="AL492" t="s">
        <v>300</v>
      </c>
      <c r="AM492">
        <v>45546</v>
      </c>
      <c r="AN492" t="s">
        <v>45</v>
      </c>
      <c r="AO492" t="s">
        <v>17</v>
      </c>
      <c r="AP492" t="s">
        <v>21</v>
      </c>
      <c r="AQ492">
        <v>123</v>
      </c>
      <c r="AR492">
        <v>82</v>
      </c>
      <c r="AS492">
        <v>205</v>
      </c>
      <c r="AT492">
        <v>226</v>
      </c>
      <c r="AU492">
        <v>71</v>
      </c>
      <c r="AV492">
        <v>2</v>
      </c>
      <c r="AW492">
        <v>1410</v>
      </c>
      <c r="AX492">
        <v>2347</v>
      </c>
      <c r="AY492">
        <v>0.4</v>
      </c>
      <c r="AZ492">
        <v>0.4</v>
      </c>
      <c r="BA492">
        <v>123</v>
      </c>
      <c r="BB492">
        <v>173430</v>
      </c>
      <c r="BC492" t="s">
        <v>551</v>
      </c>
      <c r="BD492" t="s">
        <v>560</v>
      </c>
      <c r="BE492">
        <v>192454</v>
      </c>
    </row>
    <row r="493" spans="1:57" x14ac:dyDescent="0.3">
      <c r="A493" s="44" t="s">
        <v>104</v>
      </c>
      <c r="B493" s="45">
        <v>45364</v>
      </c>
      <c r="C493" s="44" t="s">
        <v>12</v>
      </c>
      <c r="D493" s="44" t="s">
        <v>17</v>
      </c>
      <c r="E493" s="44" t="s">
        <v>38</v>
      </c>
      <c r="F493" s="40">
        <v>58</v>
      </c>
      <c r="G493" s="44">
        <v>84</v>
      </c>
      <c r="H493" s="44">
        <f>IFERROR('Automated raw'!$F77+'Automated raw'!$G77,"-")</f>
        <v>198</v>
      </c>
      <c r="I493" s="44">
        <v>258</v>
      </c>
      <c r="J493" s="44">
        <v>66</v>
      </c>
      <c r="K493" s="44">
        <v>13</v>
      </c>
      <c r="L493" s="44">
        <v>252</v>
      </c>
      <c r="M493" s="44">
        <v>1275</v>
      </c>
      <c r="N493" s="44">
        <f>'Automated raw'!$G77/'Automated raw'!$H77</f>
        <v>0.37777777777777777</v>
      </c>
      <c r="O493" s="46">
        <f>IFERROR('Automated raw'!$G77/'Automated raw'!$H77,"incomplete")</f>
        <v>0.37777777777777777</v>
      </c>
      <c r="P493" s="44">
        <f>'Automated raw'!$F77</f>
        <v>130</v>
      </c>
      <c r="Q493" s="47">
        <f>IFERROR('Automated raw'!$P77*'Automated raw'!$L77,0)</f>
        <v>102188</v>
      </c>
      <c r="R493" s="44" t="str">
        <f>IF('Automated raw'!$O77&gt;=60%,"High",IF('Automated raw'!$O77&gt;=30%,"Avg",IF('Automated raw'!$O77&lt;30%,"Dead Stock","Incomplete")))</f>
        <v>Avg</v>
      </c>
      <c r="S493" s="48" t="str">
        <f>TEXT('Automated raw'!$B77,"mmm")</f>
        <v>Aug</v>
      </c>
      <c r="T493" s="83">
        <f>'Automated raw'!$G77*'Automated raw'!$M77</f>
        <v>154768</v>
      </c>
      <c r="U493" s="6">
        <f>IFERROR((Table7[[#This Row],[Stock In(Total)]]+Table7[[#This Row],[In Stock or Remaining]])/2,"-")</f>
        <v>128</v>
      </c>
      <c r="V493" s="93">
        <f>IFERROR(Table7[[#This Row],[Stock_Out]]/Table7[[#This Row],[Avg Inventory]],"-")</f>
        <v>0.65625</v>
      </c>
      <c r="W493" s="6"/>
      <c r="X493" s="6"/>
      <c r="Y493" s="6"/>
      <c r="Z493" s="6"/>
      <c r="AA493" s="6"/>
      <c r="AB493" s="6"/>
      <c r="AC493" s="6"/>
      <c r="AD493" s="6"/>
      <c r="AE493" s="6"/>
      <c r="AF493" s="6"/>
      <c r="AG493" s="6"/>
      <c r="AH493" s="6"/>
      <c r="AI493" s="6"/>
      <c r="AJ493" s="6"/>
      <c r="AK493" s="6"/>
      <c r="AL493" t="s">
        <v>301</v>
      </c>
      <c r="AM493">
        <v>45410</v>
      </c>
      <c r="AN493" t="s">
        <v>16</v>
      </c>
      <c r="AO493" t="s">
        <v>17</v>
      </c>
      <c r="AP493" t="s">
        <v>21</v>
      </c>
      <c r="AQ493">
        <v>98</v>
      </c>
      <c r="AR493">
        <v>55</v>
      </c>
      <c r="AS493">
        <v>153</v>
      </c>
      <c r="AT493">
        <v>236</v>
      </c>
      <c r="AU493">
        <v>49</v>
      </c>
      <c r="AV493">
        <v>8</v>
      </c>
      <c r="AW493">
        <v>1162</v>
      </c>
      <c r="AX493">
        <v>2008</v>
      </c>
      <c r="AY493">
        <v>0.35947712418300654</v>
      </c>
      <c r="AZ493">
        <v>0.35947712418300654</v>
      </c>
      <c r="BA493">
        <v>98</v>
      </c>
      <c r="BB493">
        <v>113876</v>
      </c>
      <c r="BC493" t="s">
        <v>551</v>
      </c>
      <c r="BD493" t="s">
        <v>558</v>
      </c>
      <c r="BE493">
        <v>110440</v>
      </c>
    </row>
    <row r="494" spans="1:57" x14ac:dyDescent="0.3">
      <c r="A494" s="38" t="s">
        <v>200</v>
      </c>
      <c r="B494" s="39">
        <v>45612</v>
      </c>
      <c r="C494" s="38" t="s">
        <v>12</v>
      </c>
      <c r="D494" s="38" t="s">
        <v>13</v>
      </c>
      <c r="E494" s="38" t="s">
        <v>21</v>
      </c>
      <c r="F494" s="40">
        <v>51</v>
      </c>
      <c r="G494" s="38">
        <v>74</v>
      </c>
      <c r="H494" s="38">
        <f>IFERROR('Automated raw'!$F170+'Automated raw'!$G170,"-")</f>
        <v>80</v>
      </c>
      <c r="I494" s="38">
        <v>5</v>
      </c>
      <c r="J494" s="38">
        <v>70</v>
      </c>
      <c r="K494" s="38">
        <v>7</v>
      </c>
      <c r="L494" s="38">
        <v>228</v>
      </c>
      <c r="M494" s="38">
        <v>1383</v>
      </c>
      <c r="N494" s="38">
        <f>'Automated raw'!$G170/'Automated raw'!$H170</f>
        <v>0.22627737226277372</v>
      </c>
      <c r="O494" s="41">
        <f>IFERROR('Automated raw'!$G170/'Automated raw'!$H170,"incomplete")</f>
        <v>0.22627737226277372</v>
      </c>
      <c r="P494" s="38">
        <f>'Automated raw'!$F170</f>
        <v>49</v>
      </c>
      <c r="Q494" s="42">
        <f>IFERROR('Automated raw'!$P170*'Automated raw'!$L170,0)</f>
        <v>109292</v>
      </c>
      <c r="R494" s="38" t="str">
        <f>IF('Automated raw'!$O170&gt;=60%,"High",IF('Automated raw'!$O170&gt;=30%,"Avg",IF('Automated raw'!$O170&lt;30%,"Dead Stock","Incomplete")))</f>
        <v>High</v>
      </c>
      <c r="S494" s="43" t="str">
        <f>TEXT('Automated raw'!$B170,"mmm")</f>
        <v>Jul</v>
      </c>
      <c r="T494" s="82">
        <f>'Automated raw'!$G170*'Automated raw'!$M170</f>
        <v>66092</v>
      </c>
      <c r="U494" s="6">
        <f>IFERROR((Table7[[#This Row],[Stock In(Total)]]+Table7[[#This Row],[In Stock or Remaining]])/2,"-")</f>
        <v>65.5</v>
      </c>
      <c r="V494" s="93">
        <f>IFERROR(Table7[[#This Row],[Stock_Out]]/Table7[[#This Row],[Avg Inventory]],"-")</f>
        <v>1.1297709923664123</v>
      </c>
      <c r="W494" s="6"/>
      <c r="X494" s="6"/>
      <c r="Y494" s="6"/>
      <c r="Z494" s="6"/>
      <c r="AA494" s="6"/>
      <c r="AB494" s="6"/>
      <c r="AC494" s="6"/>
      <c r="AD494" s="6"/>
      <c r="AE494" s="6"/>
      <c r="AF494" s="6"/>
      <c r="AG494" s="6"/>
      <c r="AH494" s="6"/>
      <c r="AI494" s="6"/>
      <c r="AJ494" s="6"/>
      <c r="AK494" s="6"/>
      <c r="AL494" t="s">
        <v>304</v>
      </c>
      <c r="AM494">
        <v>45505</v>
      </c>
      <c r="AN494" t="s">
        <v>305</v>
      </c>
      <c r="AO494" t="s">
        <v>20</v>
      </c>
      <c r="AP494" t="s">
        <v>21</v>
      </c>
      <c r="AQ494">
        <v>56</v>
      </c>
      <c r="AR494">
        <v>62</v>
      </c>
      <c r="AS494">
        <v>118</v>
      </c>
      <c r="AT494">
        <v>156</v>
      </c>
      <c r="AU494">
        <v>79</v>
      </c>
      <c r="AV494">
        <v>7</v>
      </c>
      <c r="AW494">
        <v>1786</v>
      </c>
      <c r="AX494">
        <v>3028</v>
      </c>
      <c r="AY494">
        <v>0.52542372881355937</v>
      </c>
      <c r="AZ494">
        <v>0.52542372881355937</v>
      </c>
      <c r="BA494">
        <v>56</v>
      </c>
      <c r="BB494">
        <v>100016</v>
      </c>
      <c r="BC494" t="s">
        <v>551</v>
      </c>
      <c r="BD494" t="s">
        <v>554</v>
      </c>
      <c r="BE494">
        <v>187736</v>
      </c>
    </row>
    <row r="495" spans="1:57" x14ac:dyDescent="0.3">
      <c r="A495" s="38" t="s">
        <v>385</v>
      </c>
      <c r="B495" s="39">
        <v>45506</v>
      </c>
      <c r="C495" s="38" t="s">
        <v>53</v>
      </c>
      <c r="D495" s="38" t="s">
        <v>20</v>
      </c>
      <c r="E495" s="38" t="s">
        <v>14</v>
      </c>
      <c r="F495" s="40">
        <v>68</v>
      </c>
      <c r="G495" s="38">
        <v>99</v>
      </c>
      <c r="H495" s="38">
        <f>IFERROR('Automated raw'!$F352+'Automated raw'!$G352,"-")</f>
        <v>146</v>
      </c>
      <c r="I495" s="38">
        <v>69</v>
      </c>
      <c r="J495" s="38">
        <v>62</v>
      </c>
      <c r="K495" s="38">
        <v>9</v>
      </c>
      <c r="L495" s="38">
        <v>1419</v>
      </c>
      <c r="M495" s="38">
        <v>2074</v>
      </c>
      <c r="N495" s="38">
        <f>'Automated raw'!$G352/'Automated raw'!$H352</f>
        <v>1.3461538461538463</v>
      </c>
      <c r="O495" s="41">
        <f>IFERROR('Automated raw'!$G352/'Automated raw'!$H352,"incomplete")</f>
        <v>1.3461538461538463</v>
      </c>
      <c r="P495" s="38">
        <f>'Automated raw'!$F352</f>
        <v>76</v>
      </c>
      <c r="Q495" s="42">
        <f>IFERROR('Automated raw'!$P352*'Automated raw'!$L352,0)</f>
        <v>25245</v>
      </c>
      <c r="R495" s="38" t="str">
        <f>IF('Automated raw'!$O352&gt;=60%,"High",IF('Automated raw'!$O352&gt;=30%,"Avg",IF('Automated raw'!$O352&lt;30%,"Dead Stock","Incomplete")))</f>
        <v>Dead Stock</v>
      </c>
      <c r="S495" s="43" t="str">
        <f>TEXT('Automated raw'!$B352,"mmm")</f>
        <v>May</v>
      </c>
      <c r="T495" s="82">
        <f>'Automated raw'!$G352*'Automated raw'!$M352</f>
        <v>116270</v>
      </c>
      <c r="U495" s="6">
        <f>IFERROR((Table7[[#This Row],[Stock In(Total)]]+Table7[[#This Row],[In Stock or Remaining]])/2,"-")</f>
        <v>107</v>
      </c>
      <c r="V495" s="93">
        <f>IFERROR(Table7[[#This Row],[Stock_Out]]/Table7[[#This Row],[Avg Inventory]],"-")</f>
        <v>0.92523364485981308</v>
      </c>
      <c r="W495" s="6"/>
      <c r="X495" s="6"/>
      <c r="Y495" s="6"/>
      <c r="Z495" s="6"/>
      <c r="AA495" s="6"/>
      <c r="AB495" s="6"/>
      <c r="AC495" s="6"/>
      <c r="AD495" s="6"/>
      <c r="AE495" s="6"/>
      <c r="AF495" s="6"/>
      <c r="AG495" s="6"/>
      <c r="AH495" s="6"/>
      <c r="AI495" s="6"/>
      <c r="AJ495" s="6"/>
      <c r="AK495" s="6"/>
      <c r="AL495" t="s">
        <v>306</v>
      </c>
      <c r="AM495">
        <v>45308</v>
      </c>
      <c r="AN495" t="s">
        <v>37</v>
      </c>
      <c r="AO495" t="s">
        <v>17</v>
      </c>
      <c r="AP495" t="s">
        <v>38</v>
      </c>
      <c r="AQ495">
        <v>47</v>
      </c>
      <c r="AR495">
        <v>70</v>
      </c>
      <c r="AS495">
        <v>117</v>
      </c>
      <c r="AT495">
        <v>54</v>
      </c>
      <c r="AU495">
        <v>58</v>
      </c>
      <c r="AV495">
        <v>8</v>
      </c>
      <c r="AW495">
        <v>616</v>
      </c>
      <c r="AX495">
        <v>1283</v>
      </c>
      <c r="AY495">
        <v>0.59829059829059827</v>
      </c>
      <c r="AZ495">
        <v>0.59829059829059827</v>
      </c>
      <c r="BA495">
        <v>47</v>
      </c>
      <c r="BB495">
        <v>28952</v>
      </c>
      <c r="BC495" t="s">
        <v>551</v>
      </c>
      <c r="BD495" t="s">
        <v>557</v>
      </c>
      <c r="BE495">
        <v>89810</v>
      </c>
    </row>
    <row r="496" spans="1:57" x14ac:dyDescent="0.3">
      <c r="A496" s="38" t="s">
        <v>529</v>
      </c>
      <c r="B496" s="39">
        <v>45322</v>
      </c>
      <c r="C496" s="38" t="s">
        <v>35</v>
      </c>
      <c r="D496" s="38" t="s">
        <v>13</v>
      </c>
      <c r="E496" s="38" t="s">
        <v>33</v>
      </c>
      <c r="F496" s="40">
        <v>16</v>
      </c>
      <c r="G496" s="38">
        <v>28</v>
      </c>
      <c r="H496" s="38">
        <f>IFERROR('Automated raw'!$F496+'Automated raw'!$G496,"-")</f>
        <v>44</v>
      </c>
      <c r="I496" s="38">
        <v>263</v>
      </c>
      <c r="J496" s="38">
        <v>73</v>
      </c>
      <c r="K496" s="38">
        <v>11</v>
      </c>
      <c r="L496" s="38">
        <v>897</v>
      </c>
      <c r="M496" s="38">
        <v>1763</v>
      </c>
      <c r="N496" s="38">
        <f>'Automated raw'!$G496/'Automated raw'!$H496</f>
        <v>0.63636363636363635</v>
      </c>
      <c r="O496" s="41">
        <f>IFERROR('Automated raw'!$G496/'Automated raw'!$H496,"incomplete")</f>
        <v>0.63636363636363635</v>
      </c>
      <c r="P496" s="38">
        <f>'Automated raw'!$F496</f>
        <v>16</v>
      </c>
      <c r="Q496" s="42">
        <f>IFERROR('Automated raw'!$P496*'Automated raw'!$L496,0)</f>
        <v>14352</v>
      </c>
      <c r="R496" s="38" t="str">
        <f>IF('Automated raw'!$O496&gt;=60%,"High",IF('Automated raw'!$O496&gt;=30%,"Avg",IF('Automated raw'!$O496&lt;30%,"Dead Stock","Incomplete")))</f>
        <v>High</v>
      </c>
      <c r="S496" s="43" t="str">
        <f>TEXT('Automated raw'!$B496,"mmm")</f>
        <v>Jan</v>
      </c>
      <c r="T496" s="82">
        <f>'Automated raw'!$G496*'Automated raw'!$M496</f>
        <v>49364</v>
      </c>
      <c r="U496" s="6">
        <f>IFERROR((Table7[[#This Row],[Stock In(Total)]]+Table7[[#This Row],[In Stock or Remaining]])/2,"-")</f>
        <v>30</v>
      </c>
      <c r="V496" s="93">
        <f>IFERROR(Table7[[#This Row],[Stock_Out]]/Table7[[#This Row],[Avg Inventory]],"-")</f>
        <v>0.93333333333333335</v>
      </c>
      <c r="W496" s="6"/>
      <c r="X496" s="6"/>
      <c r="Y496" s="6"/>
      <c r="Z496" s="6"/>
      <c r="AA496" s="6"/>
      <c r="AB496" s="6"/>
      <c r="AC496" s="6"/>
      <c r="AD496" s="6"/>
      <c r="AE496" s="6"/>
      <c r="AF496" s="6"/>
      <c r="AG496" s="6"/>
      <c r="AH496" s="6"/>
      <c r="AI496" s="6"/>
      <c r="AJ496" s="6"/>
      <c r="AK496" s="6"/>
      <c r="AL496" t="s">
        <v>310</v>
      </c>
      <c r="AM496">
        <v>45340</v>
      </c>
      <c r="AN496" t="s">
        <v>19</v>
      </c>
      <c r="AO496" t="s">
        <v>17</v>
      </c>
      <c r="AP496" t="s">
        <v>14</v>
      </c>
      <c r="AQ496">
        <v>58</v>
      </c>
      <c r="AR496">
        <v>86</v>
      </c>
      <c r="AS496">
        <v>144</v>
      </c>
      <c r="AT496">
        <v>287</v>
      </c>
      <c r="AU496">
        <v>67</v>
      </c>
      <c r="AV496">
        <v>6</v>
      </c>
      <c r="AW496">
        <v>1278</v>
      </c>
      <c r="AX496">
        <v>2007</v>
      </c>
      <c r="AY496">
        <v>0.59722222222222221</v>
      </c>
      <c r="AZ496">
        <v>0.59722222222222221</v>
      </c>
      <c r="BA496">
        <v>58</v>
      </c>
      <c r="BB496">
        <v>74124</v>
      </c>
      <c r="BC496" t="s">
        <v>551</v>
      </c>
      <c r="BD496" t="s">
        <v>555</v>
      </c>
      <c r="BE496">
        <v>172602</v>
      </c>
    </row>
    <row r="497" spans="1:57" x14ac:dyDescent="0.3">
      <c r="A497" s="38" t="s">
        <v>32</v>
      </c>
      <c r="B497" s="39">
        <v>45475</v>
      </c>
      <c r="C497" s="38" t="s">
        <v>30</v>
      </c>
      <c r="D497" s="38" t="s">
        <v>20</v>
      </c>
      <c r="E497" s="38" t="s">
        <v>33</v>
      </c>
      <c r="F497" s="40">
        <v>41</v>
      </c>
      <c r="G497" s="38">
        <v>60</v>
      </c>
      <c r="H497" s="38">
        <f>IFERROR('Automated raw'!$F12+'Automated raw'!$G12,"-")</f>
        <v>105</v>
      </c>
      <c r="I497" s="38">
        <v>247</v>
      </c>
      <c r="J497" s="38">
        <v>48</v>
      </c>
      <c r="K497" s="38">
        <v>2</v>
      </c>
      <c r="L497" s="38">
        <v>1362</v>
      </c>
      <c r="M497" s="38">
        <v>1988</v>
      </c>
      <c r="N497" s="38">
        <f>'Automated raw'!$G12/'Automated raw'!$H12</f>
        <v>0.19631901840490798</v>
      </c>
      <c r="O497" s="41">
        <f>IFERROR('Automated raw'!$G12/'Automated raw'!$H12,"incomplete")</f>
        <v>0.19631901840490798</v>
      </c>
      <c r="P497" s="38">
        <f>'Automated raw'!$F12</f>
        <v>73</v>
      </c>
      <c r="Q497" s="42">
        <f>IFERROR('Automated raw'!$P12*'Automated raw'!$L12,0)</f>
        <v>137402</v>
      </c>
      <c r="R497" s="38" t="str">
        <f>IF('Automated raw'!$O12&gt;=60%,"High",IF('Automated raw'!$O12&gt;=30%,"Avg",IF('Automated raw'!$O12&lt;30%,"Dead Stock","Incomplete")))</f>
        <v>Dead Stock</v>
      </c>
      <c r="S497" s="43" t="str">
        <f>TEXT('Automated raw'!$B12,"mmm")</f>
        <v>Feb</v>
      </c>
      <c r="T497" s="82">
        <f>'Automated raw'!$G12*'Automated raw'!$M12</f>
        <v>90560</v>
      </c>
      <c r="U497" s="6">
        <f>IFERROR((Table7[[#This Row],[Stock In(Total)]]+Table7[[#This Row],[In Stock or Remaining]])/2,"-")</f>
        <v>73</v>
      </c>
      <c r="V497" s="93">
        <f>IFERROR(Table7[[#This Row],[Stock_Out]]/Table7[[#This Row],[Avg Inventory]],"-")</f>
        <v>0.82191780821917804</v>
      </c>
      <c r="W497" s="6"/>
      <c r="X497" s="6"/>
      <c r="Y497" s="6"/>
      <c r="Z497" s="6"/>
      <c r="AA497" s="6"/>
      <c r="AB497" s="6"/>
      <c r="AC497" s="6"/>
      <c r="AD497" s="6"/>
      <c r="AE497" s="6"/>
      <c r="AF497" s="6"/>
      <c r="AG497" s="6"/>
      <c r="AH497" s="6"/>
      <c r="AI497" s="6"/>
      <c r="AJ497" s="6"/>
      <c r="AK497" s="6"/>
      <c r="AL497" t="s">
        <v>311</v>
      </c>
      <c r="AM497">
        <v>45469</v>
      </c>
      <c r="AN497" t="s">
        <v>45</v>
      </c>
      <c r="AO497" t="s">
        <v>13</v>
      </c>
      <c r="AP497" t="s">
        <v>21</v>
      </c>
      <c r="AQ497">
        <v>73</v>
      </c>
      <c r="AR497">
        <v>77</v>
      </c>
      <c r="AS497">
        <v>150</v>
      </c>
      <c r="AT497">
        <v>229</v>
      </c>
      <c r="AU497">
        <v>54</v>
      </c>
      <c r="AV497">
        <v>9</v>
      </c>
      <c r="AW497">
        <v>228</v>
      </c>
      <c r="AX497">
        <v>1593</v>
      </c>
      <c r="AY497">
        <v>0.51333333333333331</v>
      </c>
      <c r="AZ497">
        <v>0.51333333333333331</v>
      </c>
      <c r="BA497">
        <v>73</v>
      </c>
      <c r="BB497">
        <v>16644</v>
      </c>
      <c r="BC497" t="s">
        <v>551</v>
      </c>
      <c r="BD497" t="s">
        <v>559</v>
      </c>
      <c r="BE497">
        <v>122661</v>
      </c>
    </row>
    <row r="498" spans="1:57" x14ac:dyDescent="0.3">
      <c r="A498" s="38" t="s">
        <v>310</v>
      </c>
      <c r="B498" s="39">
        <v>45340</v>
      </c>
      <c r="C498" s="38" t="s">
        <v>19</v>
      </c>
      <c r="D498" s="38" t="s">
        <v>17</v>
      </c>
      <c r="E498" s="38" t="s">
        <v>14</v>
      </c>
      <c r="F498" s="40">
        <v>58</v>
      </c>
      <c r="G498" s="38">
        <v>86</v>
      </c>
      <c r="H498" s="38">
        <f>IFERROR('Automated raw'!$F278+'Automated raw'!$G278,"-")</f>
        <v>209</v>
      </c>
      <c r="I498" s="38">
        <v>287</v>
      </c>
      <c r="J498" s="38">
        <v>67</v>
      </c>
      <c r="K498" s="38">
        <v>6</v>
      </c>
      <c r="L498" s="38">
        <v>1278</v>
      </c>
      <c r="M498" s="38">
        <v>2007</v>
      </c>
      <c r="N498" s="38">
        <f>'Automated raw'!$G278/'Automated raw'!$H278</f>
        <v>1.2077922077922079</v>
      </c>
      <c r="O498" s="41">
        <f>IFERROR('Automated raw'!$G278/'Automated raw'!$H278,"incomplete")</f>
        <v>1.2077922077922079</v>
      </c>
      <c r="P498" s="38">
        <f>'Automated raw'!$F278</f>
        <v>116</v>
      </c>
      <c r="Q498" s="42">
        <f>IFERROR('Automated raw'!$P278*'Automated raw'!$L278,0)</f>
        <v>54780</v>
      </c>
      <c r="R498" s="38" t="str">
        <f>IF('Automated raw'!$O278&gt;=60%,"High",IF('Automated raw'!$O278&gt;=30%,"Avg",IF('Automated raw'!$O278&lt;30%,"Dead Stock","Incomplete")))</f>
        <v>Dead Stock</v>
      </c>
      <c r="S498" s="43" t="str">
        <f>TEXT('Automated raw'!$B278,"mmm")</f>
        <v>Aug</v>
      </c>
      <c r="T498" s="82">
        <f>'Automated raw'!$G278*'Automated raw'!$M278</f>
        <v>244962</v>
      </c>
      <c r="U498" s="6">
        <f>IFERROR((Table7[[#This Row],[Stock In(Total)]]+Table7[[#This Row],[In Stock or Remaining]])/2,"-")</f>
        <v>133.5</v>
      </c>
      <c r="V498" s="93">
        <f>IFERROR(Table7[[#This Row],[Stock_Out]]/Table7[[#This Row],[Avg Inventory]],"-")</f>
        <v>0.64419475655430714</v>
      </c>
      <c r="W498" s="6"/>
      <c r="X498" s="6"/>
      <c r="Y498" s="6"/>
      <c r="Z498" s="6"/>
      <c r="AA498" s="6"/>
      <c r="AB498" s="6"/>
      <c r="AC498" s="6"/>
      <c r="AD498" s="6"/>
      <c r="AE498" s="6"/>
      <c r="AF498" s="6"/>
      <c r="AG498" s="6"/>
      <c r="AH498" s="6"/>
      <c r="AI498" s="6"/>
      <c r="AJ498" s="6"/>
      <c r="AK498" s="6"/>
      <c r="AL498" t="s">
        <v>314</v>
      </c>
      <c r="AM498">
        <v>45414</v>
      </c>
      <c r="AN498" t="s">
        <v>19</v>
      </c>
      <c r="AO498" t="s">
        <v>13</v>
      </c>
      <c r="AP498" t="s">
        <v>33</v>
      </c>
      <c r="AQ498">
        <v>59</v>
      </c>
      <c r="AR498">
        <v>51</v>
      </c>
      <c r="AS498">
        <v>110</v>
      </c>
      <c r="AT498">
        <v>180</v>
      </c>
      <c r="AU498">
        <v>64</v>
      </c>
      <c r="AV498">
        <v>8</v>
      </c>
      <c r="AW498">
        <v>232</v>
      </c>
      <c r="AX498">
        <v>1307</v>
      </c>
      <c r="AY498">
        <v>0.46363636363636362</v>
      </c>
      <c r="AZ498">
        <v>0.46363636363636362</v>
      </c>
      <c r="BA498">
        <v>59</v>
      </c>
      <c r="BB498">
        <v>13688</v>
      </c>
      <c r="BC498" t="s">
        <v>551</v>
      </c>
      <c r="BD498" t="s">
        <v>561</v>
      </c>
      <c r="BE498">
        <v>66657</v>
      </c>
    </row>
    <row r="499" spans="1:57" x14ac:dyDescent="0.3">
      <c r="A499" s="38" t="s">
        <v>306</v>
      </c>
      <c r="B499" s="39">
        <v>45308</v>
      </c>
      <c r="C499" s="38" t="s">
        <v>37</v>
      </c>
      <c r="D499" s="38" t="s">
        <v>17</v>
      </c>
      <c r="E499" s="38" t="s">
        <v>38</v>
      </c>
      <c r="F499" s="40">
        <v>47</v>
      </c>
      <c r="G499" s="38">
        <v>70</v>
      </c>
      <c r="H499" s="38">
        <f>IFERROR('Automated raw'!$F274+'Automated raw'!$G274,"-")</f>
        <v>207</v>
      </c>
      <c r="I499" s="38">
        <v>54</v>
      </c>
      <c r="J499" s="38">
        <v>58</v>
      </c>
      <c r="K499" s="38">
        <v>8</v>
      </c>
      <c r="L499" s="38">
        <v>616</v>
      </c>
      <c r="M499" s="38">
        <v>1283</v>
      </c>
      <c r="N499" s="38">
        <f>'Automated raw'!$G274/'Automated raw'!$H274</f>
        <v>0.90196078431372551</v>
      </c>
      <c r="O499" s="41">
        <f>IFERROR('Automated raw'!$G274/'Automated raw'!$H274,"incomplete")</f>
        <v>0.90196078431372551</v>
      </c>
      <c r="P499" s="38">
        <f>'Automated raw'!$F274</f>
        <v>115</v>
      </c>
      <c r="Q499" s="42">
        <f>IFERROR('Automated raw'!$P274*'Automated raw'!$L274,0)</f>
        <v>33840</v>
      </c>
      <c r="R499" s="38" t="str">
        <f>IF('Automated raw'!$O274&gt;=60%,"High",IF('Automated raw'!$O274&gt;=30%,"Avg",IF('Automated raw'!$O274&lt;30%,"Dead Stock","Incomplete")))</f>
        <v>Avg</v>
      </c>
      <c r="S499" s="43" t="str">
        <f>TEXT('Automated raw'!$B274,"mmm")</f>
        <v>Jul</v>
      </c>
      <c r="T499" s="82">
        <f>'Automated raw'!$G274*'Automated raw'!$M274</f>
        <v>167992</v>
      </c>
      <c r="U499" s="6">
        <f>IFERROR((Table7[[#This Row],[Stock In(Total)]]+Table7[[#This Row],[In Stock or Remaining]])/2,"-")</f>
        <v>127</v>
      </c>
      <c r="V499" s="93">
        <f>IFERROR(Table7[[#This Row],[Stock_Out]]/Table7[[#This Row],[Avg Inventory]],"-")</f>
        <v>0.55118110236220474</v>
      </c>
      <c r="W499" s="6"/>
      <c r="X499" s="6"/>
      <c r="Y499" s="6"/>
      <c r="Z499" s="6"/>
      <c r="AA499" s="6"/>
      <c r="AB499" s="6"/>
      <c r="AC499" s="6"/>
      <c r="AD499" s="6"/>
      <c r="AE499" s="6"/>
      <c r="AF499" s="6"/>
      <c r="AG499" s="6"/>
      <c r="AH499" s="6"/>
      <c r="AI499" s="6"/>
      <c r="AJ499" s="6"/>
      <c r="AK499" s="6"/>
      <c r="AL499" t="s">
        <v>316</v>
      </c>
      <c r="AM499">
        <v>45394</v>
      </c>
      <c r="AN499" t="s">
        <v>16</v>
      </c>
      <c r="AO499" t="s">
        <v>20</v>
      </c>
      <c r="AP499" t="s">
        <v>21</v>
      </c>
      <c r="AQ499">
        <v>16</v>
      </c>
      <c r="AR499">
        <v>17</v>
      </c>
      <c r="AS499">
        <v>33</v>
      </c>
      <c r="AT499">
        <v>74</v>
      </c>
      <c r="AU499">
        <v>46</v>
      </c>
      <c r="AV499">
        <v>2</v>
      </c>
      <c r="AW499">
        <v>1913</v>
      </c>
      <c r="AX499">
        <v>2613</v>
      </c>
      <c r="AY499">
        <v>0.51515151515151514</v>
      </c>
      <c r="AZ499">
        <v>0.51515151515151514</v>
      </c>
      <c r="BA499">
        <v>16</v>
      </c>
      <c r="BB499">
        <v>30608</v>
      </c>
      <c r="BC499" t="s">
        <v>551</v>
      </c>
      <c r="BD499" t="s">
        <v>558</v>
      </c>
      <c r="BE499">
        <v>44421</v>
      </c>
    </row>
    <row r="500" spans="1:57" x14ac:dyDescent="0.3">
      <c r="A500" s="38" t="s">
        <v>533</v>
      </c>
      <c r="B500" s="39">
        <v>45342</v>
      </c>
      <c r="C500" s="38" t="s">
        <v>37</v>
      </c>
      <c r="D500" s="38" t="s">
        <v>20</v>
      </c>
      <c r="E500" s="38" t="s">
        <v>33</v>
      </c>
      <c r="F500" s="40">
        <v>24</v>
      </c>
      <c r="G500" s="38">
        <v>83</v>
      </c>
      <c r="H500" s="38">
        <f>IFERROR('Automated raw'!$F500+'Automated raw'!$G500,"-")</f>
        <v>107</v>
      </c>
      <c r="I500" s="38">
        <v>20</v>
      </c>
      <c r="J500" s="38">
        <v>67</v>
      </c>
      <c r="K500" s="38">
        <v>8</v>
      </c>
      <c r="L500" s="38">
        <v>599</v>
      </c>
      <c r="M500" s="38">
        <v>1078</v>
      </c>
      <c r="N500" s="38">
        <f>'Automated raw'!$G500/'Automated raw'!$H500</f>
        <v>0.77570093457943923</v>
      </c>
      <c r="O500" s="41">
        <f>IFERROR('Automated raw'!$G500/'Automated raw'!$H500,"incomplete")</f>
        <v>0.77570093457943923</v>
      </c>
      <c r="P500" s="38">
        <f>'Automated raw'!$F500</f>
        <v>24</v>
      </c>
      <c r="Q500" s="42">
        <f>IFERROR('Automated raw'!$P500*'Automated raw'!$L500,0)</f>
        <v>14376</v>
      </c>
      <c r="R500" s="38" t="str">
        <f>IF('Automated raw'!$O500&gt;=60%,"High",IF('Automated raw'!$O500&gt;=30%,"Avg",IF('Automated raw'!$O500&lt;30%,"Dead Stock","Incomplete")))</f>
        <v>High</v>
      </c>
      <c r="S500" s="43" t="str">
        <f>TEXT('Automated raw'!$B500,"mmm")</f>
        <v>Feb</v>
      </c>
      <c r="T500" s="82">
        <f>'Automated raw'!$G500*'Automated raw'!$M500</f>
        <v>89474</v>
      </c>
      <c r="U500" s="6">
        <f>IFERROR((Table7[[#This Row],[Stock In(Total)]]+Table7[[#This Row],[In Stock or Remaining]])/2,"-")</f>
        <v>65.5</v>
      </c>
      <c r="V500" s="93">
        <f>IFERROR(Table7[[#This Row],[Stock_Out]]/Table7[[#This Row],[Avg Inventory]],"-")</f>
        <v>1.2671755725190839</v>
      </c>
      <c r="W500" s="6"/>
      <c r="X500" s="6"/>
      <c r="Y500" s="6"/>
      <c r="Z500" s="6"/>
      <c r="AA500" s="6"/>
      <c r="AB500" s="6"/>
      <c r="AC500" s="6"/>
      <c r="AD500" s="6"/>
      <c r="AE500" s="6"/>
      <c r="AF500" s="6"/>
      <c r="AG500" s="6"/>
      <c r="AH500" s="6"/>
      <c r="AI500" s="6"/>
      <c r="AJ500" s="6"/>
      <c r="AK500" s="6"/>
      <c r="AL500" t="s">
        <v>317</v>
      </c>
      <c r="AM500">
        <v>45459</v>
      </c>
      <c r="AN500" t="s">
        <v>26</v>
      </c>
      <c r="AO500" t="s">
        <v>20</v>
      </c>
      <c r="AP500" t="s">
        <v>14</v>
      </c>
      <c r="AQ500">
        <v>62</v>
      </c>
      <c r="AR500">
        <v>80</v>
      </c>
      <c r="AS500">
        <v>142</v>
      </c>
      <c r="AT500">
        <v>193</v>
      </c>
      <c r="AU500">
        <v>72</v>
      </c>
      <c r="AV500">
        <v>2</v>
      </c>
      <c r="AW500">
        <v>490</v>
      </c>
      <c r="AX500">
        <v>1768</v>
      </c>
      <c r="AY500">
        <v>0.56338028169014087</v>
      </c>
      <c r="AZ500">
        <v>0.56338028169014087</v>
      </c>
      <c r="BA500">
        <v>62</v>
      </c>
      <c r="BB500">
        <v>30380</v>
      </c>
      <c r="BC500" t="s">
        <v>551</v>
      </c>
      <c r="BD500" t="s">
        <v>559</v>
      </c>
      <c r="BE500">
        <v>141440</v>
      </c>
    </row>
    <row r="501" spans="1:57" ht="15" thickBot="1" x14ac:dyDescent="0.35">
      <c r="A501" s="44" t="s">
        <v>534</v>
      </c>
      <c r="B501" s="45">
        <v>45519</v>
      </c>
      <c r="C501" s="44" t="s">
        <v>16</v>
      </c>
      <c r="D501" s="44" t="s">
        <v>20</v>
      </c>
      <c r="E501" s="44" t="s">
        <v>38</v>
      </c>
      <c r="F501" s="40">
        <v>103</v>
      </c>
      <c r="G501" s="44">
        <v>14</v>
      </c>
      <c r="H501" s="44">
        <f>IFERROR('Automated raw'!$F501+'Automated raw'!$G501,"-")</f>
        <v>117</v>
      </c>
      <c r="I501" s="44">
        <v>24</v>
      </c>
      <c r="J501" s="44">
        <v>52</v>
      </c>
      <c r="K501" s="44">
        <v>5</v>
      </c>
      <c r="L501" s="44">
        <v>1454</v>
      </c>
      <c r="M501" s="44">
        <v>1851</v>
      </c>
      <c r="N501" s="44">
        <f>'Automated raw'!$G501/'Automated raw'!$H501</f>
        <v>0.11965811965811966</v>
      </c>
      <c r="O501" s="46">
        <f>IFERROR('Automated raw'!$G501/'Automated raw'!$H501,"incomplete")</f>
        <v>0.11965811965811966</v>
      </c>
      <c r="P501" s="44">
        <f>'Automated raw'!$F501</f>
        <v>103</v>
      </c>
      <c r="Q501" s="47">
        <f>IFERROR('Automated raw'!$P501*'Automated raw'!$L501,0)</f>
        <v>149762</v>
      </c>
      <c r="R501" s="44" t="str">
        <f>IF('Automated raw'!$O501&gt;=60%,"High",IF('Automated raw'!$O501&gt;=30%,"Avg",IF('Automated raw'!$O501&lt;30%,"Dead Stock","Incomplete")))</f>
        <v>Dead Stock</v>
      </c>
      <c r="S501" s="48" t="str">
        <f>TEXT('Automated raw'!$B501,"mmm")</f>
        <v>Aug</v>
      </c>
      <c r="T501" s="83">
        <f>'Automated raw'!$G501*'Automated raw'!$M501</f>
        <v>25914</v>
      </c>
      <c r="U501" s="6">
        <f>IFERROR((Table7[[#This Row],[Stock In(Total)]]+Table7[[#This Row],[In Stock or Remaining]])/2,"-")</f>
        <v>110</v>
      </c>
      <c r="V501" s="93">
        <f>IFERROR(Table7[[#This Row],[Stock_Out]]/Table7[[#This Row],[Avg Inventory]],"-")</f>
        <v>0.12727272727272726</v>
      </c>
      <c r="W501" s="6"/>
      <c r="X501" s="6"/>
      <c r="Y501" s="6"/>
      <c r="Z501" s="6"/>
      <c r="AA501" s="6"/>
      <c r="AB501" s="6"/>
      <c r="AC501" s="6"/>
      <c r="AD501" s="6"/>
      <c r="AE501" s="6"/>
      <c r="AF501" s="6"/>
      <c r="AG501" s="6"/>
      <c r="AH501" s="6"/>
      <c r="AI501" s="6"/>
      <c r="AJ501" s="6"/>
      <c r="AK501" s="6"/>
      <c r="AL501" t="s">
        <v>320</v>
      </c>
      <c r="AM501">
        <v>45523</v>
      </c>
      <c r="AN501" t="s">
        <v>26</v>
      </c>
      <c r="AO501" t="s">
        <v>20</v>
      </c>
      <c r="AP501" t="s">
        <v>38</v>
      </c>
      <c r="AQ501">
        <v>116</v>
      </c>
      <c r="AR501">
        <v>81</v>
      </c>
      <c r="AS501">
        <v>197</v>
      </c>
      <c r="AT501">
        <v>207</v>
      </c>
      <c r="AU501">
        <v>36</v>
      </c>
      <c r="AV501">
        <v>2</v>
      </c>
      <c r="AW501">
        <v>827</v>
      </c>
      <c r="AX501">
        <v>1920</v>
      </c>
      <c r="AY501">
        <v>0.41116751269035534</v>
      </c>
      <c r="AZ501">
        <v>0.41116751269035534</v>
      </c>
      <c r="BA501">
        <v>116</v>
      </c>
      <c r="BB501">
        <v>95932</v>
      </c>
      <c r="BC501" t="s">
        <v>551</v>
      </c>
      <c r="BD501" t="s">
        <v>554</v>
      </c>
      <c r="BE501">
        <v>155520</v>
      </c>
    </row>
    <row r="502" spans="1:57" ht="15" thickTop="1" x14ac:dyDescent="0.3">
      <c r="A502" s="84"/>
      <c r="B502" s="85"/>
      <c r="C502" s="86"/>
      <c r="D502" s="86"/>
      <c r="E502" s="86"/>
      <c r="F502" s="87">
        <f>SUM(F2:F501)</f>
        <v>36933</v>
      </c>
      <c r="G502" s="88">
        <f>SUM(G2:G501)</f>
        <v>29962</v>
      </c>
      <c r="H502" s="88"/>
      <c r="I502" s="86"/>
      <c r="J502" s="86"/>
      <c r="K502" s="86"/>
      <c r="L502" s="86"/>
      <c r="M502" s="86"/>
      <c r="N502" s="86"/>
      <c r="O502" s="89">
        <f>AVERAGE('Automated raw'!$O$2:$O$501)</f>
        <v>0.5151428243102516</v>
      </c>
      <c r="P502" s="86">
        <f>SUBTOTAL(109,'Automated raw'!$P$2:$P$501)</f>
        <v>36933</v>
      </c>
      <c r="Q502" s="90">
        <f>SUM(Q2:Q501)</f>
        <v>39457015</v>
      </c>
      <c r="R502" s="90">
        <f>SUMIF('Automated raw'!$R$2:$R$501,R501,'Automated raw'!$Q$2:$Q$501)</f>
        <v>18190818</v>
      </c>
      <c r="S502" s="91"/>
      <c r="T502" s="92">
        <f>SUBTOTAL(109,'Automated raw'!$T$2:$T$501)</f>
        <v>56757898</v>
      </c>
      <c r="U502" s="6">
        <f>IFERROR((Table7[[#This Row],[Stock In(Total)]]+Table7[[#This Row],[In Stock or Remaining]])/2,"-")</f>
        <v>18466.5</v>
      </c>
      <c r="V502" s="93">
        <f>IFERROR(Table7[[#This Row],[Stock_Out]]/Table7[[#This Row],[Avg Inventory]],"-")</f>
        <v>1.6225056182817534</v>
      </c>
      <c r="W502" s="7"/>
      <c r="X502" s="7"/>
      <c r="Y502" s="7"/>
      <c r="Z502" s="7"/>
      <c r="AA502" s="7"/>
      <c r="AB502" s="7"/>
      <c r="AC502" s="7"/>
      <c r="AD502" s="7"/>
      <c r="AE502" s="7"/>
      <c r="AF502" s="7"/>
      <c r="AG502" s="7"/>
      <c r="AH502" s="7"/>
      <c r="AI502" s="7"/>
      <c r="AJ502" s="7"/>
      <c r="AK502" s="7"/>
      <c r="AL502" t="s">
        <v>321</v>
      </c>
      <c r="AM502">
        <v>45415</v>
      </c>
      <c r="AN502" t="s">
        <v>26</v>
      </c>
      <c r="AO502" t="s">
        <v>20</v>
      </c>
      <c r="AP502" t="s">
        <v>33</v>
      </c>
      <c r="AQ502">
        <v>75</v>
      </c>
      <c r="AR502">
        <v>84</v>
      </c>
      <c r="AS502">
        <v>159</v>
      </c>
      <c r="AT502">
        <v>125</v>
      </c>
      <c r="AU502">
        <v>69</v>
      </c>
      <c r="AV502">
        <v>11</v>
      </c>
      <c r="AW502">
        <v>957</v>
      </c>
      <c r="AX502">
        <v>2216</v>
      </c>
      <c r="AY502">
        <v>0.52830188679245282</v>
      </c>
      <c r="AZ502">
        <v>0.52830188679245282</v>
      </c>
      <c r="BA502">
        <v>75</v>
      </c>
      <c r="BB502">
        <v>71775</v>
      </c>
      <c r="BC502" t="s">
        <v>551</v>
      </c>
      <c r="BD502" t="s">
        <v>561</v>
      </c>
      <c r="BE502">
        <v>186144</v>
      </c>
    </row>
    <row r="503" spans="1:57" hidden="1" x14ac:dyDescent="0.3">
      <c r="AL503" t="s">
        <v>322</v>
      </c>
      <c r="AM503">
        <v>45483</v>
      </c>
      <c r="AN503" t="s">
        <v>37</v>
      </c>
      <c r="AO503" t="s">
        <v>13</v>
      </c>
      <c r="AP503" t="s">
        <v>33</v>
      </c>
      <c r="AQ503">
        <v>90</v>
      </c>
      <c r="AR503">
        <v>42</v>
      </c>
      <c r="AS503">
        <v>132</v>
      </c>
      <c r="AT503">
        <v>126</v>
      </c>
      <c r="AU503">
        <v>47</v>
      </c>
      <c r="AV503">
        <v>14</v>
      </c>
      <c r="AW503">
        <v>1347</v>
      </c>
      <c r="AX503">
        <v>2833</v>
      </c>
      <c r="AY503">
        <v>0.31818181818181818</v>
      </c>
      <c r="AZ503">
        <v>0.31818181818181818</v>
      </c>
      <c r="BA503">
        <v>90</v>
      </c>
      <c r="BB503">
        <v>121230</v>
      </c>
      <c r="BC503" t="s">
        <v>551</v>
      </c>
      <c r="BD503" t="s">
        <v>556</v>
      </c>
      <c r="BE503">
        <v>118986</v>
      </c>
    </row>
    <row r="504" spans="1:57" hidden="1" x14ac:dyDescent="0.3">
      <c r="Q504" s="5" t="s">
        <v>539</v>
      </c>
      <c r="R504">
        <f>SUMIF('Automated raw'!$R$2:$R$501,R501,'Automated raw'!$P$2:$P$501)</f>
        <v>17998</v>
      </c>
      <c r="AL504" t="s">
        <v>327</v>
      </c>
      <c r="AM504">
        <v>45521</v>
      </c>
      <c r="AN504" t="s">
        <v>37</v>
      </c>
      <c r="AO504" t="s">
        <v>17</v>
      </c>
      <c r="AP504" t="s">
        <v>33</v>
      </c>
      <c r="AQ504">
        <v>148</v>
      </c>
      <c r="AR504">
        <v>69</v>
      </c>
      <c r="AS504">
        <v>217</v>
      </c>
      <c r="AT504">
        <v>23</v>
      </c>
      <c r="AU504">
        <v>70</v>
      </c>
      <c r="AV504">
        <v>2</v>
      </c>
      <c r="AW504">
        <v>1853</v>
      </c>
      <c r="AX504">
        <v>3193</v>
      </c>
      <c r="AY504">
        <v>0.31797235023041476</v>
      </c>
      <c r="AZ504">
        <v>0.31797235023041476</v>
      </c>
      <c r="BA504">
        <v>148</v>
      </c>
      <c r="BB504">
        <v>274244</v>
      </c>
      <c r="BC504" t="s">
        <v>551</v>
      </c>
      <c r="BD504" t="s">
        <v>554</v>
      </c>
      <c r="BE504">
        <v>220317</v>
      </c>
    </row>
    <row r="505" spans="1:57" hidden="1" x14ac:dyDescent="0.3">
      <c r="P505" t="s">
        <v>543</v>
      </c>
      <c r="Q505" s="5" t="s">
        <v>544</v>
      </c>
      <c r="R505" s="3">
        <f>'Automated raw'!$R$502/'Automated raw'!$Q$502</f>
        <v>0.46102874229081953</v>
      </c>
      <c r="S505" s="3"/>
      <c r="T505" s="34"/>
      <c r="U505" s="3"/>
      <c r="W505" s="3"/>
      <c r="X505" s="3"/>
      <c r="Y505" s="3"/>
      <c r="Z505" s="3"/>
      <c r="AA505" s="3"/>
      <c r="AB505" s="3"/>
      <c r="AC505" s="3"/>
      <c r="AD505" s="3"/>
      <c r="AE505" s="3"/>
      <c r="AF505" s="3"/>
      <c r="AG505" s="3"/>
      <c r="AH505" s="3"/>
      <c r="AI505" s="3"/>
      <c r="AJ505" s="3"/>
      <c r="AK505" s="3"/>
      <c r="AL505" t="s">
        <v>331</v>
      </c>
      <c r="AM505">
        <v>45484</v>
      </c>
      <c r="AN505" t="s">
        <v>45</v>
      </c>
      <c r="AO505" t="s">
        <v>20</v>
      </c>
      <c r="AP505" t="s">
        <v>23</v>
      </c>
      <c r="AQ505">
        <v>87</v>
      </c>
      <c r="AR505">
        <v>52</v>
      </c>
      <c r="AS505">
        <v>139</v>
      </c>
      <c r="AT505">
        <v>15</v>
      </c>
      <c r="AU505">
        <v>72</v>
      </c>
      <c r="AV505">
        <v>4</v>
      </c>
      <c r="AW505">
        <v>1125</v>
      </c>
      <c r="AX505">
        <v>2478</v>
      </c>
      <c r="AY505">
        <v>0.37410071942446044</v>
      </c>
      <c r="AZ505">
        <v>0.37410071942446044</v>
      </c>
      <c r="BA505">
        <v>87</v>
      </c>
      <c r="BB505">
        <v>97875</v>
      </c>
      <c r="BC505" t="s">
        <v>551</v>
      </c>
      <c r="BD505" t="s">
        <v>556</v>
      </c>
      <c r="BE505">
        <v>128856</v>
      </c>
    </row>
    <row r="506" spans="1:57" x14ac:dyDescent="0.3">
      <c r="F506">
        <f>SUM(F2:F490)</f>
        <v>36283</v>
      </c>
      <c r="H506">
        <f>SUM(H2:H490)</f>
        <v>64247</v>
      </c>
      <c r="O506" s="3">
        <f>'Automated raw'!$O$502</f>
        <v>0.5151428243102516</v>
      </c>
      <c r="AL506" t="s">
        <v>332</v>
      </c>
      <c r="AM506">
        <v>45653</v>
      </c>
      <c r="AN506" t="s">
        <v>16</v>
      </c>
      <c r="AO506" t="s">
        <v>20</v>
      </c>
      <c r="AP506" t="s">
        <v>38</v>
      </c>
      <c r="AQ506">
        <v>93</v>
      </c>
      <c r="AR506">
        <v>76</v>
      </c>
      <c r="AS506">
        <v>169</v>
      </c>
      <c r="AT506">
        <v>242</v>
      </c>
      <c r="AU506">
        <v>56</v>
      </c>
      <c r="AV506">
        <v>4</v>
      </c>
      <c r="AW506">
        <v>1981</v>
      </c>
      <c r="AX506">
        <v>3243</v>
      </c>
      <c r="AY506">
        <v>0.44970414201183434</v>
      </c>
      <c r="AZ506">
        <v>0.44970414201183434</v>
      </c>
      <c r="BA506">
        <v>93</v>
      </c>
      <c r="BB506">
        <v>184233</v>
      </c>
      <c r="BC506" t="s">
        <v>551</v>
      </c>
      <c r="BD506" t="s">
        <v>563</v>
      </c>
      <c r="BE506" s="5">
        <v>246468</v>
      </c>
    </row>
    <row r="507" spans="1:57" hidden="1" x14ac:dyDescent="0.3">
      <c r="AL507" t="s">
        <v>334</v>
      </c>
      <c r="AM507">
        <v>45473</v>
      </c>
      <c r="AN507" t="s">
        <v>19</v>
      </c>
      <c r="AO507" t="s">
        <v>13</v>
      </c>
      <c r="AP507" t="s">
        <v>33</v>
      </c>
      <c r="AQ507">
        <v>118</v>
      </c>
      <c r="AR507">
        <v>67</v>
      </c>
      <c r="AS507">
        <v>185</v>
      </c>
      <c r="AT507">
        <v>279</v>
      </c>
      <c r="AU507">
        <v>33</v>
      </c>
      <c r="AV507">
        <v>11</v>
      </c>
      <c r="AW507">
        <v>1651</v>
      </c>
      <c r="AX507">
        <v>2186</v>
      </c>
      <c r="AY507">
        <v>0.36216216216216218</v>
      </c>
      <c r="AZ507">
        <v>0.36216216216216218</v>
      </c>
      <c r="BA507">
        <v>118</v>
      </c>
      <c r="BB507">
        <v>194818</v>
      </c>
      <c r="BC507" t="s">
        <v>551</v>
      </c>
      <c r="BD507" t="s">
        <v>559</v>
      </c>
      <c r="BE507">
        <v>146462</v>
      </c>
    </row>
    <row r="508" spans="1:57" hidden="1" x14ac:dyDescent="0.3">
      <c r="AL508" t="s">
        <v>335</v>
      </c>
      <c r="AM508">
        <v>45645</v>
      </c>
      <c r="AN508" t="s">
        <v>37</v>
      </c>
      <c r="AO508" t="s">
        <v>17</v>
      </c>
      <c r="AP508" t="s">
        <v>33</v>
      </c>
      <c r="AQ508">
        <v>94</v>
      </c>
      <c r="AR508">
        <v>115</v>
      </c>
      <c r="AS508">
        <v>209</v>
      </c>
      <c r="AT508">
        <v>91</v>
      </c>
      <c r="AU508">
        <v>65</v>
      </c>
      <c r="AV508">
        <v>5</v>
      </c>
      <c r="AW508">
        <v>1586</v>
      </c>
      <c r="AX508">
        <v>1954</v>
      </c>
      <c r="AY508">
        <v>0.55023923444976075</v>
      </c>
      <c r="AZ508">
        <v>0.55023923444976075</v>
      </c>
      <c r="BA508">
        <v>94</v>
      </c>
      <c r="BB508">
        <v>149084</v>
      </c>
      <c r="BC508" t="s">
        <v>551</v>
      </c>
      <c r="BD508" t="s">
        <v>563</v>
      </c>
      <c r="BE508">
        <v>224710</v>
      </c>
    </row>
    <row r="509" spans="1:57" hidden="1" x14ac:dyDescent="0.3">
      <c r="AL509" t="s">
        <v>336</v>
      </c>
      <c r="AM509">
        <v>45321</v>
      </c>
      <c r="AN509" t="s">
        <v>30</v>
      </c>
      <c r="AO509" t="s">
        <v>17</v>
      </c>
      <c r="AP509" t="s">
        <v>14</v>
      </c>
      <c r="AQ509">
        <v>118</v>
      </c>
      <c r="AR509">
        <v>54</v>
      </c>
      <c r="AS509">
        <v>172</v>
      </c>
      <c r="AT509">
        <v>185</v>
      </c>
      <c r="AU509">
        <v>56</v>
      </c>
      <c r="AV509">
        <v>7</v>
      </c>
      <c r="AW509">
        <v>1207</v>
      </c>
      <c r="AX509">
        <v>1837</v>
      </c>
      <c r="AY509">
        <v>0.31395348837209303</v>
      </c>
      <c r="AZ509">
        <v>0.31395348837209303</v>
      </c>
      <c r="BA509">
        <v>118</v>
      </c>
      <c r="BB509">
        <v>142426</v>
      </c>
      <c r="BC509" t="s">
        <v>551</v>
      </c>
      <c r="BD509" t="s">
        <v>557</v>
      </c>
      <c r="BE509">
        <v>99198</v>
      </c>
    </row>
    <row r="510" spans="1:57" hidden="1" x14ac:dyDescent="0.3">
      <c r="AL510" t="s">
        <v>337</v>
      </c>
      <c r="AM510">
        <v>45341</v>
      </c>
      <c r="AN510" t="s">
        <v>12</v>
      </c>
      <c r="AO510" t="s">
        <v>13</v>
      </c>
      <c r="AP510" t="s">
        <v>14</v>
      </c>
      <c r="AQ510">
        <v>28</v>
      </c>
      <c r="AR510">
        <v>23</v>
      </c>
      <c r="AS510">
        <v>51</v>
      </c>
      <c r="AT510">
        <v>97</v>
      </c>
      <c r="AU510">
        <v>67</v>
      </c>
      <c r="AV510">
        <v>15</v>
      </c>
      <c r="AW510">
        <v>244</v>
      </c>
      <c r="AX510">
        <v>1365</v>
      </c>
      <c r="AY510">
        <v>0.45098039215686275</v>
      </c>
      <c r="AZ510">
        <v>0.45098039215686275</v>
      </c>
      <c r="BA510">
        <v>28</v>
      </c>
      <c r="BB510">
        <v>6832</v>
      </c>
      <c r="BC510" t="s">
        <v>551</v>
      </c>
      <c r="BD510" t="s">
        <v>555</v>
      </c>
      <c r="BE510">
        <v>31395</v>
      </c>
    </row>
    <row r="511" spans="1:57" hidden="1" x14ac:dyDescent="0.3">
      <c r="AL511" t="s">
        <v>339</v>
      </c>
      <c r="AM511">
        <v>45480</v>
      </c>
      <c r="AN511" t="s">
        <v>45</v>
      </c>
      <c r="AO511" t="s">
        <v>20</v>
      </c>
      <c r="AP511" t="s">
        <v>21</v>
      </c>
      <c r="AQ511">
        <v>68</v>
      </c>
      <c r="AR511">
        <v>31</v>
      </c>
      <c r="AS511">
        <v>99</v>
      </c>
      <c r="AT511">
        <v>206</v>
      </c>
      <c r="AU511">
        <v>68</v>
      </c>
      <c r="AV511">
        <v>13</v>
      </c>
      <c r="AW511">
        <v>1162</v>
      </c>
      <c r="AX511">
        <v>2627</v>
      </c>
      <c r="AY511">
        <v>0.31313131313131315</v>
      </c>
      <c r="AZ511">
        <v>0.31313131313131315</v>
      </c>
      <c r="BA511">
        <v>68</v>
      </c>
      <c r="BB511">
        <v>79016</v>
      </c>
      <c r="BC511" t="s">
        <v>551</v>
      </c>
      <c r="BD511" t="s">
        <v>556</v>
      </c>
      <c r="BE511">
        <v>81437</v>
      </c>
    </row>
    <row r="512" spans="1:57" hidden="1" x14ac:dyDescent="0.3">
      <c r="AL512" t="s">
        <v>340</v>
      </c>
      <c r="AM512">
        <v>45645</v>
      </c>
      <c r="AN512" t="s">
        <v>37</v>
      </c>
      <c r="AO512" t="s">
        <v>13</v>
      </c>
      <c r="AP512" t="s">
        <v>14</v>
      </c>
      <c r="AQ512">
        <v>117</v>
      </c>
      <c r="AR512">
        <v>94</v>
      </c>
      <c r="AS512">
        <v>211</v>
      </c>
      <c r="AT512">
        <v>205</v>
      </c>
      <c r="AU512">
        <v>42</v>
      </c>
      <c r="AV512">
        <v>10</v>
      </c>
      <c r="AW512">
        <v>1668</v>
      </c>
      <c r="AX512">
        <v>2127</v>
      </c>
      <c r="AY512">
        <v>0.44549763033175355</v>
      </c>
      <c r="AZ512">
        <v>0.44549763033175355</v>
      </c>
      <c r="BA512">
        <v>117</v>
      </c>
      <c r="BB512">
        <v>195156</v>
      </c>
      <c r="BC512" t="s">
        <v>551</v>
      </c>
      <c r="BD512" t="s">
        <v>563</v>
      </c>
      <c r="BE512">
        <v>199938</v>
      </c>
    </row>
    <row r="513" spans="38:57" hidden="1" x14ac:dyDescent="0.3">
      <c r="AL513" t="s">
        <v>342</v>
      </c>
      <c r="AM513">
        <v>45369</v>
      </c>
      <c r="AN513" t="s">
        <v>19</v>
      </c>
      <c r="AO513" t="s">
        <v>20</v>
      </c>
      <c r="AP513" t="s">
        <v>23</v>
      </c>
      <c r="AQ513">
        <v>142</v>
      </c>
      <c r="AR513">
        <v>81</v>
      </c>
      <c r="AS513">
        <v>223</v>
      </c>
      <c r="AT513">
        <v>210</v>
      </c>
      <c r="AU513">
        <v>75</v>
      </c>
      <c r="AV513">
        <v>7</v>
      </c>
      <c r="AW513">
        <v>637</v>
      </c>
      <c r="AX513">
        <v>1112</v>
      </c>
      <c r="AY513">
        <v>0.3632286995515695</v>
      </c>
      <c r="AZ513">
        <v>0.3632286995515695</v>
      </c>
      <c r="BA513">
        <v>142</v>
      </c>
      <c r="BB513">
        <v>90454</v>
      </c>
      <c r="BC513" t="s">
        <v>551</v>
      </c>
      <c r="BD513" t="s">
        <v>562</v>
      </c>
      <c r="BE513">
        <v>90072</v>
      </c>
    </row>
    <row r="514" spans="38:57" hidden="1" x14ac:dyDescent="0.3">
      <c r="AL514" t="s">
        <v>345</v>
      </c>
      <c r="AM514">
        <v>45602</v>
      </c>
      <c r="AN514" t="s">
        <v>45</v>
      </c>
      <c r="AO514" t="s">
        <v>20</v>
      </c>
      <c r="AP514" t="s">
        <v>33</v>
      </c>
      <c r="AQ514">
        <v>99</v>
      </c>
      <c r="AR514">
        <v>83</v>
      </c>
      <c r="AS514">
        <v>182</v>
      </c>
      <c r="AT514">
        <v>289</v>
      </c>
      <c r="AU514">
        <v>36</v>
      </c>
      <c r="AV514">
        <v>4</v>
      </c>
      <c r="AW514">
        <v>484</v>
      </c>
      <c r="AX514">
        <v>1141</v>
      </c>
      <c r="AY514">
        <v>0.45604395604395603</v>
      </c>
      <c r="AZ514">
        <v>0.45604395604395603</v>
      </c>
      <c r="BA514">
        <v>99</v>
      </c>
      <c r="BB514">
        <v>47916</v>
      </c>
      <c r="BC514" t="s">
        <v>551</v>
      </c>
      <c r="BD514" t="s">
        <v>564</v>
      </c>
      <c r="BE514">
        <v>94703</v>
      </c>
    </row>
    <row r="515" spans="38:57" hidden="1" x14ac:dyDescent="0.3">
      <c r="AL515" t="s">
        <v>346</v>
      </c>
      <c r="AM515">
        <v>45470</v>
      </c>
      <c r="AN515" t="s">
        <v>30</v>
      </c>
      <c r="AO515" t="s">
        <v>20</v>
      </c>
      <c r="AP515" t="s">
        <v>33</v>
      </c>
      <c r="AQ515">
        <v>122</v>
      </c>
      <c r="AR515">
        <v>56</v>
      </c>
      <c r="AS515">
        <v>178</v>
      </c>
      <c r="AT515">
        <v>52</v>
      </c>
      <c r="AU515">
        <v>58</v>
      </c>
      <c r="AV515">
        <v>15</v>
      </c>
      <c r="AW515">
        <v>270</v>
      </c>
      <c r="AX515">
        <v>1706</v>
      </c>
      <c r="AY515">
        <v>0.3146067415730337</v>
      </c>
      <c r="AZ515">
        <v>0.3146067415730337</v>
      </c>
      <c r="BA515">
        <v>122</v>
      </c>
      <c r="BB515">
        <v>32940</v>
      </c>
      <c r="BC515" t="s">
        <v>551</v>
      </c>
      <c r="BD515" t="s">
        <v>559</v>
      </c>
      <c r="BE515">
        <v>95536</v>
      </c>
    </row>
    <row r="516" spans="38:57" hidden="1" x14ac:dyDescent="0.3">
      <c r="AL516" t="s">
        <v>350</v>
      </c>
      <c r="AM516">
        <v>45645</v>
      </c>
      <c r="AN516" t="s">
        <v>16</v>
      </c>
      <c r="AO516" t="s">
        <v>13</v>
      </c>
      <c r="AP516" t="s">
        <v>33</v>
      </c>
      <c r="AQ516">
        <v>102</v>
      </c>
      <c r="AR516">
        <v>82</v>
      </c>
      <c r="AS516">
        <v>184</v>
      </c>
      <c r="AT516">
        <v>51</v>
      </c>
      <c r="AU516">
        <v>34</v>
      </c>
      <c r="AV516">
        <v>9</v>
      </c>
      <c r="AW516">
        <v>700</v>
      </c>
      <c r="AX516">
        <v>1962</v>
      </c>
      <c r="AY516">
        <v>0.44565217391304346</v>
      </c>
      <c r="AZ516">
        <v>0.44565217391304346</v>
      </c>
      <c r="BA516">
        <v>102</v>
      </c>
      <c r="BB516">
        <v>71400</v>
      </c>
      <c r="BC516" t="s">
        <v>551</v>
      </c>
      <c r="BD516" t="s">
        <v>563</v>
      </c>
      <c r="BE516">
        <v>160884</v>
      </c>
    </row>
    <row r="517" spans="38:57" hidden="1" x14ac:dyDescent="0.3">
      <c r="AL517" t="s">
        <v>354</v>
      </c>
      <c r="AM517">
        <v>45597</v>
      </c>
      <c r="AN517" t="s">
        <v>53</v>
      </c>
      <c r="AO517" t="s">
        <v>20</v>
      </c>
      <c r="AP517" t="s">
        <v>14</v>
      </c>
      <c r="AQ517">
        <v>103</v>
      </c>
      <c r="AR517">
        <v>48</v>
      </c>
      <c r="AS517">
        <v>151</v>
      </c>
      <c r="AT517">
        <v>42</v>
      </c>
      <c r="AU517">
        <v>32</v>
      </c>
      <c r="AV517">
        <v>11</v>
      </c>
      <c r="AW517">
        <v>724</v>
      </c>
      <c r="AX517">
        <v>992</v>
      </c>
      <c r="AY517">
        <v>0.31788079470198677</v>
      </c>
      <c r="AZ517">
        <v>0.31788079470198677</v>
      </c>
      <c r="BA517">
        <v>103</v>
      </c>
      <c r="BB517">
        <v>74572</v>
      </c>
      <c r="BC517" t="s">
        <v>551</v>
      </c>
      <c r="BD517" t="s">
        <v>564</v>
      </c>
      <c r="BE517">
        <v>47616</v>
      </c>
    </row>
    <row r="518" spans="38:57" x14ac:dyDescent="0.3">
      <c r="AL518" t="s">
        <v>355</v>
      </c>
      <c r="AM518">
        <v>45471</v>
      </c>
      <c r="AN518" t="s">
        <v>53</v>
      </c>
      <c r="AO518" t="s">
        <v>17</v>
      </c>
      <c r="AP518" t="s">
        <v>38</v>
      </c>
      <c r="AQ518">
        <v>106</v>
      </c>
      <c r="AR518">
        <v>117</v>
      </c>
      <c r="AS518">
        <v>223</v>
      </c>
      <c r="AT518">
        <v>208</v>
      </c>
      <c r="AU518">
        <v>34</v>
      </c>
      <c r="AV518">
        <v>11</v>
      </c>
      <c r="AW518">
        <v>1749</v>
      </c>
      <c r="AX518">
        <v>2225</v>
      </c>
      <c r="AY518">
        <v>0.5246636771300448</v>
      </c>
      <c r="AZ518">
        <v>0.5246636771300448</v>
      </c>
      <c r="BA518">
        <v>106</v>
      </c>
      <c r="BB518">
        <v>185394</v>
      </c>
      <c r="BC518" t="s">
        <v>551</v>
      </c>
      <c r="BD518" t="s">
        <v>559</v>
      </c>
      <c r="BE518" s="5">
        <v>260325</v>
      </c>
    </row>
    <row r="519" spans="38:57" hidden="1" x14ac:dyDescent="0.3">
      <c r="AL519" t="s">
        <v>356</v>
      </c>
      <c r="AM519">
        <v>45470</v>
      </c>
      <c r="AN519" t="s">
        <v>12</v>
      </c>
      <c r="AO519" t="s">
        <v>13</v>
      </c>
      <c r="AP519" t="s">
        <v>21</v>
      </c>
      <c r="AQ519">
        <v>117</v>
      </c>
      <c r="AR519">
        <v>67</v>
      </c>
      <c r="AS519">
        <v>184</v>
      </c>
      <c r="AT519">
        <v>181</v>
      </c>
      <c r="AU519">
        <v>67</v>
      </c>
      <c r="AV519">
        <v>11</v>
      </c>
      <c r="AW519">
        <v>1842</v>
      </c>
      <c r="AX519">
        <v>3128</v>
      </c>
      <c r="AY519">
        <v>0.3641304347826087</v>
      </c>
      <c r="AZ519">
        <v>0.3641304347826087</v>
      </c>
      <c r="BA519">
        <v>117</v>
      </c>
      <c r="BB519">
        <v>215514</v>
      </c>
      <c r="BC519" t="s">
        <v>551</v>
      </c>
      <c r="BD519" t="s">
        <v>559</v>
      </c>
      <c r="BE519">
        <v>209576</v>
      </c>
    </row>
    <row r="520" spans="38:57" hidden="1" x14ac:dyDescent="0.3">
      <c r="AL520" t="s">
        <v>362</v>
      </c>
      <c r="AM520">
        <v>45494</v>
      </c>
      <c r="AN520" t="s">
        <v>45</v>
      </c>
      <c r="AO520" t="s">
        <v>20</v>
      </c>
      <c r="AP520" t="s">
        <v>21</v>
      </c>
      <c r="AQ520">
        <v>53</v>
      </c>
      <c r="AR520">
        <v>42</v>
      </c>
      <c r="AS520">
        <v>95</v>
      </c>
      <c r="AT520">
        <v>275</v>
      </c>
      <c r="AU520">
        <v>40</v>
      </c>
      <c r="AV520">
        <v>2</v>
      </c>
      <c r="AW520">
        <v>471</v>
      </c>
      <c r="AX520">
        <v>1551</v>
      </c>
      <c r="AY520">
        <v>0.44210526315789472</v>
      </c>
      <c r="AZ520">
        <v>0.44210526315789472</v>
      </c>
      <c r="BA520">
        <v>53</v>
      </c>
      <c r="BB520">
        <v>24963</v>
      </c>
      <c r="BC520" t="s">
        <v>551</v>
      </c>
      <c r="BD520" t="s">
        <v>556</v>
      </c>
      <c r="BE520">
        <v>65142</v>
      </c>
    </row>
    <row r="521" spans="38:57" hidden="1" x14ac:dyDescent="0.3">
      <c r="AL521" t="s">
        <v>364</v>
      </c>
      <c r="AM521">
        <v>45446</v>
      </c>
      <c r="AN521" t="s">
        <v>19</v>
      </c>
      <c r="AO521" t="s">
        <v>17</v>
      </c>
      <c r="AP521" t="s">
        <v>33</v>
      </c>
      <c r="AQ521">
        <v>112</v>
      </c>
      <c r="AR521">
        <v>48</v>
      </c>
      <c r="AS521">
        <v>160</v>
      </c>
      <c r="AT521">
        <v>183</v>
      </c>
      <c r="AU521">
        <v>32</v>
      </c>
      <c r="AV521">
        <v>7</v>
      </c>
      <c r="AW521">
        <v>570</v>
      </c>
      <c r="AX521">
        <v>1039</v>
      </c>
      <c r="AY521">
        <v>0.3</v>
      </c>
      <c r="AZ521">
        <v>0.3</v>
      </c>
      <c r="BA521">
        <v>112</v>
      </c>
      <c r="BB521">
        <v>63840</v>
      </c>
      <c r="BC521" t="s">
        <v>551</v>
      </c>
      <c r="BD521" t="s">
        <v>559</v>
      </c>
      <c r="BE521">
        <v>49872</v>
      </c>
    </row>
    <row r="522" spans="38:57" hidden="1" x14ac:dyDescent="0.3">
      <c r="AL522" t="s">
        <v>367</v>
      </c>
      <c r="AM522">
        <v>45481</v>
      </c>
      <c r="AN522" t="s">
        <v>30</v>
      </c>
      <c r="AO522" t="s">
        <v>13</v>
      </c>
      <c r="AP522" t="s">
        <v>21</v>
      </c>
      <c r="AQ522">
        <v>67</v>
      </c>
      <c r="AR522">
        <v>76</v>
      </c>
      <c r="AS522">
        <v>143</v>
      </c>
      <c r="AT522">
        <v>282</v>
      </c>
      <c r="AU522">
        <v>38</v>
      </c>
      <c r="AV522">
        <v>13</v>
      </c>
      <c r="AW522">
        <v>1028</v>
      </c>
      <c r="AX522">
        <v>2115</v>
      </c>
      <c r="AY522">
        <v>0.53146853146853146</v>
      </c>
      <c r="AZ522">
        <v>0.53146853146853146</v>
      </c>
      <c r="BA522">
        <v>67</v>
      </c>
      <c r="BB522">
        <v>68876</v>
      </c>
      <c r="BC522" t="s">
        <v>551</v>
      </c>
      <c r="BD522" t="s">
        <v>556</v>
      </c>
      <c r="BE522">
        <v>160740</v>
      </c>
    </row>
    <row r="523" spans="38:57" hidden="1" x14ac:dyDescent="0.3">
      <c r="AL523" t="s">
        <v>368</v>
      </c>
      <c r="AM523">
        <v>45526</v>
      </c>
      <c r="AN523" t="s">
        <v>12</v>
      </c>
      <c r="AO523" t="s">
        <v>13</v>
      </c>
      <c r="AP523" t="s">
        <v>21</v>
      </c>
      <c r="AQ523">
        <v>99</v>
      </c>
      <c r="AR523">
        <v>77</v>
      </c>
      <c r="AS523">
        <v>176</v>
      </c>
      <c r="AT523">
        <v>148</v>
      </c>
      <c r="AU523">
        <v>32</v>
      </c>
      <c r="AV523">
        <v>12</v>
      </c>
      <c r="AW523">
        <v>296</v>
      </c>
      <c r="AX523">
        <v>810</v>
      </c>
      <c r="AY523">
        <v>0.4375</v>
      </c>
      <c r="AZ523">
        <v>0.4375</v>
      </c>
      <c r="BA523">
        <v>99</v>
      </c>
      <c r="BB523">
        <v>29304</v>
      </c>
      <c r="BC523" t="s">
        <v>551</v>
      </c>
      <c r="BD523" t="s">
        <v>554</v>
      </c>
      <c r="BE523">
        <v>62370</v>
      </c>
    </row>
    <row r="524" spans="38:57" hidden="1" x14ac:dyDescent="0.3">
      <c r="AL524" t="s">
        <v>370</v>
      </c>
      <c r="AM524">
        <v>45642</v>
      </c>
      <c r="AN524" t="s">
        <v>19</v>
      </c>
      <c r="AO524" t="s">
        <v>20</v>
      </c>
      <c r="AP524" t="s">
        <v>21</v>
      </c>
      <c r="AQ524">
        <v>6</v>
      </c>
      <c r="AR524">
        <v>3</v>
      </c>
      <c r="AS524">
        <v>9</v>
      </c>
      <c r="AT524">
        <v>100</v>
      </c>
      <c r="AU524">
        <v>76</v>
      </c>
      <c r="AV524">
        <v>8</v>
      </c>
      <c r="AW524">
        <v>480</v>
      </c>
      <c r="AX524">
        <v>810</v>
      </c>
      <c r="AY524">
        <v>0.33333333333333331</v>
      </c>
      <c r="AZ524">
        <v>0.33333333333333331</v>
      </c>
      <c r="BA524">
        <v>6</v>
      </c>
      <c r="BB524">
        <v>2880</v>
      </c>
      <c r="BC524" t="s">
        <v>551</v>
      </c>
      <c r="BD524" t="s">
        <v>563</v>
      </c>
      <c r="BE524">
        <v>2430</v>
      </c>
    </row>
    <row r="525" spans="38:57" hidden="1" x14ac:dyDescent="0.3">
      <c r="AL525" t="s">
        <v>373</v>
      </c>
      <c r="AM525">
        <v>45624</v>
      </c>
      <c r="AN525" t="s">
        <v>19</v>
      </c>
      <c r="AO525" t="s">
        <v>13</v>
      </c>
      <c r="AP525" t="s">
        <v>23</v>
      </c>
      <c r="AQ525">
        <v>118</v>
      </c>
      <c r="AR525">
        <v>62</v>
      </c>
      <c r="AS525">
        <v>180</v>
      </c>
      <c r="AT525">
        <v>86</v>
      </c>
      <c r="AU525">
        <v>70</v>
      </c>
      <c r="AV525">
        <v>4</v>
      </c>
      <c r="AW525">
        <v>1893</v>
      </c>
      <c r="AX525">
        <v>3354</v>
      </c>
      <c r="AY525">
        <v>0.34444444444444444</v>
      </c>
      <c r="AZ525">
        <v>0.34444444444444444</v>
      </c>
      <c r="BA525">
        <v>118</v>
      </c>
      <c r="BB525">
        <v>223374</v>
      </c>
      <c r="BC525" t="s">
        <v>551</v>
      </c>
      <c r="BD525" t="s">
        <v>564</v>
      </c>
      <c r="BE525">
        <v>207948</v>
      </c>
    </row>
    <row r="526" spans="38:57" hidden="1" x14ac:dyDescent="0.3">
      <c r="AL526" t="s">
        <v>374</v>
      </c>
      <c r="AM526">
        <v>45327</v>
      </c>
      <c r="AN526" t="s">
        <v>26</v>
      </c>
      <c r="AO526" t="s">
        <v>17</v>
      </c>
      <c r="AP526" t="s">
        <v>33</v>
      </c>
      <c r="AQ526">
        <v>89</v>
      </c>
      <c r="AR526">
        <v>48</v>
      </c>
      <c r="AS526">
        <v>137</v>
      </c>
      <c r="AT526">
        <v>72</v>
      </c>
      <c r="AU526">
        <v>47</v>
      </c>
      <c r="AV526">
        <v>14</v>
      </c>
      <c r="AW526">
        <v>686</v>
      </c>
      <c r="AX526">
        <v>923</v>
      </c>
      <c r="AY526">
        <v>0.35036496350364965</v>
      </c>
      <c r="AZ526">
        <v>0.35036496350364965</v>
      </c>
      <c r="BA526">
        <v>89</v>
      </c>
      <c r="BB526">
        <v>61054</v>
      </c>
      <c r="BC526" t="s">
        <v>551</v>
      </c>
      <c r="BD526" t="s">
        <v>555</v>
      </c>
      <c r="BE526">
        <v>44304</v>
      </c>
    </row>
    <row r="527" spans="38:57" hidden="1" x14ac:dyDescent="0.3">
      <c r="AL527" t="s">
        <v>376</v>
      </c>
      <c r="AM527">
        <v>45414</v>
      </c>
      <c r="AN527" t="s">
        <v>12</v>
      </c>
      <c r="AO527" t="s">
        <v>17</v>
      </c>
      <c r="AP527" t="s">
        <v>38</v>
      </c>
      <c r="AQ527">
        <v>77</v>
      </c>
      <c r="AR527">
        <v>33</v>
      </c>
      <c r="AS527">
        <v>110</v>
      </c>
      <c r="AT527">
        <v>115</v>
      </c>
      <c r="AU527">
        <v>76</v>
      </c>
      <c r="AV527">
        <v>10</v>
      </c>
      <c r="AW527">
        <v>764</v>
      </c>
      <c r="AX527">
        <v>1388</v>
      </c>
      <c r="AY527">
        <v>0.3</v>
      </c>
      <c r="AZ527">
        <v>0.3</v>
      </c>
      <c r="BA527">
        <v>77</v>
      </c>
      <c r="BB527">
        <v>58828</v>
      </c>
      <c r="BC527" t="s">
        <v>551</v>
      </c>
      <c r="BD527" t="s">
        <v>561</v>
      </c>
      <c r="BE527">
        <v>45804</v>
      </c>
    </row>
    <row r="528" spans="38:57" hidden="1" x14ac:dyDescent="0.3">
      <c r="AL528" t="s">
        <v>378</v>
      </c>
      <c r="AM528">
        <v>45645</v>
      </c>
      <c r="AN528" t="s">
        <v>53</v>
      </c>
      <c r="AO528" t="s">
        <v>20</v>
      </c>
      <c r="AP528" t="s">
        <v>33</v>
      </c>
      <c r="AQ528">
        <v>135</v>
      </c>
      <c r="AR528">
        <v>76</v>
      </c>
      <c r="AS528">
        <v>211</v>
      </c>
      <c r="AT528">
        <v>86</v>
      </c>
      <c r="AU528">
        <v>32</v>
      </c>
      <c r="AV528">
        <v>11</v>
      </c>
      <c r="AW528">
        <v>677</v>
      </c>
      <c r="AX528">
        <v>1849</v>
      </c>
      <c r="AY528">
        <v>0.36018957345971564</v>
      </c>
      <c r="AZ528">
        <v>0.36018957345971564</v>
      </c>
      <c r="BA528">
        <v>135</v>
      </c>
      <c r="BB528">
        <v>91395</v>
      </c>
      <c r="BC528" t="s">
        <v>551</v>
      </c>
      <c r="BD528" t="s">
        <v>563</v>
      </c>
      <c r="BE528">
        <v>140524</v>
      </c>
    </row>
    <row r="529" spans="38:57" hidden="1" x14ac:dyDescent="0.3">
      <c r="AL529" t="s">
        <v>379</v>
      </c>
      <c r="AM529">
        <v>45548</v>
      </c>
      <c r="AN529" t="s">
        <v>12</v>
      </c>
      <c r="AO529" t="s">
        <v>13</v>
      </c>
      <c r="AP529" t="s">
        <v>14</v>
      </c>
      <c r="AQ529">
        <v>105</v>
      </c>
      <c r="AR529">
        <v>108</v>
      </c>
      <c r="AS529">
        <v>213</v>
      </c>
      <c r="AT529">
        <v>159</v>
      </c>
      <c r="AU529">
        <v>35</v>
      </c>
      <c r="AV529">
        <v>7</v>
      </c>
      <c r="AW529">
        <v>613</v>
      </c>
      <c r="AX529">
        <v>1471</v>
      </c>
      <c r="AY529">
        <v>0.50704225352112675</v>
      </c>
      <c r="AZ529">
        <v>0.50704225352112675</v>
      </c>
      <c r="BA529">
        <v>105</v>
      </c>
      <c r="BB529">
        <v>64365</v>
      </c>
      <c r="BC529" t="s">
        <v>551</v>
      </c>
      <c r="BD529" t="s">
        <v>560</v>
      </c>
      <c r="BE529">
        <v>158868</v>
      </c>
    </row>
    <row r="530" spans="38:57" hidden="1" x14ac:dyDescent="0.3">
      <c r="AL530" t="s">
        <v>382</v>
      </c>
      <c r="AM530">
        <v>45505</v>
      </c>
      <c r="AN530" t="s">
        <v>12</v>
      </c>
      <c r="AO530" t="s">
        <v>13</v>
      </c>
      <c r="AP530" t="s">
        <v>38</v>
      </c>
      <c r="AQ530">
        <v>109</v>
      </c>
      <c r="AR530">
        <v>49</v>
      </c>
      <c r="AS530">
        <v>158</v>
      </c>
      <c r="AT530">
        <v>229</v>
      </c>
      <c r="AU530">
        <v>79</v>
      </c>
      <c r="AV530">
        <v>15</v>
      </c>
      <c r="AW530">
        <v>1307</v>
      </c>
      <c r="AX530">
        <v>1810</v>
      </c>
      <c r="AY530">
        <v>0.310126582278481</v>
      </c>
      <c r="AZ530">
        <v>0.310126582278481</v>
      </c>
      <c r="BA530">
        <v>109</v>
      </c>
      <c r="BB530">
        <v>142463</v>
      </c>
      <c r="BC530" t="s">
        <v>551</v>
      </c>
      <c r="BD530" t="s">
        <v>554</v>
      </c>
      <c r="BE530">
        <v>88690</v>
      </c>
    </row>
    <row r="531" spans="38:57" hidden="1" x14ac:dyDescent="0.3">
      <c r="AL531" t="s">
        <v>385</v>
      </c>
      <c r="AM531">
        <v>45506</v>
      </c>
      <c r="AN531" t="s">
        <v>53</v>
      </c>
      <c r="AO531" t="s">
        <v>20</v>
      </c>
      <c r="AP531" t="s">
        <v>14</v>
      </c>
      <c r="AQ531">
        <v>68</v>
      </c>
      <c r="AR531">
        <v>99</v>
      </c>
      <c r="AS531">
        <v>167</v>
      </c>
      <c r="AT531">
        <v>69</v>
      </c>
      <c r="AU531">
        <v>62</v>
      </c>
      <c r="AV531">
        <v>9</v>
      </c>
      <c r="AW531">
        <v>1419</v>
      </c>
      <c r="AX531">
        <v>2074</v>
      </c>
      <c r="AY531">
        <v>0.59281437125748504</v>
      </c>
      <c r="AZ531">
        <v>0.59281437125748504</v>
      </c>
      <c r="BA531">
        <v>68</v>
      </c>
      <c r="BB531">
        <v>96492</v>
      </c>
      <c r="BC531" t="s">
        <v>551</v>
      </c>
      <c r="BD531" t="s">
        <v>554</v>
      </c>
      <c r="BE531">
        <v>205326</v>
      </c>
    </row>
    <row r="532" spans="38:57" hidden="1" x14ac:dyDescent="0.3">
      <c r="AL532" t="s">
        <v>391</v>
      </c>
      <c r="AM532">
        <v>45485</v>
      </c>
      <c r="AN532" t="s">
        <v>146</v>
      </c>
      <c r="AO532" t="s">
        <v>13</v>
      </c>
      <c r="AP532" t="s">
        <v>21</v>
      </c>
      <c r="AQ532">
        <v>121</v>
      </c>
      <c r="AR532">
        <v>58</v>
      </c>
      <c r="AS532">
        <v>179</v>
      </c>
      <c r="AT532">
        <v>169</v>
      </c>
      <c r="AU532">
        <v>67</v>
      </c>
      <c r="AV532">
        <v>9</v>
      </c>
      <c r="AW532">
        <v>1648</v>
      </c>
      <c r="AX532">
        <v>3109</v>
      </c>
      <c r="AY532">
        <v>0.32402234636871508</v>
      </c>
      <c r="AZ532">
        <v>0.32402234636871508</v>
      </c>
      <c r="BA532">
        <v>121</v>
      </c>
      <c r="BB532">
        <v>199408</v>
      </c>
      <c r="BC532" t="s">
        <v>551</v>
      </c>
      <c r="BD532" t="s">
        <v>556</v>
      </c>
      <c r="BE532">
        <v>180322</v>
      </c>
    </row>
    <row r="533" spans="38:57" hidden="1" x14ac:dyDescent="0.3">
      <c r="AL533" t="s">
        <v>393</v>
      </c>
      <c r="AM533">
        <v>45412</v>
      </c>
      <c r="AN533" t="s">
        <v>16</v>
      </c>
      <c r="AO533" t="s">
        <v>13</v>
      </c>
      <c r="AP533" t="s">
        <v>14</v>
      </c>
      <c r="AQ533">
        <v>74</v>
      </c>
      <c r="AR533">
        <v>43</v>
      </c>
      <c r="AS533">
        <v>117</v>
      </c>
      <c r="AT533">
        <v>239</v>
      </c>
      <c r="AU533">
        <v>68</v>
      </c>
      <c r="AV533">
        <v>12</v>
      </c>
      <c r="AW533">
        <v>1324</v>
      </c>
      <c r="AX533">
        <v>1632</v>
      </c>
      <c r="AY533">
        <v>0.36752136752136755</v>
      </c>
      <c r="AZ533">
        <v>0.36752136752136755</v>
      </c>
      <c r="BA533">
        <v>74</v>
      </c>
      <c r="BB533">
        <v>97976</v>
      </c>
      <c r="BC533" t="s">
        <v>551</v>
      </c>
      <c r="BD533" t="s">
        <v>558</v>
      </c>
      <c r="BE533">
        <v>70176</v>
      </c>
    </row>
    <row r="534" spans="38:57" hidden="1" x14ac:dyDescent="0.3">
      <c r="AL534" t="s">
        <v>394</v>
      </c>
      <c r="AM534">
        <v>45401</v>
      </c>
      <c r="AN534" t="s">
        <v>53</v>
      </c>
      <c r="AO534" t="s">
        <v>20</v>
      </c>
      <c r="AP534" t="s">
        <v>14</v>
      </c>
      <c r="AQ534">
        <v>56</v>
      </c>
      <c r="AR534">
        <v>48</v>
      </c>
      <c r="AS534">
        <v>104</v>
      </c>
      <c r="AT534">
        <v>215</v>
      </c>
      <c r="AU534">
        <v>62</v>
      </c>
      <c r="AV534">
        <v>9</v>
      </c>
      <c r="AW534">
        <v>1645</v>
      </c>
      <c r="AX534">
        <v>2818</v>
      </c>
      <c r="AY534">
        <v>0.46153846153846156</v>
      </c>
      <c r="AZ534">
        <v>0.46153846153846156</v>
      </c>
      <c r="BA534">
        <v>56</v>
      </c>
      <c r="BB534">
        <v>92120</v>
      </c>
      <c r="BC534" t="s">
        <v>551</v>
      </c>
      <c r="BD534" t="s">
        <v>558</v>
      </c>
      <c r="BE534">
        <v>135264</v>
      </c>
    </row>
    <row r="535" spans="38:57" x14ac:dyDescent="0.3">
      <c r="AL535" t="s">
        <v>395</v>
      </c>
      <c r="AM535">
        <v>45390</v>
      </c>
      <c r="AN535" t="s">
        <v>53</v>
      </c>
      <c r="AO535" t="s">
        <v>17</v>
      </c>
      <c r="AP535" t="s">
        <v>38</v>
      </c>
      <c r="AQ535">
        <v>128</v>
      </c>
      <c r="AR535">
        <v>88</v>
      </c>
      <c r="AS535">
        <v>216</v>
      </c>
      <c r="AT535">
        <v>37</v>
      </c>
      <c r="AU535">
        <v>79</v>
      </c>
      <c r="AV535">
        <v>14</v>
      </c>
      <c r="AW535">
        <v>1931</v>
      </c>
      <c r="AX535">
        <v>2887</v>
      </c>
      <c r="AY535">
        <v>0.40740740740740738</v>
      </c>
      <c r="AZ535">
        <v>0.40740740740740738</v>
      </c>
      <c r="BA535">
        <v>128</v>
      </c>
      <c r="BB535">
        <v>247168</v>
      </c>
      <c r="BC535" t="s">
        <v>551</v>
      </c>
      <c r="BD535" t="s">
        <v>558</v>
      </c>
      <c r="BE535" s="5">
        <v>254056</v>
      </c>
    </row>
    <row r="536" spans="38:57" hidden="1" x14ac:dyDescent="0.3">
      <c r="AL536" t="s">
        <v>396</v>
      </c>
      <c r="AM536">
        <v>45584</v>
      </c>
      <c r="AN536" t="s">
        <v>12</v>
      </c>
      <c r="AO536" t="s">
        <v>13</v>
      </c>
      <c r="AP536" t="s">
        <v>21</v>
      </c>
      <c r="AQ536">
        <v>89</v>
      </c>
      <c r="AR536">
        <v>46</v>
      </c>
      <c r="AS536">
        <v>135</v>
      </c>
      <c r="AT536">
        <v>224</v>
      </c>
      <c r="AU536">
        <v>47</v>
      </c>
      <c r="AV536">
        <v>5</v>
      </c>
      <c r="AW536">
        <v>771</v>
      </c>
      <c r="AX536">
        <v>1057</v>
      </c>
      <c r="AY536">
        <v>0.34074074074074073</v>
      </c>
      <c r="AZ536">
        <v>0.34074074074074073</v>
      </c>
      <c r="BA536">
        <v>89</v>
      </c>
      <c r="BB536">
        <v>68619</v>
      </c>
      <c r="BC536" t="s">
        <v>551</v>
      </c>
      <c r="BD536" t="s">
        <v>565</v>
      </c>
      <c r="BE536">
        <v>48622</v>
      </c>
    </row>
    <row r="537" spans="38:57" hidden="1" x14ac:dyDescent="0.3">
      <c r="AL537" t="s">
        <v>398</v>
      </c>
      <c r="AM537">
        <v>45380</v>
      </c>
      <c r="AN537" t="s">
        <v>19</v>
      </c>
      <c r="AO537" t="s">
        <v>17</v>
      </c>
      <c r="AP537" t="s">
        <v>33</v>
      </c>
      <c r="AQ537">
        <v>147</v>
      </c>
      <c r="AR537">
        <v>111</v>
      </c>
      <c r="AS537">
        <v>258</v>
      </c>
      <c r="AT537">
        <v>197</v>
      </c>
      <c r="AU537">
        <v>65</v>
      </c>
      <c r="AV537">
        <v>5</v>
      </c>
      <c r="AW537">
        <v>511</v>
      </c>
      <c r="AX537">
        <v>1496</v>
      </c>
      <c r="AY537">
        <v>0.43023255813953487</v>
      </c>
      <c r="AZ537">
        <v>0.43023255813953487</v>
      </c>
      <c r="BA537">
        <v>147</v>
      </c>
      <c r="BB537">
        <v>75117</v>
      </c>
      <c r="BC537" t="s">
        <v>551</v>
      </c>
      <c r="BD537" t="s">
        <v>562</v>
      </c>
      <c r="BE537">
        <v>166056</v>
      </c>
    </row>
    <row r="538" spans="38:57" hidden="1" x14ac:dyDescent="0.3">
      <c r="AL538" t="s">
        <v>399</v>
      </c>
      <c r="AM538">
        <v>45347</v>
      </c>
      <c r="AN538" t="s">
        <v>53</v>
      </c>
      <c r="AO538" t="s">
        <v>20</v>
      </c>
      <c r="AP538" t="s">
        <v>14</v>
      </c>
      <c r="AQ538">
        <v>41</v>
      </c>
      <c r="AR538">
        <v>27</v>
      </c>
      <c r="AS538">
        <v>68</v>
      </c>
      <c r="AT538">
        <v>40</v>
      </c>
      <c r="AU538">
        <v>72</v>
      </c>
      <c r="AV538">
        <v>14</v>
      </c>
      <c r="AW538">
        <v>863</v>
      </c>
      <c r="AX538">
        <v>2103</v>
      </c>
      <c r="AY538">
        <v>0.39705882352941174</v>
      </c>
      <c r="AZ538">
        <v>0.39705882352941174</v>
      </c>
      <c r="BA538">
        <v>41</v>
      </c>
      <c r="BB538">
        <v>35383</v>
      </c>
      <c r="BC538" t="s">
        <v>551</v>
      </c>
      <c r="BD538" t="s">
        <v>555</v>
      </c>
      <c r="BE538">
        <v>56781</v>
      </c>
    </row>
    <row r="539" spans="38:57" hidden="1" x14ac:dyDescent="0.3">
      <c r="AL539" t="s">
        <v>404</v>
      </c>
      <c r="AM539">
        <v>45295</v>
      </c>
      <c r="AN539" t="s">
        <v>16</v>
      </c>
      <c r="AO539" t="s">
        <v>13</v>
      </c>
      <c r="AP539" t="s">
        <v>14</v>
      </c>
      <c r="AQ539">
        <v>134</v>
      </c>
      <c r="AR539">
        <v>87</v>
      </c>
      <c r="AS539">
        <v>221</v>
      </c>
      <c r="AT539">
        <v>21</v>
      </c>
      <c r="AU539">
        <v>75</v>
      </c>
      <c r="AV539">
        <v>3</v>
      </c>
      <c r="AW539">
        <v>1108</v>
      </c>
      <c r="AX539">
        <v>1316</v>
      </c>
      <c r="AY539">
        <v>0.39366515837104071</v>
      </c>
      <c r="AZ539">
        <v>0.39366515837104071</v>
      </c>
      <c r="BA539">
        <v>134</v>
      </c>
      <c r="BB539">
        <v>148472</v>
      </c>
      <c r="BC539" t="s">
        <v>551</v>
      </c>
      <c r="BD539" t="s">
        <v>557</v>
      </c>
      <c r="BE539">
        <v>114492</v>
      </c>
    </row>
    <row r="540" spans="38:57" hidden="1" x14ac:dyDescent="0.3">
      <c r="AL540" t="s">
        <v>407</v>
      </c>
      <c r="AM540">
        <v>45576</v>
      </c>
      <c r="AN540" t="s">
        <v>45</v>
      </c>
      <c r="AO540" t="s">
        <v>20</v>
      </c>
      <c r="AP540" t="s">
        <v>23</v>
      </c>
      <c r="AQ540">
        <v>126</v>
      </c>
      <c r="AR540">
        <v>107</v>
      </c>
      <c r="AS540">
        <v>233</v>
      </c>
      <c r="AT540">
        <v>275</v>
      </c>
      <c r="AU540">
        <v>45</v>
      </c>
      <c r="AV540">
        <v>14</v>
      </c>
      <c r="AW540">
        <v>1379</v>
      </c>
      <c r="AX540">
        <v>1966</v>
      </c>
      <c r="AY540">
        <v>0.45922746781115881</v>
      </c>
      <c r="AZ540">
        <v>0.45922746781115881</v>
      </c>
      <c r="BA540">
        <v>126</v>
      </c>
      <c r="BB540">
        <v>173754</v>
      </c>
      <c r="BC540" t="s">
        <v>551</v>
      </c>
      <c r="BD540" t="s">
        <v>565</v>
      </c>
      <c r="BE540">
        <v>210362</v>
      </c>
    </row>
    <row r="541" spans="38:57" hidden="1" x14ac:dyDescent="0.3">
      <c r="AL541" t="s">
        <v>408</v>
      </c>
      <c r="AM541">
        <v>45599</v>
      </c>
      <c r="AN541" t="s">
        <v>45</v>
      </c>
      <c r="AO541" t="s">
        <v>20</v>
      </c>
      <c r="AP541" t="s">
        <v>38</v>
      </c>
      <c r="AQ541">
        <v>114</v>
      </c>
      <c r="AR541">
        <v>71</v>
      </c>
      <c r="AS541">
        <v>185</v>
      </c>
      <c r="AT541">
        <v>149</v>
      </c>
      <c r="AU541">
        <v>40</v>
      </c>
      <c r="AV541">
        <v>8</v>
      </c>
      <c r="AW541">
        <v>1611</v>
      </c>
      <c r="AX541">
        <v>2798</v>
      </c>
      <c r="AY541">
        <v>0.38378378378378381</v>
      </c>
      <c r="AZ541">
        <v>0.38378378378378381</v>
      </c>
      <c r="BA541">
        <v>114</v>
      </c>
      <c r="BB541">
        <v>183654</v>
      </c>
      <c r="BC541" t="s">
        <v>551</v>
      </c>
      <c r="BD541" t="s">
        <v>564</v>
      </c>
      <c r="BE541">
        <v>198658</v>
      </c>
    </row>
    <row r="542" spans="38:57" hidden="1" x14ac:dyDescent="0.3">
      <c r="AL542" t="s">
        <v>410</v>
      </c>
      <c r="AM542">
        <v>45342</v>
      </c>
      <c r="AN542" t="s">
        <v>45</v>
      </c>
      <c r="AO542" t="s">
        <v>17</v>
      </c>
      <c r="AP542" t="s">
        <v>21</v>
      </c>
      <c r="AQ542">
        <v>26</v>
      </c>
      <c r="AR542">
        <v>25</v>
      </c>
      <c r="AS542">
        <v>51</v>
      </c>
      <c r="AT542">
        <v>56</v>
      </c>
      <c r="AU542">
        <v>41</v>
      </c>
      <c r="AV542">
        <v>13</v>
      </c>
      <c r="AW542">
        <v>1309</v>
      </c>
      <c r="AX542">
        <v>1485</v>
      </c>
      <c r="AY542">
        <v>0.49019607843137253</v>
      </c>
      <c r="AZ542">
        <v>0.49019607843137253</v>
      </c>
      <c r="BA542">
        <v>26</v>
      </c>
      <c r="BB542">
        <v>34034</v>
      </c>
      <c r="BC542" t="s">
        <v>551</v>
      </c>
      <c r="BD542" t="s">
        <v>555</v>
      </c>
      <c r="BE542">
        <v>37125</v>
      </c>
    </row>
    <row r="543" spans="38:57" hidden="1" x14ac:dyDescent="0.3">
      <c r="AL543" t="s">
        <v>412</v>
      </c>
      <c r="AM543">
        <v>45295</v>
      </c>
      <c r="AN543" t="s">
        <v>19</v>
      </c>
      <c r="AO543" t="s">
        <v>13</v>
      </c>
      <c r="AP543" t="s">
        <v>38</v>
      </c>
      <c r="AQ543">
        <v>29</v>
      </c>
      <c r="AR543">
        <v>13</v>
      </c>
      <c r="AS543">
        <v>42</v>
      </c>
      <c r="AT543">
        <v>204</v>
      </c>
      <c r="AU543">
        <v>48</v>
      </c>
      <c r="AV543">
        <v>13</v>
      </c>
      <c r="AW543">
        <v>581</v>
      </c>
      <c r="AX543">
        <v>805</v>
      </c>
      <c r="AY543">
        <v>0.30952380952380953</v>
      </c>
      <c r="AZ543">
        <v>0.30952380952380953</v>
      </c>
      <c r="BA543">
        <v>29</v>
      </c>
      <c r="BB543">
        <v>16849</v>
      </c>
      <c r="BC543" t="s">
        <v>551</v>
      </c>
      <c r="BD543" t="s">
        <v>557</v>
      </c>
      <c r="BE543">
        <v>10465</v>
      </c>
    </row>
    <row r="544" spans="38:57" hidden="1" x14ac:dyDescent="0.3">
      <c r="AL544" t="s">
        <v>414</v>
      </c>
      <c r="AM544">
        <v>45459</v>
      </c>
      <c r="AN544" t="s">
        <v>53</v>
      </c>
      <c r="AO544" t="s">
        <v>20</v>
      </c>
      <c r="AP544" t="s">
        <v>21</v>
      </c>
      <c r="AQ544">
        <v>142</v>
      </c>
      <c r="AR544">
        <v>84</v>
      </c>
      <c r="AS544">
        <v>226</v>
      </c>
      <c r="AT544">
        <v>193</v>
      </c>
      <c r="AU544">
        <v>77</v>
      </c>
      <c r="AV544">
        <v>7</v>
      </c>
      <c r="AW544">
        <v>920</v>
      </c>
      <c r="AX544">
        <v>1426</v>
      </c>
      <c r="AY544">
        <v>0.37168141592920356</v>
      </c>
      <c r="AZ544">
        <v>0.37168141592920356</v>
      </c>
      <c r="BA544">
        <v>142</v>
      </c>
      <c r="BB544">
        <v>130640</v>
      </c>
      <c r="BC544" t="s">
        <v>551</v>
      </c>
      <c r="BD544" t="s">
        <v>559</v>
      </c>
      <c r="BE544">
        <v>119784</v>
      </c>
    </row>
    <row r="545" spans="38:57" hidden="1" x14ac:dyDescent="0.3">
      <c r="AL545" t="s">
        <v>416</v>
      </c>
      <c r="AM545">
        <v>45503</v>
      </c>
      <c r="AN545" t="s">
        <v>12</v>
      </c>
      <c r="AO545" t="s">
        <v>20</v>
      </c>
      <c r="AP545" t="s">
        <v>14</v>
      </c>
      <c r="AQ545">
        <v>116</v>
      </c>
      <c r="AR545">
        <v>51</v>
      </c>
      <c r="AS545">
        <v>167</v>
      </c>
      <c r="AT545">
        <v>246</v>
      </c>
      <c r="AU545">
        <v>68</v>
      </c>
      <c r="AV545">
        <v>7</v>
      </c>
      <c r="AW545">
        <v>765</v>
      </c>
      <c r="AX545">
        <v>2192</v>
      </c>
      <c r="AY545">
        <v>0.30538922155688625</v>
      </c>
      <c r="AZ545">
        <v>0.30538922155688625</v>
      </c>
      <c r="BA545">
        <v>116</v>
      </c>
      <c r="BB545">
        <v>88740</v>
      </c>
      <c r="BC545" t="s">
        <v>551</v>
      </c>
      <c r="BD545" t="s">
        <v>556</v>
      </c>
      <c r="BE545">
        <v>111792</v>
      </c>
    </row>
    <row r="546" spans="38:57" hidden="1" x14ac:dyDescent="0.3">
      <c r="AL546" t="s">
        <v>417</v>
      </c>
      <c r="AM546">
        <v>45563</v>
      </c>
      <c r="AN546" t="s">
        <v>30</v>
      </c>
      <c r="AO546" t="s">
        <v>20</v>
      </c>
      <c r="AP546" t="s">
        <v>14</v>
      </c>
      <c r="AQ546">
        <v>150</v>
      </c>
      <c r="AR546">
        <v>84</v>
      </c>
      <c r="AS546">
        <v>234</v>
      </c>
      <c r="AT546">
        <v>49</v>
      </c>
      <c r="AU546">
        <v>40</v>
      </c>
      <c r="AV546">
        <v>2</v>
      </c>
      <c r="AW546">
        <v>234</v>
      </c>
      <c r="AX546">
        <v>994</v>
      </c>
      <c r="AY546">
        <v>0.35897435897435898</v>
      </c>
      <c r="AZ546">
        <v>0.35897435897435898</v>
      </c>
      <c r="BA546">
        <v>150</v>
      </c>
      <c r="BB546">
        <v>35100</v>
      </c>
      <c r="BC546" t="s">
        <v>551</v>
      </c>
      <c r="BD546" t="s">
        <v>560</v>
      </c>
      <c r="BE546">
        <v>83496</v>
      </c>
    </row>
    <row r="547" spans="38:57" hidden="1" x14ac:dyDescent="0.3">
      <c r="AL547" t="s">
        <v>418</v>
      </c>
      <c r="AM547">
        <v>45553</v>
      </c>
      <c r="AN547" t="s">
        <v>37</v>
      </c>
      <c r="AO547" t="s">
        <v>13</v>
      </c>
      <c r="AP547" t="s">
        <v>14</v>
      </c>
      <c r="AQ547">
        <v>112</v>
      </c>
      <c r="AR547">
        <v>119</v>
      </c>
      <c r="AS547">
        <v>231</v>
      </c>
      <c r="AT547">
        <v>29</v>
      </c>
      <c r="AU547">
        <v>64</v>
      </c>
      <c r="AV547">
        <v>12</v>
      </c>
      <c r="AW547">
        <v>566</v>
      </c>
      <c r="AX547">
        <v>1254</v>
      </c>
      <c r="AY547">
        <v>0.51515151515151514</v>
      </c>
      <c r="AZ547">
        <v>0.51515151515151514</v>
      </c>
      <c r="BA547">
        <v>112</v>
      </c>
      <c r="BB547">
        <v>63392</v>
      </c>
      <c r="BC547" t="s">
        <v>551</v>
      </c>
      <c r="BD547" t="s">
        <v>560</v>
      </c>
      <c r="BE547">
        <v>149226</v>
      </c>
    </row>
    <row r="548" spans="38:57" hidden="1" x14ac:dyDescent="0.3">
      <c r="AL548" t="s">
        <v>420</v>
      </c>
      <c r="AM548">
        <v>45532</v>
      </c>
      <c r="AN548" t="s">
        <v>16</v>
      </c>
      <c r="AO548" t="s">
        <v>17</v>
      </c>
      <c r="AP548" t="s">
        <v>14</v>
      </c>
      <c r="AQ548">
        <v>28</v>
      </c>
      <c r="AR548">
        <v>31</v>
      </c>
      <c r="AS548">
        <v>59</v>
      </c>
      <c r="AT548">
        <v>120</v>
      </c>
      <c r="AU548">
        <v>65</v>
      </c>
      <c r="AV548">
        <v>6</v>
      </c>
      <c r="AW548">
        <v>1501</v>
      </c>
      <c r="AX548">
        <v>2323</v>
      </c>
      <c r="AY548">
        <v>0.52542372881355937</v>
      </c>
      <c r="AZ548">
        <v>0.52542372881355937</v>
      </c>
      <c r="BA548">
        <v>28</v>
      </c>
      <c r="BB548">
        <v>42028</v>
      </c>
      <c r="BC548" t="s">
        <v>551</v>
      </c>
      <c r="BD548" t="s">
        <v>554</v>
      </c>
      <c r="BE548">
        <v>72013</v>
      </c>
    </row>
    <row r="549" spans="38:57" hidden="1" x14ac:dyDescent="0.3">
      <c r="AL549" t="s">
        <v>430</v>
      </c>
      <c r="AM549">
        <v>45637</v>
      </c>
      <c r="AN549" t="s">
        <v>37</v>
      </c>
      <c r="AO549" t="s">
        <v>13</v>
      </c>
      <c r="AP549" t="s">
        <v>14</v>
      </c>
      <c r="AQ549">
        <v>126</v>
      </c>
      <c r="AR549">
        <v>84</v>
      </c>
      <c r="AS549">
        <v>210</v>
      </c>
      <c r="AT549">
        <v>32</v>
      </c>
      <c r="AU549">
        <v>41</v>
      </c>
      <c r="AV549">
        <v>2</v>
      </c>
      <c r="AW549">
        <v>1016</v>
      </c>
      <c r="AX549">
        <v>2349</v>
      </c>
      <c r="AY549">
        <v>0.4</v>
      </c>
      <c r="AZ549">
        <v>0.4</v>
      </c>
      <c r="BA549">
        <v>126</v>
      </c>
      <c r="BB549">
        <v>128016</v>
      </c>
      <c r="BC549" t="s">
        <v>551</v>
      </c>
      <c r="BD549" t="s">
        <v>563</v>
      </c>
      <c r="BE549">
        <v>197316</v>
      </c>
    </row>
    <row r="550" spans="38:57" hidden="1" x14ac:dyDescent="0.3">
      <c r="AL550" t="s">
        <v>431</v>
      </c>
      <c r="AM550">
        <v>45577</v>
      </c>
      <c r="AN550" t="s">
        <v>37</v>
      </c>
      <c r="AO550" t="s">
        <v>17</v>
      </c>
      <c r="AP550" t="s">
        <v>38</v>
      </c>
      <c r="AQ550">
        <v>77</v>
      </c>
      <c r="AR550">
        <v>69</v>
      </c>
      <c r="AS550">
        <v>146</v>
      </c>
      <c r="AT550">
        <v>148</v>
      </c>
      <c r="AU550">
        <v>38</v>
      </c>
      <c r="AV550">
        <v>10</v>
      </c>
      <c r="AW550">
        <v>860</v>
      </c>
      <c r="AX550">
        <v>2294</v>
      </c>
      <c r="AY550">
        <v>0.4726027397260274</v>
      </c>
      <c r="AZ550">
        <v>0.4726027397260274</v>
      </c>
      <c r="BA550">
        <v>77</v>
      </c>
      <c r="BB550">
        <v>66220</v>
      </c>
      <c r="BC550" t="s">
        <v>551</v>
      </c>
      <c r="BD550" t="s">
        <v>565</v>
      </c>
      <c r="BE550">
        <v>158286</v>
      </c>
    </row>
    <row r="551" spans="38:57" hidden="1" x14ac:dyDescent="0.3">
      <c r="AL551" t="s">
        <v>433</v>
      </c>
      <c r="AM551">
        <v>45370</v>
      </c>
      <c r="AN551" t="s">
        <v>26</v>
      </c>
      <c r="AO551" t="s">
        <v>20</v>
      </c>
      <c r="AP551" t="s">
        <v>21</v>
      </c>
      <c r="AQ551">
        <v>73</v>
      </c>
      <c r="AR551">
        <v>75</v>
      </c>
      <c r="AS551">
        <v>148</v>
      </c>
      <c r="AT551">
        <v>248</v>
      </c>
      <c r="AU551">
        <v>30</v>
      </c>
      <c r="AV551">
        <v>3</v>
      </c>
      <c r="AW551">
        <v>1121</v>
      </c>
      <c r="AX551">
        <v>2543</v>
      </c>
      <c r="AY551">
        <v>0.5067567567567568</v>
      </c>
      <c r="AZ551">
        <v>0.5067567567567568</v>
      </c>
      <c r="BA551">
        <v>73</v>
      </c>
      <c r="BB551">
        <v>81833</v>
      </c>
      <c r="BC551" t="s">
        <v>551</v>
      </c>
      <c r="BD551" t="s">
        <v>562</v>
      </c>
      <c r="BE551">
        <v>190725</v>
      </c>
    </row>
    <row r="552" spans="38:57" hidden="1" x14ac:dyDescent="0.3">
      <c r="AL552" t="s">
        <v>438</v>
      </c>
      <c r="AM552">
        <v>45655</v>
      </c>
      <c r="AN552" t="s">
        <v>45</v>
      </c>
      <c r="AO552" t="s">
        <v>13</v>
      </c>
      <c r="AP552" t="s">
        <v>21</v>
      </c>
      <c r="AQ552">
        <v>75</v>
      </c>
      <c r="AR552">
        <v>62</v>
      </c>
      <c r="AS552">
        <v>137</v>
      </c>
      <c r="AT552">
        <v>79</v>
      </c>
      <c r="AU552">
        <v>49</v>
      </c>
      <c r="AV552">
        <v>6</v>
      </c>
      <c r="AW552">
        <v>692</v>
      </c>
      <c r="AX552">
        <v>1737</v>
      </c>
      <c r="AY552">
        <v>0.45255474452554745</v>
      </c>
      <c r="AZ552">
        <v>0.45255474452554745</v>
      </c>
      <c r="BA552">
        <v>75</v>
      </c>
      <c r="BB552">
        <v>51900</v>
      </c>
      <c r="BC552" t="s">
        <v>551</v>
      </c>
      <c r="BD552" t="s">
        <v>563</v>
      </c>
      <c r="BE552">
        <v>107694</v>
      </c>
    </row>
    <row r="553" spans="38:57" hidden="1" x14ac:dyDescent="0.3">
      <c r="AL553" t="s">
        <v>439</v>
      </c>
      <c r="AM553">
        <v>45559</v>
      </c>
      <c r="AN553" t="s">
        <v>12</v>
      </c>
      <c r="AO553" t="s">
        <v>13</v>
      </c>
      <c r="AP553" t="s">
        <v>21</v>
      </c>
      <c r="AQ553">
        <v>33</v>
      </c>
      <c r="AR553">
        <v>32</v>
      </c>
      <c r="AS553">
        <v>65</v>
      </c>
      <c r="AT553">
        <v>268</v>
      </c>
      <c r="AU553">
        <v>49</v>
      </c>
      <c r="AV553">
        <v>5</v>
      </c>
      <c r="AW553">
        <v>698</v>
      </c>
      <c r="AX553">
        <v>1939</v>
      </c>
      <c r="AY553">
        <v>0.49230769230769234</v>
      </c>
      <c r="AZ553">
        <v>0.49230769230769234</v>
      </c>
      <c r="BA553">
        <v>33</v>
      </c>
      <c r="BB553">
        <v>23034</v>
      </c>
      <c r="BC553" t="s">
        <v>551</v>
      </c>
      <c r="BD553" t="s">
        <v>560</v>
      </c>
      <c r="BE553">
        <v>62048</v>
      </c>
    </row>
    <row r="554" spans="38:57" hidden="1" x14ac:dyDescent="0.3">
      <c r="AL554" t="s">
        <v>440</v>
      </c>
      <c r="AM554">
        <v>45489</v>
      </c>
      <c r="AN554" t="s">
        <v>53</v>
      </c>
      <c r="AO554" t="s">
        <v>17</v>
      </c>
      <c r="AP554" t="s">
        <v>21</v>
      </c>
      <c r="AQ554">
        <v>147</v>
      </c>
      <c r="AR554">
        <v>97</v>
      </c>
      <c r="AS554">
        <v>244</v>
      </c>
      <c r="AT554">
        <v>146</v>
      </c>
      <c r="AU554">
        <v>78</v>
      </c>
      <c r="AV554">
        <v>7</v>
      </c>
      <c r="AW554">
        <v>706</v>
      </c>
      <c r="AX554">
        <v>1549</v>
      </c>
      <c r="AY554">
        <v>0.39754098360655737</v>
      </c>
      <c r="AZ554">
        <v>0.39754098360655737</v>
      </c>
      <c r="BA554">
        <v>147</v>
      </c>
      <c r="BB554">
        <v>103782</v>
      </c>
      <c r="BC554" t="s">
        <v>551</v>
      </c>
      <c r="BD554" t="s">
        <v>556</v>
      </c>
      <c r="BE554">
        <v>150253</v>
      </c>
    </row>
    <row r="555" spans="38:57" hidden="1" x14ac:dyDescent="0.3">
      <c r="AL555" t="s">
        <v>442</v>
      </c>
      <c r="AM555">
        <v>45426</v>
      </c>
      <c r="AN555" t="s">
        <v>45</v>
      </c>
      <c r="AO555" t="s">
        <v>20</v>
      </c>
      <c r="AP555" t="s">
        <v>21</v>
      </c>
      <c r="AQ555">
        <v>111</v>
      </c>
      <c r="AR555">
        <v>56</v>
      </c>
      <c r="AS555">
        <v>167</v>
      </c>
      <c r="AT555">
        <v>43</v>
      </c>
      <c r="AU555">
        <v>65</v>
      </c>
      <c r="AV555">
        <v>14</v>
      </c>
      <c r="AW555">
        <v>1207</v>
      </c>
      <c r="AX555">
        <v>1931</v>
      </c>
      <c r="AY555">
        <v>0.33532934131736525</v>
      </c>
      <c r="AZ555">
        <v>0.33532934131736525</v>
      </c>
      <c r="BA555">
        <v>111</v>
      </c>
      <c r="BB555">
        <v>133977</v>
      </c>
      <c r="BC555" t="s">
        <v>551</v>
      </c>
      <c r="BD555" t="s">
        <v>561</v>
      </c>
      <c r="BE555">
        <v>108136</v>
      </c>
    </row>
    <row r="556" spans="38:57" hidden="1" x14ac:dyDescent="0.3">
      <c r="AL556" t="s">
        <v>445</v>
      </c>
      <c r="AM556">
        <v>45397</v>
      </c>
      <c r="AN556" t="s">
        <v>37</v>
      </c>
      <c r="AO556" t="s">
        <v>13</v>
      </c>
      <c r="AP556" t="s">
        <v>21</v>
      </c>
      <c r="AQ556">
        <v>71</v>
      </c>
      <c r="AR556">
        <v>56</v>
      </c>
      <c r="AS556">
        <v>127</v>
      </c>
      <c r="AT556">
        <v>199</v>
      </c>
      <c r="AU556">
        <v>62</v>
      </c>
      <c r="AV556">
        <v>14</v>
      </c>
      <c r="AW556">
        <v>1664</v>
      </c>
      <c r="AX556">
        <v>1769</v>
      </c>
      <c r="AY556">
        <v>0.44094488188976377</v>
      </c>
      <c r="AZ556">
        <v>0.44094488188976377</v>
      </c>
      <c r="BA556">
        <v>71</v>
      </c>
      <c r="BB556">
        <v>118144</v>
      </c>
      <c r="BC556" t="s">
        <v>551</v>
      </c>
      <c r="BD556" t="s">
        <v>558</v>
      </c>
      <c r="BE556">
        <v>99064</v>
      </c>
    </row>
    <row r="557" spans="38:57" hidden="1" x14ac:dyDescent="0.3">
      <c r="AL557" t="s">
        <v>446</v>
      </c>
      <c r="AM557">
        <v>45396</v>
      </c>
      <c r="AN557" t="s">
        <v>26</v>
      </c>
      <c r="AO557" t="s">
        <v>17</v>
      </c>
      <c r="AP557" t="s">
        <v>14</v>
      </c>
      <c r="AQ557">
        <v>69</v>
      </c>
      <c r="AR557">
        <v>31</v>
      </c>
      <c r="AS557">
        <v>100</v>
      </c>
      <c r="AT557">
        <v>96</v>
      </c>
      <c r="AU557">
        <v>60</v>
      </c>
      <c r="AV557">
        <v>12</v>
      </c>
      <c r="AW557">
        <v>1958</v>
      </c>
      <c r="AX557">
        <v>3252</v>
      </c>
      <c r="AY557">
        <v>0.31</v>
      </c>
      <c r="AZ557">
        <v>0.31</v>
      </c>
      <c r="BA557">
        <v>69</v>
      </c>
      <c r="BB557">
        <v>135102</v>
      </c>
      <c r="BC557" t="s">
        <v>551</v>
      </c>
      <c r="BD557" t="s">
        <v>558</v>
      </c>
      <c r="BE557">
        <v>100812</v>
      </c>
    </row>
    <row r="558" spans="38:57" hidden="1" x14ac:dyDescent="0.3">
      <c r="AL558" t="s">
        <v>447</v>
      </c>
      <c r="AM558">
        <v>45608</v>
      </c>
      <c r="AN558" t="s">
        <v>259</v>
      </c>
      <c r="AO558" t="s">
        <v>20</v>
      </c>
      <c r="AP558" t="s">
        <v>14</v>
      </c>
      <c r="AQ558">
        <v>129</v>
      </c>
      <c r="AR558">
        <v>81</v>
      </c>
      <c r="AS558">
        <v>210</v>
      </c>
      <c r="AT558">
        <v>73</v>
      </c>
      <c r="AU558">
        <v>40</v>
      </c>
      <c r="AV558">
        <v>11</v>
      </c>
      <c r="AW558">
        <v>314</v>
      </c>
      <c r="AX558">
        <v>439</v>
      </c>
      <c r="AY558">
        <v>0.38571428571428573</v>
      </c>
      <c r="AZ558">
        <v>0.38571428571428573</v>
      </c>
      <c r="BA558">
        <v>129</v>
      </c>
      <c r="BB558">
        <v>40506</v>
      </c>
      <c r="BC558" t="s">
        <v>551</v>
      </c>
      <c r="BD558" t="s">
        <v>564</v>
      </c>
      <c r="BE558">
        <v>35559</v>
      </c>
    </row>
    <row r="559" spans="38:57" hidden="1" x14ac:dyDescent="0.3">
      <c r="AL559" t="s">
        <v>448</v>
      </c>
      <c r="AM559">
        <v>45568</v>
      </c>
      <c r="AN559" t="s">
        <v>53</v>
      </c>
      <c r="AO559" t="s">
        <v>20</v>
      </c>
      <c r="AP559" t="s">
        <v>21</v>
      </c>
      <c r="AQ559">
        <v>40</v>
      </c>
      <c r="AR559">
        <v>36</v>
      </c>
      <c r="AS559">
        <v>76</v>
      </c>
      <c r="AT559">
        <v>185</v>
      </c>
      <c r="AU559">
        <v>50</v>
      </c>
      <c r="AV559">
        <v>2</v>
      </c>
      <c r="AW559">
        <v>1468</v>
      </c>
      <c r="AX559">
        <v>2486</v>
      </c>
      <c r="AY559">
        <v>0.47368421052631576</v>
      </c>
      <c r="AZ559">
        <v>0.47368421052631576</v>
      </c>
      <c r="BA559">
        <v>40</v>
      </c>
      <c r="BB559">
        <v>58720</v>
      </c>
      <c r="BC559" t="s">
        <v>551</v>
      </c>
      <c r="BD559" t="s">
        <v>565</v>
      </c>
      <c r="BE559">
        <v>89496</v>
      </c>
    </row>
    <row r="560" spans="38:57" x14ac:dyDescent="0.3">
      <c r="AL560" t="s">
        <v>449</v>
      </c>
      <c r="AM560">
        <v>45630</v>
      </c>
      <c r="AN560" t="s">
        <v>53</v>
      </c>
      <c r="AO560" t="s">
        <v>17</v>
      </c>
      <c r="AP560" t="s">
        <v>21</v>
      </c>
      <c r="AQ560">
        <v>88</v>
      </c>
      <c r="AR560">
        <v>109</v>
      </c>
      <c r="AS560">
        <v>197</v>
      </c>
      <c r="AT560">
        <v>296</v>
      </c>
      <c r="AU560">
        <v>35</v>
      </c>
      <c r="AV560">
        <v>9</v>
      </c>
      <c r="AW560">
        <v>1581</v>
      </c>
      <c r="AX560">
        <v>2723</v>
      </c>
      <c r="AY560">
        <v>0.5532994923857868</v>
      </c>
      <c r="AZ560">
        <v>0.5532994923857868</v>
      </c>
      <c r="BA560">
        <v>88</v>
      </c>
      <c r="BB560">
        <v>139128</v>
      </c>
      <c r="BC560" t="s">
        <v>551</v>
      </c>
      <c r="BD560" t="s">
        <v>563</v>
      </c>
      <c r="BE560" s="5">
        <v>296807</v>
      </c>
    </row>
    <row r="561" spans="38:57" hidden="1" x14ac:dyDescent="0.3">
      <c r="AL561" t="s">
        <v>450</v>
      </c>
      <c r="AM561">
        <v>45429</v>
      </c>
      <c r="AN561" t="s">
        <v>37</v>
      </c>
      <c r="AO561" t="s">
        <v>17</v>
      </c>
      <c r="AP561" t="s">
        <v>14</v>
      </c>
      <c r="AQ561">
        <v>49</v>
      </c>
      <c r="AR561">
        <v>45</v>
      </c>
      <c r="AS561">
        <v>94</v>
      </c>
      <c r="AT561">
        <v>91</v>
      </c>
      <c r="AU561">
        <v>61</v>
      </c>
      <c r="AV561">
        <v>6</v>
      </c>
      <c r="AW561">
        <v>655</v>
      </c>
      <c r="AX561">
        <v>931</v>
      </c>
      <c r="AY561">
        <v>0.47872340425531917</v>
      </c>
      <c r="AZ561">
        <v>0.47872340425531917</v>
      </c>
      <c r="BA561">
        <v>49</v>
      </c>
      <c r="BB561">
        <v>32095</v>
      </c>
      <c r="BC561" t="s">
        <v>551</v>
      </c>
      <c r="BD561" t="s">
        <v>561</v>
      </c>
      <c r="BE561">
        <v>41895</v>
      </c>
    </row>
    <row r="562" spans="38:57" x14ac:dyDescent="0.3">
      <c r="AL562" t="s">
        <v>452</v>
      </c>
      <c r="AM562">
        <v>45432</v>
      </c>
      <c r="AN562" t="s">
        <v>16</v>
      </c>
      <c r="AO562" t="s">
        <v>13</v>
      </c>
      <c r="AP562" t="s">
        <v>21</v>
      </c>
      <c r="AQ562">
        <v>86</v>
      </c>
      <c r="AR562">
        <v>113</v>
      </c>
      <c r="AS562">
        <v>199</v>
      </c>
      <c r="AT562">
        <v>55</v>
      </c>
      <c r="AU562">
        <v>35</v>
      </c>
      <c r="AV562">
        <v>12</v>
      </c>
      <c r="AW562">
        <v>843</v>
      </c>
      <c r="AX562">
        <v>2249</v>
      </c>
      <c r="AY562">
        <v>0.56783919597989951</v>
      </c>
      <c r="AZ562">
        <v>0.56783919597989951</v>
      </c>
      <c r="BA562">
        <v>86</v>
      </c>
      <c r="BB562">
        <v>72498</v>
      </c>
      <c r="BC562" t="s">
        <v>551</v>
      </c>
      <c r="BD562" t="s">
        <v>561</v>
      </c>
      <c r="BE562" s="5">
        <v>254137</v>
      </c>
    </row>
    <row r="563" spans="38:57" hidden="1" x14ac:dyDescent="0.3">
      <c r="AL563" t="s">
        <v>453</v>
      </c>
      <c r="AM563">
        <v>45551</v>
      </c>
      <c r="AN563" t="s">
        <v>53</v>
      </c>
      <c r="AO563" t="s">
        <v>13</v>
      </c>
      <c r="AP563" t="s">
        <v>38</v>
      </c>
      <c r="AQ563">
        <v>147</v>
      </c>
      <c r="AR563">
        <v>105</v>
      </c>
      <c r="AS563">
        <v>252</v>
      </c>
      <c r="AT563">
        <v>206</v>
      </c>
      <c r="AU563">
        <v>66</v>
      </c>
      <c r="AV563">
        <v>3</v>
      </c>
      <c r="AW563">
        <v>832</v>
      </c>
      <c r="AX563">
        <v>1324</v>
      </c>
      <c r="AY563">
        <v>0.41666666666666669</v>
      </c>
      <c r="AZ563">
        <v>0.41666666666666669</v>
      </c>
      <c r="BA563">
        <v>147</v>
      </c>
      <c r="BB563">
        <v>122304</v>
      </c>
      <c r="BC563" t="s">
        <v>551</v>
      </c>
      <c r="BD563" t="s">
        <v>560</v>
      </c>
      <c r="BE563">
        <v>139020</v>
      </c>
    </row>
    <row r="564" spans="38:57" hidden="1" x14ac:dyDescent="0.3">
      <c r="AL564" t="s">
        <v>456</v>
      </c>
      <c r="AM564">
        <v>45530</v>
      </c>
      <c r="AN564" t="s">
        <v>30</v>
      </c>
      <c r="AO564" t="s">
        <v>20</v>
      </c>
      <c r="AP564" t="s">
        <v>38</v>
      </c>
      <c r="AQ564">
        <v>130</v>
      </c>
      <c r="AR564">
        <v>57</v>
      </c>
      <c r="AS564">
        <v>187</v>
      </c>
      <c r="AT564">
        <v>288</v>
      </c>
      <c r="AU564">
        <v>52</v>
      </c>
      <c r="AV564">
        <v>12</v>
      </c>
      <c r="AW564">
        <v>614</v>
      </c>
      <c r="AX564">
        <v>1324</v>
      </c>
      <c r="AY564">
        <v>0.30481283422459893</v>
      </c>
      <c r="AZ564">
        <v>0.30481283422459893</v>
      </c>
      <c r="BA564">
        <v>130</v>
      </c>
      <c r="BB564">
        <v>79820</v>
      </c>
      <c r="BC564" t="s">
        <v>551</v>
      </c>
      <c r="BD564" t="s">
        <v>554</v>
      </c>
      <c r="BE564">
        <v>75468</v>
      </c>
    </row>
    <row r="565" spans="38:57" hidden="1" x14ac:dyDescent="0.3">
      <c r="AL565" t="s">
        <v>457</v>
      </c>
      <c r="AM565">
        <v>45354</v>
      </c>
      <c r="AN565" t="s">
        <v>19</v>
      </c>
      <c r="AO565" t="s">
        <v>13</v>
      </c>
      <c r="AP565" t="s">
        <v>21</v>
      </c>
      <c r="AQ565">
        <v>141</v>
      </c>
      <c r="AR565">
        <v>103</v>
      </c>
      <c r="AS565">
        <v>244</v>
      </c>
      <c r="AT565">
        <v>92</v>
      </c>
      <c r="AU565">
        <v>75</v>
      </c>
      <c r="AV565">
        <v>14</v>
      </c>
      <c r="AW565">
        <v>1097</v>
      </c>
      <c r="AX565">
        <v>1343</v>
      </c>
      <c r="AY565">
        <v>0.42213114754098363</v>
      </c>
      <c r="AZ565">
        <v>0.42213114754098363</v>
      </c>
      <c r="BA565">
        <v>141</v>
      </c>
      <c r="BB565">
        <v>154677</v>
      </c>
      <c r="BC565" t="s">
        <v>551</v>
      </c>
      <c r="BD565" t="s">
        <v>562</v>
      </c>
      <c r="BE565">
        <v>138329</v>
      </c>
    </row>
    <row r="566" spans="38:57" hidden="1" x14ac:dyDescent="0.3">
      <c r="AL566" t="s">
        <v>458</v>
      </c>
      <c r="AM566">
        <v>45327</v>
      </c>
      <c r="AN566" t="s">
        <v>19</v>
      </c>
      <c r="AO566" t="s">
        <v>17</v>
      </c>
      <c r="AP566" t="s">
        <v>33</v>
      </c>
      <c r="AQ566">
        <v>51</v>
      </c>
      <c r="AR566">
        <v>61</v>
      </c>
      <c r="AS566">
        <v>112</v>
      </c>
      <c r="AT566">
        <v>180</v>
      </c>
      <c r="AU566">
        <v>77</v>
      </c>
      <c r="AV566">
        <v>5</v>
      </c>
      <c r="AW566">
        <v>629</v>
      </c>
      <c r="AX566">
        <v>1113</v>
      </c>
      <c r="AY566">
        <v>0.5446428571428571</v>
      </c>
      <c r="AZ566">
        <v>0.5446428571428571</v>
      </c>
      <c r="BA566">
        <v>51</v>
      </c>
      <c r="BB566">
        <v>32079</v>
      </c>
      <c r="BC566" t="s">
        <v>551</v>
      </c>
      <c r="BD566" t="s">
        <v>555</v>
      </c>
      <c r="BE566">
        <v>67893</v>
      </c>
    </row>
    <row r="567" spans="38:57" hidden="1" x14ac:dyDescent="0.3">
      <c r="AL567" t="s">
        <v>461</v>
      </c>
      <c r="AM567">
        <v>45428</v>
      </c>
      <c r="AN567" t="s">
        <v>26</v>
      </c>
      <c r="AO567" t="s">
        <v>17</v>
      </c>
      <c r="AP567" t="s">
        <v>23</v>
      </c>
      <c r="AQ567">
        <v>117</v>
      </c>
      <c r="AR567">
        <v>109</v>
      </c>
      <c r="AS567">
        <v>226</v>
      </c>
      <c r="AT567">
        <v>238</v>
      </c>
      <c r="AU567">
        <v>61</v>
      </c>
      <c r="AV567">
        <v>4</v>
      </c>
      <c r="AW567">
        <v>1055</v>
      </c>
      <c r="AX567">
        <v>1991</v>
      </c>
      <c r="AY567">
        <v>0.48230088495575218</v>
      </c>
      <c r="AZ567">
        <v>0.48230088495575218</v>
      </c>
      <c r="BA567">
        <v>117</v>
      </c>
      <c r="BB567">
        <v>123435</v>
      </c>
      <c r="BC567" t="s">
        <v>551</v>
      </c>
      <c r="BD567" t="s">
        <v>561</v>
      </c>
      <c r="BE567">
        <v>217019</v>
      </c>
    </row>
    <row r="568" spans="38:57" hidden="1" x14ac:dyDescent="0.3">
      <c r="AL568" t="s">
        <v>462</v>
      </c>
      <c r="AM568">
        <v>45326</v>
      </c>
      <c r="AN568" t="s">
        <v>26</v>
      </c>
      <c r="AO568" t="s">
        <v>13</v>
      </c>
      <c r="AP568" t="s">
        <v>38</v>
      </c>
      <c r="AQ568">
        <v>60</v>
      </c>
      <c r="AR568">
        <v>31</v>
      </c>
      <c r="AS568">
        <v>91</v>
      </c>
      <c r="AT568">
        <v>20</v>
      </c>
      <c r="AU568">
        <v>43</v>
      </c>
      <c r="AV568">
        <v>9</v>
      </c>
      <c r="AW568">
        <v>629</v>
      </c>
      <c r="AX568">
        <v>1112</v>
      </c>
      <c r="AY568">
        <v>0.34065934065934067</v>
      </c>
      <c r="AZ568">
        <v>0.34065934065934067</v>
      </c>
      <c r="BA568">
        <v>60</v>
      </c>
      <c r="BB568">
        <v>37740</v>
      </c>
      <c r="BC568" t="s">
        <v>551</v>
      </c>
      <c r="BD568" t="s">
        <v>555</v>
      </c>
      <c r="BE568">
        <v>34472</v>
      </c>
    </row>
    <row r="569" spans="38:57" hidden="1" x14ac:dyDescent="0.3">
      <c r="AL569" t="s">
        <v>463</v>
      </c>
      <c r="AM569">
        <v>45618</v>
      </c>
      <c r="AN569" t="s">
        <v>19</v>
      </c>
      <c r="AO569" t="s">
        <v>13</v>
      </c>
      <c r="AP569" t="s">
        <v>38</v>
      </c>
      <c r="AQ569">
        <v>39</v>
      </c>
      <c r="AR569">
        <v>54</v>
      </c>
      <c r="AS569">
        <v>93</v>
      </c>
      <c r="AT569">
        <v>218</v>
      </c>
      <c r="AU569">
        <v>36</v>
      </c>
      <c r="AV569">
        <v>5</v>
      </c>
      <c r="AW569">
        <v>1425</v>
      </c>
      <c r="AX569">
        <v>2035</v>
      </c>
      <c r="AY569">
        <v>0.58064516129032262</v>
      </c>
      <c r="AZ569">
        <v>0.58064516129032262</v>
      </c>
      <c r="BA569">
        <v>39</v>
      </c>
      <c r="BB569">
        <v>55575</v>
      </c>
      <c r="BC569" t="s">
        <v>551</v>
      </c>
      <c r="BD569" t="s">
        <v>564</v>
      </c>
      <c r="BE569">
        <v>109890</v>
      </c>
    </row>
    <row r="570" spans="38:57" hidden="1" x14ac:dyDescent="0.3">
      <c r="AL570" t="s">
        <v>464</v>
      </c>
      <c r="AM570">
        <v>45556</v>
      </c>
      <c r="AN570" t="s">
        <v>30</v>
      </c>
      <c r="AO570" t="s">
        <v>17</v>
      </c>
      <c r="AP570" t="s">
        <v>38</v>
      </c>
      <c r="AQ570">
        <v>66</v>
      </c>
      <c r="AR570">
        <v>84</v>
      </c>
      <c r="AS570">
        <v>150</v>
      </c>
      <c r="AT570">
        <v>55</v>
      </c>
      <c r="AU570">
        <v>49</v>
      </c>
      <c r="AV570">
        <v>5</v>
      </c>
      <c r="AW570">
        <v>1642</v>
      </c>
      <c r="AX570">
        <v>1825</v>
      </c>
      <c r="AY570">
        <v>0.56000000000000005</v>
      </c>
      <c r="AZ570">
        <v>0.56000000000000005</v>
      </c>
      <c r="BA570">
        <v>66</v>
      </c>
      <c r="BB570">
        <v>108372</v>
      </c>
      <c r="BC570" t="s">
        <v>551</v>
      </c>
      <c r="BD570" t="s">
        <v>560</v>
      </c>
      <c r="BE570">
        <v>153300</v>
      </c>
    </row>
    <row r="571" spans="38:57" x14ac:dyDescent="0.3">
      <c r="AL571" t="s">
        <v>465</v>
      </c>
      <c r="AM571">
        <v>45568</v>
      </c>
      <c r="AN571" t="s">
        <v>12</v>
      </c>
      <c r="AO571" t="s">
        <v>13</v>
      </c>
      <c r="AP571" t="s">
        <v>38</v>
      </c>
      <c r="AQ571">
        <v>112</v>
      </c>
      <c r="AR571">
        <v>104</v>
      </c>
      <c r="AS571">
        <v>216</v>
      </c>
      <c r="AT571">
        <v>22</v>
      </c>
      <c r="AU571">
        <v>32</v>
      </c>
      <c r="AV571">
        <v>5</v>
      </c>
      <c r="AW571">
        <v>1463</v>
      </c>
      <c r="AX571">
        <v>2440</v>
      </c>
      <c r="AY571">
        <v>0.48148148148148145</v>
      </c>
      <c r="AZ571">
        <v>0.48148148148148145</v>
      </c>
      <c r="BA571">
        <v>112</v>
      </c>
      <c r="BB571">
        <v>163856</v>
      </c>
      <c r="BC571" t="s">
        <v>551</v>
      </c>
      <c r="BD571" t="s">
        <v>565</v>
      </c>
      <c r="BE571" s="5">
        <v>253760</v>
      </c>
    </row>
    <row r="572" spans="38:57" hidden="1" x14ac:dyDescent="0.3">
      <c r="AL572" t="s">
        <v>466</v>
      </c>
      <c r="AM572">
        <v>45432</v>
      </c>
      <c r="AN572" t="s">
        <v>45</v>
      </c>
      <c r="AO572" t="s">
        <v>17</v>
      </c>
      <c r="AP572" t="s">
        <v>38</v>
      </c>
      <c r="AQ572">
        <v>58</v>
      </c>
      <c r="AR572">
        <v>46</v>
      </c>
      <c r="AS572">
        <v>104</v>
      </c>
      <c r="AT572">
        <v>137</v>
      </c>
      <c r="AU572">
        <v>42</v>
      </c>
      <c r="AV572">
        <v>13</v>
      </c>
      <c r="AW572">
        <v>721</v>
      </c>
      <c r="AX572">
        <v>1536</v>
      </c>
      <c r="AY572">
        <v>0.44230769230769229</v>
      </c>
      <c r="AZ572">
        <v>0.44230769230769229</v>
      </c>
      <c r="BA572">
        <v>58</v>
      </c>
      <c r="BB572">
        <v>41818</v>
      </c>
      <c r="BC572" t="s">
        <v>551</v>
      </c>
      <c r="BD572" t="s">
        <v>561</v>
      </c>
      <c r="BE572">
        <v>70656</v>
      </c>
    </row>
    <row r="573" spans="38:57" hidden="1" x14ac:dyDescent="0.3">
      <c r="AL573" t="s">
        <v>471</v>
      </c>
      <c r="AM573">
        <v>45533</v>
      </c>
      <c r="AN573" t="s">
        <v>53</v>
      </c>
      <c r="AO573" t="s">
        <v>20</v>
      </c>
      <c r="AP573" t="s">
        <v>38</v>
      </c>
      <c r="AQ573">
        <v>130</v>
      </c>
      <c r="AR573">
        <v>99</v>
      </c>
      <c r="AS573">
        <v>229</v>
      </c>
      <c r="AT573">
        <v>71</v>
      </c>
      <c r="AU573">
        <v>70</v>
      </c>
      <c r="AV573">
        <v>2</v>
      </c>
      <c r="AW573">
        <v>321</v>
      </c>
      <c r="AX573">
        <v>790</v>
      </c>
      <c r="AY573">
        <v>0.43231441048034935</v>
      </c>
      <c r="AZ573">
        <v>0.43231441048034935</v>
      </c>
      <c r="BA573">
        <v>130</v>
      </c>
      <c r="BB573">
        <v>41730</v>
      </c>
      <c r="BC573" t="s">
        <v>551</v>
      </c>
      <c r="BD573" t="s">
        <v>554</v>
      </c>
      <c r="BE573">
        <v>78210</v>
      </c>
    </row>
    <row r="574" spans="38:57" hidden="1" x14ac:dyDescent="0.3">
      <c r="AL574" t="s">
        <v>474</v>
      </c>
      <c r="AM574">
        <v>45307</v>
      </c>
      <c r="AN574" t="s">
        <v>12</v>
      </c>
      <c r="AO574" t="s">
        <v>17</v>
      </c>
      <c r="AP574" t="s">
        <v>33</v>
      </c>
      <c r="AQ574">
        <v>141</v>
      </c>
      <c r="AR574">
        <v>70</v>
      </c>
      <c r="AS574">
        <v>211</v>
      </c>
      <c r="AT574">
        <v>231</v>
      </c>
      <c r="AU574">
        <v>36</v>
      </c>
      <c r="AV574">
        <v>5</v>
      </c>
      <c r="AW574">
        <v>1504</v>
      </c>
      <c r="AX574">
        <v>2815</v>
      </c>
      <c r="AY574">
        <v>0.33175355450236965</v>
      </c>
      <c r="AZ574">
        <v>0.33175355450236965</v>
      </c>
      <c r="BA574">
        <v>141</v>
      </c>
      <c r="BB574">
        <v>212064</v>
      </c>
      <c r="BC574" t="s">
        <v>551</v>
      </c>
      <c r="BD574" t="s">
        <v>557</v>
      </c>
      <c r="BE574">
        <v>197050</v>
      </c>
    </row>
    <row r="575" spans="38:57" hidden="1" x14ac:dyDescent="0.3">
      <c r="AL575" t="s">
        <v>477</v>
      </c>
      <c r="AM575">
        <v>45323</v>
      </c>
      <c r="AN575" t="s">
        <v>37</v>
      </c>
      <c r="AO575" t="s">
        <v>20</v>
      </c>
      <c r="AP575" t="s">
        <v>33</v>
      </c>
      <c r="AQ575">
        <v>63</v>
      </c>
      <c r="AR575">
        <v>86</v>
      </c>
      <c r="AS575">
        <v>149</v>
      </c>
      <c r="AT575">
        <v>77</v>
      </c>
      <c r="AU575">
        <v>36</v>
      </c>
      <c r="AV575">
        <v>5</v>
      </c>
      <c r="AW575">
        <v>1137</v>
      </c>
      <c r="AX575">
        <v>1508</v>
      </c>
      <c r="AY575">
        <v>0.57718120805369133</v>
      </c>
      <c r="AZ575">
        <v>0.57718120805369133</v>
      </c>
      <c r="BA575">
        <v>63</v>
      </c>
      <c r="BB575">
        <v>71631</v>
      </c>
      <c r="BC575" t="s">
        <v>551</v>
      </c>
      <c r="BD575" t="s">
        <v>555</v>
      </c>
      <c r="BE575">
        <v>129688</v>
      </c>
    </row>
    <row r="576" spans="38:57" hidden="1" x14ac:dyDescent="0.3">
      <c r="AL576" t="s">
        <v>479</v>
      </c>
      <c r="AM576">
        <v>45380</v>
      </c>
      <c r="AN576" t="s">
        <v>19</v>
      </c>
      <c r="AO576" t="s">
        <v>20</v>
      </c>
      <c r="AP576" t="s">
        <v>21</v>
      </c>
      <c r="AQ576">
        <v>114</v>
      </c>
      <c r="AR576">
        <v>53</v>
      </c>
      <c r="AS576">
        <v>167</v>
      </c>
      <c r="AT576">
        <v>68</v>
      </c>
      <c r="AU576">
        <v>66</v>
      </c>
      <c r="AV576">
        <v>2</v>
      </c>
      <c r="AW576">
        <v>955</v>
      </c>
      <c r="AX576">
        <v>1143</v>
      </c>
      <c r="AY576">
        <v>0.31736526946107785</v>
      </c>
      <c r="AZ576">
        <v>0.31736526946107785</v>
      </c>
      <c r="BA576">
        <v>114</v>
      </c>
      <c r="BB576">
        <v>108870</v>
      </c>
      <c r="BC576" t="s">
        <v>551</v>
      </c>
      <c r="BD576" t="s">
        <v>562</v>
      </c>
      <c r="BE576">
        <v>60579</v>
      </c>
    </row>
    <row r="577" spans="38:57" hidden="1" x14ac:dyDescent="0.3">
      <c r="AL577" t="s">
        <v>482</v>
      </c>
      <c r="AM577">
        <v>45652</v>
      </c>
      <c r="AN577" t="s">
        <v>37</v>
      </c>
      <c r="AO577" t="s">
        <v>13</v>
      </c>
      <c r="AP577" t="s">
        <v>21</v>
      </c>
      <c r="AQ577">
        <v>139</v>
      </c>
      <c r="AR577">
        <v>80</v>
      </c>
      <c r="AS577">
        <v>219</v>
      </c>
      <c r="AT577">
        <v>99</v>
      </c>
      <c r="AU577">
        <v>51</v>
      </c>
      <c r="AV577">
        <v>14</v>
      </c>
      <c r="AW577">
        <v>326</v>
      </c>
      <c r="AX577">
        <v>767</v>
      </c>
      <c r="AY577">
        <v>0.36529680365296802</v>
      </c>
      <c r="AZ577">
        <v>0.36529680365296802</v>
      </c>
      <c r="BA577">
        <v>139</v>
      </c>
      <c r="BB577">
        <v>45314</v>
      </c>
      <c r="BC577" t="s">
        <v>551</v>
      </c>
      <c r="BD577" t="s">
        <v>563</v>
      </c>
      <c r="BE577">
        <v>61360</v>
      </c>
    </row>
    <row r="578" spans="38:57" hidden="1" x14ac:dyDescent="0.3">
      <c r="AL578" t="s">
        <v>484</v>
      </c>
      <c r="AM578">
        <v>45409</v>
      </c>
      <c r="AN578" t="s">
        <v>53</v>
      </c>
      <c r="AO578" t="s">
        <v>13</v>
      </c>
      <c r="AP578" t="s">
        <v>38</v>
      </c>
      <c r="AQ578">
        <v>125</v>
      </c>
      <c r="AR578">
        <v>81</v>
      </c>
      <c r="AS578">
        <v>206</v>
      </c>
      <c r="AT578">
        <v>55</v>
      </c>
      <c r="AU578">
        <v>55</v>
      </c>
      <c r="AV578">
        <v>2</v>
      </c>
      <c r="AW578">
        <v>695</v>
      </c>
      <c r="AX578">
        <v>948</v>
      </c>
      <c r="AY578">
        <v>0.39320388349514562</v>
      </c>
      <c r="AZ578">
        <v>0.39320388349514562</v>
      </c>
      <c r="BA578">
        <v>125</v>
      </c>
      <c r="BB578">
        <v>86875</v>
      </c>
      <c r="BC578" t="s">
        <v>551</v>
      </c>
      <c r="BD578" t="s">
        <v>558</v>
      </c>
      <c r="BE578">
        <v>76788</v>
      </c>
    </row>
    <row r="579" spans="38:57" hidden="1" x14ac:dyDescent="0.3">
      <c r="AL579" t="s">
        <v>485</v>
      </c>
      <c r="AM579">
        <v>45507</v>
      </c>
      <c r="AN579" t="s">
        <v>16</v>
      </c>
      <c r="AO579" t="s">
        <v>20</v>
      </c>
      <c r="AP579" t="s">
        <v>21</v>
      </c>
      <c r="AQ579">
        <v>114</v>
      </c>
      <c r="AR579">
        <v>86</v>
      </c>
      <c r="AS579">
        <v>200</v>
      </c>
      <c r="AT579">
        <v>205</v>
      </c>
      <c r="AU579">
        <v>38</v>
      </c>
      <c r="AV579">
        <v>8</v>
      </c>
      <c r="AW579">
        <v>716</v>
      </c>
      <c r="AX579">
        <v>1907</v>
      </c>
      <c r="AY579">
        <v>0.43</v>
      </c>
      <c r="AZ579">
        <v>0.43</v>
      </c>
      <c r="BA579">
        <v>114</v>
      </c>
      <c r="BB579">
        <v>81624</v>
      </c>
      <c r="BC579" t="s">
        <v>551</v>
      </c>
      <c r="BD579" t="s">
        <v>554</v>
      </c>
      <c r="BE579">
        <v>164002</v>
      </c>
    </row>
    <row r="580" spans="38:57" hidden="1" x14ac:dyDescent="0.3">
      <c r="AL580" t="s">
        <v>487</v>
      </c>
      <c r="AM580">
        <v>45569</v>
      </c>
      <c r="AN580" t="s">
        <v>19</v>
      </c>
      <c r="AO580" t="s">
        <v>13</v>
      </c>
      <c r="AP580" t="s">
        <v>21</v>
      </c>
      <c r="AQ580">
        <v>136</v>
      </c>
      <c r="AR580">
        <v>66</v>
      </c>
      <c r="AS580">
        <v>202</v>
      </c>
      <c r="AT580">
        <v>133</v>
      </c>
      <c r="AU580">
        <v>58</v>
      </c>
      <c r="AV580">
        <v>14</v>
      </c>
      <c r="AW580">
        <v>1883</v>
      </c>
      <c r="AX580">
        <v>2758</v>
      </c>
      <c r="AY580">
        <v>0.32673267326732675</v>
      </c>
      <c r="AZ580">
        <v>0.32673267326732675</v>
      </c>
      <c r="BA580">
        <v>136</v>
      </c>
      <c r="BB580">
        <v>256088</v>
      </c>
      <c r="BC580" t="s">
        <v>551</v>
      </c>
      <c r="BD580" t="s">
        <v>565</v>
      </c>
      <c r="BE580">
        <v>182028</v>
      </c>
    </row>
    <row r="581" spans="38:57" hidden="1" x14ac:dyDescent="0.3">
      <c r="AL581" t="s">
        <v>488</v>
      </c>
      <c r="AM581">
        <v>45341</v>
      </c>
      <c r="AN581" t="s">
        <v>45</v>
      </c>
      <c r="AO581" t="s">
        <v>17</v>
      </c>
      <c r="AP581" t="s">
        <v>21</v>
      </c>
      <c r="AQ581">
        <v>38</v>
      </c>
      <c r="AR581">
        <v>22</v>
      </c>
      <c r="AS581">
        <v>60</v>
      </c>
      <c r="AT581">
        <v>28</v>
      </c>
      <c r="AU581">
        <v>31</v>
      </c>
      <c r="AV581">
        <v>12</v>
      </c>
      <c r="AW581">
        <v>1348</v>
      </c>
      <c r="AX581">
        <v>2745</v>
      </c>
      <c r="AY581">
        <v>0.36666666666666664</v>
      </c>
      <c r="AZ581">
        <v>0.36666666666666664</v>
      </c>
      <c r="BA581">
        <v>38</v>
      </c>
      <c r="BB581">
        <v>51224</v>
      </c>
      <c r="BC581" t="s">
        <v>551</v>
      </c>
      <c r="BD581" t="s">
        <v>555</v>
      </c>
      <c r="BE581">
        <v>60390</v>
      </c>
    </row>
    <row r="582" spans="38:57" hidden="1" x14ac:dyDescent="0.3">
      <c r="AL582" t="s">
        <v>490</v>
      </c>
      <c r="AM582">
        <v>45490</v>
      </c>
      <c r="AN582" t="s">
        <v>12</v>
      </c>
      <c r="AO582" t="s">
        <v>20</v>
      </c>
      <c r="AP582" t="s">
        <v>14</v>
      </c>
      <c r="AQ582">
        <v>115</v>
      </c>
      <c r="AR582">
        <v>92</v>
      </c>
      <c r="AS582">
        <v>207</v>
      </c>
      <c r="AT582">
        <v>97</v>
      </c>
      <c r="AU582">
        <v>53</v>
      </c>
      <c r="AV582">
        <v>5</v>
      </c>
      <c r="AW582">
        <v>752</v>
      </c>
      <c r="AX582">
        <v>1826</v>
      </c>
      <c r="AY582">
        <v>0.44444444444444442</v>
      </c>
      <c r="AZ582">
        <v>0.44444444444444442</v>
      </c>
      <c r="BA582">
        <v>115</v>
      </c>
      <c r="BB582">
        <v>86480</v>
      </c>
      <c r="BC582" t="s">
        <v>551</v>
      </c>
      <c r="BD582" t="s">
        <v>556</v>
      </c>
      <c r="BE582">
        <v>167992</v>
      </c>
    </row>
    <row r="583" spans="38:57" hidden="1" x14ac:dyDescent="0.3">
      <c r="AL583" t="s">
        <v>492</v>
      </c>
      <c r="AM583">
        <v>45519</v>
      </c>
      <c r="AN583" t="s">
        <v>53</v>
      </c>
      <c r="AO583" t="s">
        <v>20</v>
      </c>
      <c r="AP583" t="s">
        <v>14</v>
      </c>
      <c r="AQ583">
        <v>113</v>
      </c>
      <c r="AR583">
        <v>68</v>
      </c>
      <c r="AS583">
        <v>181</v>
      </c>
      <c r="AT583">
        <v>22</v>
      </c>
      <c r="AU583">
        <v>43</v>
      </c>
      <c r="AV583">
        <v>10</v>
      </c>
      <c r="AW583">
        <v>1715</v>
      </c>
      <c r="AX583">
        <v>1817</v>
      </c>
      <c r="AY583">
        <v>0.37569060773480661</v>
      </c>
      <c r="AZ583">
        <v>0.37569060773480661</v>
      </c>
      <c r="BA583">
        <v>113</v>
      </c>
      <c r="BB583">
        <v>193795</v>
      </c>
      <c r="BC583" t="s">
        <v>551</v>
      </c>
      <c r="BD583" t="s">
        <v>554</v>
      </c>
      <c r="BE583">
        <v>123556</v>
      </c>
    </row>
    <row r="584" spans="38:57" hidden="1" x14ac:dyDescent="0.3">
      <c r="AL584" t="s">
        <v>493</v>
      </c>
      <c r="AM584">
        <v>45494</v>
      </c>
      <c r="AN584" t="s">
        <v>16</v>
      </c>
      <c r="AO584" t="s">
        <v>17</v>
      </c>
      <c r="AP584" t="s">
        <v>38</v>
      </c>
      <c r="AQ584">
        <v>107</v>
      </c>
      <c r="AR584">
        <v>88</v>
      </c>
      <c r="AS584">
        <v>195</v>
      </c>
      <c r="AT584">
        <v>20</v>
      </c>
      <c r="AU584">
        <v>44</v>
      </c>
      <c r="AV584">
        <v>8</v>
      </c>
      <c r="AW584">
        <v>361</v>
      </c>
      <c r="AX584">
        <v>855</v>
      </c>
      <c r="AY584">
        <v>0.45128205128205129</v>
      </c>
      <c r="AZ584">
        <v>0.45128205128205129</v>
      </c>
      <c r="BA584">
        <v>107</v>
      </c>
      <c r="BB584">
        <v>38627</v>
      </c>
      <c r="BC584" t="s">
        <v>551</v>
      </c>
      <c r="BD584" t="s">
        <v>556</v>
      </c>
      <c r="BE584">
        <v>75240</v>
      </c>
    </row>
    <row r="585" spans="38:57" hidden="1" x14ac:dyDescent="0.3">
      <c r="AL585" t="s">
        <v>496</v>
      </c>
      <c r="AM585">
        <v>45312</v>
      </c>
      <c r="AN585" t="s">
        <v>329</v>
      </c>
      <c r="AO585" t="s">
        <v>20</v>
      </c>
      <c r="AP585" t="s">
        <v>38</v>
      </c>
      <c r="AQ585">
        <v>72</v>
      </c>
      <c r="AR585">
        <v>104</v>
      </c>
      <c r="AS585">
        <v>176</v>
      </c>
      <c r="AT585">
        <v>1</v>
      </c>
      <c r="AU585">
        <v>47</v>
      </c>
      <c r="AV585">
        <v>13</v>
      </c>
      <c r="AW585">
        <v>559</v>
      </c>
      <c r="AX585">
        <v>1119</v>
      </c>
      <c r="AY585">
        <v>0.59090909090909094</v>
      </c>
      <c r="AZ585">
        <v>0.59090909090909094</v>
      </c>
      <c r="BA585">
        <v>72</v>
      </c>
      <c r="BB585">
        <v>40248</v>
      </c>
      <c r="BC585" t="s">
        <v>551</v>
      </c>
      <c r="BD585" t="s">
        <v>557</v>
      </c>
      <c r="BE585">
        <v>116376</v>
      </c>
    </row>
    <row r="586" spans="38:57" hidden="1" x14ac:dyDescent="0.3">
      <c r="AL586" t="s">
        <v>497</v>
      </c>
      <c r="AM586">
        <v>45646</v>
      </c>
      <c r="AN586" t="s">
        <v>53</v>
      </c>
      <c r="AO586" t="s">
        <v>20</v>
      </c>
      <c r="AP586" t="s">
        <v>38</v>
      </c>
      <c r="AQ586">
        <v>140</v>
      </c>
      <c r="AR586">
        <v>61</v>
      </c>
      <c r="AS586">
        <v>201</v>
      </c>
      <c r="AT586">
        <v>242</v>
      </c>
      <c r="AU586">
        <v>50</v>
      </c>
      <c r="AV586">
        <v>15</v>
      </c>
      <c r="AW586">
        <v>1879</v>
      </c>
      <c r="AX586">
        <v>2875</v>
      </c>
      <c r="AY586">
        <v>0.30348258706467662</v>
      </c>
      <c r="AZ586">
        <v>0.30348258706467662</v>
      </c>
      <c r="BA586">
        <v>140</v>
      </c>
      <c r="BB586">
        <v>263060</v>
      </c>
      <c r="BC586" t="s">
        <v>551</v>
      </c>
      <c r="BD586" t="s">
        <v>563</v>
      </c>
      <c r="BE586">
        <v>175375</v>
      </c>
    </row>
    <row r="587" spans="38:57" hidden="1" x14ac:dyDescent="0.3">
      <c r="AL587" t="s">
        <v>499</v>
      </c>
      <c r="AM587">
        <v>45420</v>
      </c>
      <c r="AN587" t="s">
        <v>19</v>
      </c>
      <c r="AO587" t="s">
        <v>20</v>
      </c>
      <c r="AP587" t="s">
        <v>33</v>
      </c>
      <c r="AQ587">
        <v>44</v>
      </c>
      <c r="AR587">
        <v>31</v>
      </c>
      <c r="AS587">
        <v>75</v>
      </c>
      <c r="AT587">
        <v>205</v>
      </c>
      <c r="AU587">
        <v>45</v>
      </c>
      <c r="AV587">
        <v>2</v>
      </c>
      <c r="AW587">
        <v>334</v>
      </c>
      <c r="AX587">
        <v>776</v>
      </c>
      <c r="AY587">
        <v>0.41333333333333333</v>
      </c>
      <c r="AZ587">
        <v>0.41333333333333333</v>
      </c>
      <c r="BA587">
        <v>44</v>
      </c>
      <c r="BB587">
        <v>14696</v>
      </c>
      <c r="BC587" t="s">
        <v>551</v>
      </c>
      <c r="BD587" t="s">
        <v>561</v>
      </c>
      <c r="BE587">
        <v>24056</v>
      </c>
    </row>
    <row r="588" spans="38:57" hidden="1" x14ac:dyDescent="0.3">
      <c r="AL588" t="s">
        <v>501</v>
      </c>
      <c r="AM588">
        <v>45365</v>
      </c>
      <c r="AN588" t="s">
        <v>19</v>
      </c>
      <c r="AO588" t="s">
        <v>20</v>
      </c>
      <c r="AP588" t="s">
        <v>38</v>
      </c>
      <c r="AQ588">
        <v>59</v>
      </c>
      <c r="AR588">
        <v>53</v>
      </c>
      <c r="AS588">
        <v>112</v>
      </c>
      <c r="AT588">
        <v>183</v>
      </c>
      <c r="AU588">
        <v>61</v>
      </c>
      <c r="AV588">
        <v>2</v>
      </c>
      <c r="AW588">
        <v>1783</v>
      </c>
      <c r="AX588">
        <v>2716</v>
      </c>
      <c r="AY588">
        <v>0.4732142857142857</v>
      </c>
      <c r="AZ588">
        <v>0.4732142857142857</v>
      </c>
      <c r="BA588">
        <v>59</v>
      </c>
      <c r="BB588">
        <v>105197</v>
      </c>
      <c r="BC588" t="s">
        <v>551</v>
      </c>
      <c r="BD588" t="s">
        <v>562</v>
      </c>
      <c r="BE588">
        <v>143948</v>
      </c>
    </row>
    <row r="589" spans="38:57" x14ac:dyDescent="0.3">
      <c r="AL589" t="s">
        <v>504</v>
      </c>
      <c r="AM589">
        <v>45509</v>
      </c>
      <c r="AN589" t="s">
        <v>53</v>
      </c>
      <c r="AO589" t="s">
        <v>20</v>
      </c>
      <c r="AP589" t="s">
        <v>14</v>
      </c>
      <c r="AQ589">
        <v>116</v>
      </c>
      <c r="AR589">
        <v>93</v>
      </c>
      <c r="AS589">
        <v>209</v>
      </c>
      <c r="AT589">
        <v>21</v>
      </c>
      <c r="AU589">
        <v>36</v>
      </c>
      <c r="AV589">
        <v>6</v>
      </c>
      <c r="AW589">
        <v>1660</v>
      </c>
      <c r="AX589">
        <v>2634</v>
      </c>
      <c r="AY589">
        <v>0.44497607655502391</v>
      </c>
      <c r="AZ589">
        <v>0.44497607655502391</v>
      </c>
      <c r="BA589">
        <v>116</v>
      </c>
      <c r="BB589">
        <v>192560</v>
      </c>
      <c r="BC589" t="s">
        <v>551</v>
      </c>
      <c r="BD589" t="s">
        <v>554</v>
      </c>
      <c r="BE589" s="5">
        <v>244962</v>
      </c>
    </row>
    <row r="590" spans="38:57" hidden="1" x14ac:dyDescent="0.3">
      <c r="AL590" t="s">
        <v>505</v>
      </c>
      <c r="AM590">
        <v>45301</v>
      </c>
      <c r="AN590" t="s">
        <v>30</v>
      </c>
      <c r="AO590" t="s">
        <v>20</v>
      </c>
      <c r="AP590" t="s">
        <v>33</v>
      </c>
      <c r="AQ590">
        <v>130</v>
      </c>
      <c r="AR590">
        <v>81</v>
      </c>
      <c r="AS590">
        <v>211</v>
      </c>
      <c r="AT590">
        <v>139</v>
      </c>
      <c r="AU590">
        <v>40</v>
      </c>
      <c r="AV590">
        <v>15</v>
      </c>
      <c r="AW590">
        <v>1577</v>
      </c>
      <c r="AX590">
        <v>2429</v>
      </c>
      <c r="AY590">
        <v>0.38388625592417064</v>
      </c>
      <c r="AZ590">
        <v>0.38388625592417064</v>
      </c>
      <c r="BA590">
        <v>130</v>
      </c>
      <c r="BB590">
        <v>205010</v>
      </c>
      <c r="BC590" t="s">
        <v>551</v>
      </c>
      <c r="BD590" t="s">
        <v>557</v>
      </c>
      <c r="BE590">
        <v>196749</v>
      </c>
    </row>
    <row r="591" spans="38:57" hidden="1" x14ac:dyDescent="0.3">
      <c r="AL591" t="s">
        <v>513</v>
      </c>
      <c r="AM591">
        <v>45464</v>
      </c>
      <c r="AN591" t="s">
        <v>19</v>
      </c>
      <c r="AO591" t="s">
        <v>13</v>
      </c>
      <c r="AP591" t="s">
        <v>38</v>
      </c>
      <c r="AQ591">
        <v>88</v>
      </c>
      <c r="AR591">
        <v>66</v>
      </c>
      <c r="AS591">
        <v>154</v>
      </c>
      <c r="AT591">
        <v>300</v>
      </c>
      <c r="AU591">
        <v>31</v>
      </c>
      <c r="AV591">
        <v>4</v>
      </c>
      <c r="AW591">
        <v>401</v>
      </c>
      <c r="AX591">
        <v>1411</v>
      </c>
      <c r="AY591">
        <v>0.42857142857142855</v>
      </c>
      <c r="AZ591">
        <v>0.42857142857142855</v>
      </c>
      <c r="BA591">
        <v>88</v>
      </c>
      <c r="BB591">
        <v>35288</v>
      </c>
      <c r="BC591" t="s">
        <v>551</v>
      </c>
      <c r="BD591" t="s">
        <v>559</v>
      </c>
      <c r="BE591">
        <v>93126</v>
      </c>
    </row>
    <row r="592" spans="38:57" hidden="1" x14ac:dyDescent="0.3">
      <c r="AL592" t="s">
        <v>514</v>
      </c>
      <c r="AM592">
        <v>45435</v>
      </c>
      <c r="AN592" t="s">
        <v>12</v>
      </c>
      <c r="AO592" t="s">
        <v>13</v>
      </c>
      <c r="AP592" t="s">
        <v>33</v>
      </c>
      <c r="AQ592">
        <v>78</v>
      </c>
      <c r="AR592">
        <v>70</v>
      </c>
      <c r="AS592">
        <v>148</v>
      </c>
      <c r="AT592">
        <v>135</v>
      </c>
      <c r="AU592">
        <v>46</v>
      </c>
      <c r="AV592">
        <v>11</v>
      </c>
      <c r="AW592">
        <v>675</v>
      </c>
      <c r="AX592">
        <v>1881</v>
      </c>
      <c r="AY592">
        <v>0.47297297297297297</v>
      </c>
      <c r="AZ592">
        <v>0.47297297297297297</v>
      </c>
      <c r="BA592">
        <v>78</v>
      </c>
      <c r="BB592">
        <v>52650</v>
      </c>
      <c r="BC592" t="s">
        <v>551</v>
      </c>
      <c r="BD592" t="s">
        <v>561</v>
      </c>
      <c r="BE592">
        <v>131670</v>
      </c>
    </row>
    <row r="593" spans="38:57" hidden="1" x14ac:dyDescent="0.3">
      <c r="AL593" t="s">
        <v>515</v>
      </c>
      <c r="AM593">
        <v>45345</v>
      </c>
      <c r="AN593" t="s">
        <v>30</v>
      </c>
      <c r="AO593" t="s">
        <v>13</v>
      </c>
      <c r="AP593" t="s">
        <v>21</v>
      </c>
      <c r="AQ593">
        <v>139</v>
      </c>
      <c r="AR593">
        <v>91</v>
      </c>
      <c r="AS593">
        <v>230</v>
      </c>
      <c r="AT593">
        <v>250</v>
      </c>
      <c r="AU593">
        <v>74</v>
      </c>
      <c r="AV593">
        <v>5</v>
      </c>
      <c r="AW593">
        <v>1242</v>
      </c>
      <c r="AX593">
        <v>1498</v>
      </c>
      <c r="AY593">
        <v>0.39565217391304347</v>
      </c>
      <c r="AZ593">
        <v>0.39565217391304347</v>
      </c>
      <c r="BA593">
        <v>139</v>
      </c>
      <c r="BB593">
        <v>172638</v>
      </c>
      <c r="BC593" t="s">
        <v>551</v>
      </c>
      <c r="BD593" t="s">
        <v>555</v>
      </c>
      <c r="BE593">
        <v>136318</v>
      </c>
    </row>
    <row r="594" spans="38:57" hidden="1" x14ac:dyDescent="0.3">
      <c r="AL594" t="s">
        <v>516</v>
      </c>
      <c r="AM594">
        <v>45620</v>
      </c>
      <c r="AN594" t="s">
        <v>37</v>
      </c>
      <c r="AO594" t="s">
        <v>17</v>
      </c>
      <c r="AP594" t="s">
        <v>14</v>
      </c>
      <c r="AQ594">
        <v>70</v>
      </c>
      <c r="AR594">
        <v>43</v>
      </c>
      <c r="AS594">
        <v>113</v>
      </c>
      <c r="AT594">
        <v>33</v>
      </c>
      <c r="AU594">
        <v>48</v>
      </c>
      <c r="AV594">
        <v>7</v>
      </c>
      <c r="AW594">
        <v>1371</v>
      </c>
      <c r="AX594">
        <v>2192</v>
      </c>
      <c r="AY594">
        <v>0.38053097345132741</v>
      </c>
      <c r="AZ594">
        <v>0.38053097345132741</v>
      </c>
      <c r="BA594">
        <v>70</v>
      </c>
      <c r="BB594">
        <v>95970</v>
      </c>
      <c r="BC594" t="s">
        <v>551</v>
      </c>
      <c r="BD594" t="s">
        <v>564</v>
      </c>
      <c r="BE594">
        <v>94256</v>
      </c>
    </row>
    <row r="595" spans="38:57" hidden="1" x14ac:dyDescent="0.3">
      <c r="AL595" t="s">
        <v>517</v>
      </c>
      <c r="AM595">
        <v>45656</v>
      </c>
      <c r="AN595" t="s">
        <v>26</v>
      </c>
      <c r="AO595" t="s">
        <v>13</v>
      </c>
      <c r="AP595" t="s">
        <v>38</v>
      </c>
      <c r="AQ595">
        <v>138</v>
      </c>
      <c r="AR595">
        <v>87</v>
      </c>
      <c r="AS595">
        <v>225</v>
      </c>
      <c r="AT595">
        <v>286</v>
      </c>
      <c r="AU595">
        <v>60</v>
      </c>
      <c r="AV595">
        <v>9</v>
      </c>
      <c r="AW595">
        <v>1042</v>
      </c>
      <c r="AX595">
        <v>2473</v>
      </c>
      <c r="AY595">
        <v>0.38666666666666666</v>
      </c>
      <c r="AZ595">
        <v>0.38666666666666666</v>
      </c>
      <c r="BA595">
        <v>138</v>
      </c>
      <c r="BB595">
        <v>143796</v>
      </c>
      <c r="BC595" t="s">
        <v>551</v>
      </c>
      <c r="BD595" t="s">
        <v>563</v>
      </c>
      <c r="BE595">
        <v>215151</v>
      </c>
    </row>
    <row r="596" spans="38:57" x14ac:dyDescent="0.3">
      <c r="AL596" t="s">
        <v>519</v>
      </c>
      <c r="AM596">
        <v>45606</v>
      </c>
      <c r="AN596" t="s">
        <v>37</v>
      </c>
      <c r="AO596" t="s">
        <v>17</v>
      </c>
      <c r="AP596" t="s">
        <v>14</v>
      </c>
      <c r="AQ596">
        <v>91</v>
      </c>
      <c r="AR596">
        <v>92</v>
      </c>
      <c r="AS596">
        <v>183</v>
      </c>
      <c r="AT596">
        <v>137</v>
      </c>
      <c r="AU596">
        <v>32</v>
      </c>
      <c r="AV596">
        <v>7</v>
      </c>
      <c r="AW596">
        <v>1909</v>
      </c>
      <c r="AX596">
        <v>3079</v>
      </c>
      <c r="AY596">
        <v>0.50273224043715847</v>
      </c>
      <c r="AZ596">
        <v>0.50273224043715847</v>
      </c>
      <c r="BA596">
        <v>91</v>
      </c>
      <c r="BB596">
        <v>173719</v>
      </c>
      <c r="BC596" t="s">
        <v>551</v>
      </c>
      <c r="BD596" t="s">
        <v>564</v>
      </c>
      <c r="BE596" s="5">
        <v>283268</v>
      </c>
    </row>
    <row r="597" spans="38:57" hidden="1" x14ac:dyDescent="0.3">
      <c r="AL597" t="s">
        <v>521</v>
      </c>
      <c r="AM597">
        <v>45638</v>
      </c>
      <c r="AN597" t="s">
        <v>53</v>
      </c>
      <c r="AO597" t="s">
        <v>20</v>
      </c>
      <c r="AP597" t="s">
        <v>14</v>
      </c>
      <c r="AQ597">
        <v>70</v>
      </c>
      <c r="AR597">
        <v>67</v>
      </c>
      <c r="AS597">
        <v>137</v>
      </c>
      <c r="AT597">
        <v>120</v>
      </c>
      <c r="AU597">
        <v>73</v>
      </c>
      <c r="AV597">
        <v>15</v>
      </c>
      <c r="AW597">
        <v>487</v>
      </c>
      <c r="AX597">
        <v>1045</v>
      </c>
      <c r="AY597">
        <v>0.48905109489051096</v>
      </c>
      <c r="AZ597">
        <v>0.48905109489051096</v>
      </c>
      <c r="BA597">
        <v>70</v>
      </c>
      <c r="BB597">
        <v>34090</v>
      </c>
      <c r="BC597" t="s">
        <v>551</v>
      </c>
      <c r="BD597" t="s">
        <v>563</v>
      </c>
      <c r="BE597">
        <v>70015</v>
      </c>
    </row>
    <row r="598" spans="38:57" hidden="1" x14ac:dyDescent="0.3">
      <c r="AL598" t="s">
        <v>523</v>
      </c>
      <c r="AM598">
        <v>45367</v>
      </c>
      <c r="AN598" t="s">
        <v>26</v>
      </c>
      <c r="AO598" t="s">
        <v>13</v>
      </c>
      <c r="AP598" t="s">
        <v>21</v>
      </c>
      <c r="AQ598">
        <v>75</v>
      </c>
      <c r="AR598">
        <v>94</v>
      </c>
      <c r="AS598">
        <v>169</v>
      </c>
      <c r="AT598">
        <v>212</v>
      </c>
      <c r="AU598">
        <v>33</v>
      </c>
      <c r="AV598">
        <v>11</v>
      </c>
      <c r="AW598">
        <v>882</v>
      </c>
      <c r="AX598">
        <v>1664</v>
      </c>
      <c r="AY598">
        <v>0.55621301775147924</v>
      </c>
      <c r="AZ598">
        <v>0.55621301775147924</v>
      </c>
      <c r="BA598">
        <v>75</v>
      </c>
      <c r="BB598">
        <v>66150</v>
      </c>
      <c r="BC598" t="s">
        <v>551</v>
      </c>
      <c r="BD598" t="s">
        <v>562</v>
      </c>
      <c r="BE598">
        <v>156416</v>
      </c>
    </row>
    <row r="599" spans="38:57" hidden="1" x14ac:dyDescent="0.3">
      <c r="AL599" t="s">
        <v>525</v>
      </c>
      <c r="AM599">
        <v>45445</v>
      </c>
      <c r="AN599" t="s">
        <v>37</v>
      </c>
      <c r="AO599" t="s">
        <v>20</v>
      </c>
      <c r="AP599" t="s">
        <v>33</v>
      </c>
      <c r="AQ599">
        <v>145</v>
      </c>
      <c r="AR599">
        <v>90</v>
      </c>
      <c r="AS599">
        <v>235</v>
      </c>
      <c r="AT599">
        <v>154</v>
      </c>
      <c r="AU599">
        <v>71</v>
      </c>
      <c r="AV599">
        <v>11</v>
      </c>
      <c r="AW599">
        <v>664</v>
      </c>
      <c r="AX599">
        <v>1581</v>
      </c>
      <c r="AY599">
        <v>0.38297872340425532</v>
      </c>
      <c r="AZ599">
        <v>0.38297872340425532</v>
      </c>
      <c r="BA599">
        <v>145</v>
      </c>
      <c r="BB599">
        <v>96280</v>
      </c>
      <c r="BC599" t="s">
        <v>551</v>
      </c>
      <c r="BD599" t="s">
        <v>559</v>
      </c>
      <c r="BE599">
        <v>142290</v>
      </c>
    </row>
    <row r="600" spans="38:57" x14ac:dyDescent="0.3">
      <c r="AL600" t="s">
        <v>526</v>
      </c>
      <c r="AM600">
        <v>45423</v>
      </c>
      <c r="AN600" t="s">
        <v>19</v>
      </c>
      <c r="AO600" t="s">
        <v>20</v>
      </c>
      <c r="AP600" t="s">
        <v>33</v>
      </c>
      <c r="AQ600">
        <v>116</v>
      </c>
      <c r="AR600">
        <v>110</v>
      </c>
      <c r="AS600">
        <v>226</v>
      </c>
      <c r="AT600">
        <v>202</v>
      </c>
      <c r="AU600">
        <v>31</v>
      </c>
      <c r="AV600">
        <v>11</v>
      </c>
      <c r="AW600">
        <v>1216</v>
      </c>
      <c r="AX600">
        <v>2503</v>
      </c>
      <c r="AY600">
        <v>0.48672566371681414</v>
      </c>
      <c r="AZ600">
        <v>0.48672566371681414</v>
      </c>
      <c r="BA600">
        <v>116</v>
      </c>
      <c r="BB600">
        <v>141056</v>
      </c>
      <c r="BC600" t="s">
        <v>551</v>
      </c>
      <c r="BD600" t="s">
        <v>561</v>
      </c>
      <c r="BE600" s="5">
        <v>275330</v>
      </c>
    </row>
    <row r="601" spans="38:57" x14ac:dyDescent="0.3">
      <c r="AL601" t="s">
        <v>527</v>
      </c>
      <c r="AM601">
        <v>45295</v>
      </c>
      <c r="AN601" t="s">
        <v>45</v>
      </c>
      <c r="AO601" t="s">
        <v>13</v>
      </c>
      <c r="AP601" t="s">
        <v>14</v>
      </c>
      <c r="AQ601">
        <v>137</v>
      </c>
      <c r="AR601">
        <v>112</v>
      </c>
      <c r="AS601">
        <v>249</v>
      </c>
      <c r="AT601">
        <v>4</v>
      </c>
      <c r="AU601">
        <v>72</v>
      </c>
      <c r="AV601">
        <v>13</v>
      </c>
      <c r="AW601">
        <v>1540</v>
      </c>
      <c r="AX601">
        <v>2889</v>
      </c>
      <c r="AY601">
        <v>0.44979919678714858</v>
      </c>
      <c r="AZ601">
        <v>0.44979919678714858</v>
      </c>
      <c r="BA601">
        <v>137</v>
      </c>
      <c r="BB601">
        <v>210980</v>
      </c>
      <c r="BC601" t="s">
        <v>551</v>
      </c>
      <c r="BD601" t="s">
        <v>557</v>
      </c>
      <c r="BE601" s="5">
        <v>323568</v>
      </c>
    </row>
    <row r="602" spans="38:57" x14ac:dyDescent="0.3">
      <c r="AL602" t="s">
        <v>528</v>
      </c>
      <c r="AM602">
        <v>45385</v>
      </c>
      <c r="AN602" t="s">
        <v>37</v>
      </c>
      <c r="AO602" t="s">
        <v>17</v>
      </c>
      <c r="AP602" t="s">
        <v>33</v>
      </c>
      <c r="AQ602">
        <v>113</v>
      </c>
      <c r="AR602">
        <v>103</v>
      </c>
      <c r="AS602">
        <v>216</v>
      </c>
      <c r="AT602">
        <v>119</v>
      </c>
      <c r="AU602">
        <v>78</v>
      </c>
      <c r="AV602">
        <v>4</v>
      </c>
      <c r="AW602">
        <v>881</v>
      </c>
      <c r="AX602">
        <v>2250</v>
      </c>
      <c r="AY602">
        <v>0.47685185185185186</v>
      </c>
      <c r="AZ602">
        <v>0.47685185185185186</v>
      </c>
      <c r="BA602">
        <v>113</v>
      </c>
      <c r="BB602">
        <v>99553</v>
      </c>
      <c r="BC602" t="s">
        <v>551</v>
      </c>
      <c r="BD602" t="s">
        <v>558</v>
      </c>
      <c r="BE602" s="5">
        <v>231750</v>
      </c>
    </row>
    <row r="603" spans="38:57" hidden="1" x14ac:dyDescent="0.3">
      <c r="AL603" t="s">
        <v>530</v>
      </c>
      <c r="AM603">
        <v>45641</v>
      </c>
      <c r="AN603" t="s">
        <v>12</v>
      </c>
      <c r="AO603" t="s">
        <v>20</v>
      </c>
      <c r="AP603" t="s">
        <v>33</v>
      </c>
      <c r="AQ603">
        <v>58</v>
      </c>
      <c r="AR603">
        <v>60</v>
      </c>
      <c r="AS603">
        <v>118</v>
      </c>
      <c r="AT603">
        <v>210</v>
      </c>
      <c r="AU603">
        <v>31</v>
      </c>
      <c r="AV603">
        <v>5</v>
      </c>
      <c r="AW603">
        <v>1000</v>
      </c>
      <c r="AX603">
        <v>2479</v>
      </c>
      <c r="AY603">
        <v>0.50847457627118642</v>
      </c>
      <c r="AZ603">
        <v>0.50847457627118642</v>
      </c>
      <c r="BA603">
        <v>58</v>
      </c>
      <c r="BB603">
        <v>58000</v>
      </c>
      <c r="BC603" t="s">
        <v>551</v>
      </c>
      <c r="BD603" t="s">
        <v>563</v>
      </c>
      <c r="BE603">
        <v>148740</v>
      </c>
    </row>
    <row r="604" spans="38:57" hidden="1" x14ac:dyDescent="0.3">
      <c r="AL604" t="s">
        <v>531</v>
      </c>
      <c r="AM604">
        <v>45530</v>
      </c>
      <c r="AN604" t="s">
        <v>26</v>
      </c>
      <c r="AO604" t="s">
        <v>17</v>
      </c>
      <c r="AP604" t="s">
        <v>38</v>
      </c>
      <c r="AQ604">
        <v>16</v>
      </c>
      <c r="AR604">
        <v>23</v>
      </c>
      <c r="AS604">
        <v>39</v>
      </c>
      <c r="AT604">
        <v>154</v>
      </c>
      <c r="AU604">
        <v>59</v>
      </c>
      <c r="AV604">
        <v>11</v>
      </c>
      <c r="AW604">
        <v>923</v>
      </c>
      <c r="AX604">
        <v>1291</v>
      </c>
      <c r="AY604">
        <v>0.58974358974358976</v>
      </c>
      <c r="AZ604">
        <v>0.58974358974358976</v>
      </c>
      <c r="BA604">
        <v>16</v>
      </c>
      <c r="BB604">
        <v>14768</v>
      </c>
      <c r="BC604" t="s">
        <v>551</v>
      </c>
      <c r="BD604" t="s">
        <v>554</v>
      </c>
      <c r="BE604">
        <v>29693</v>
      </c>
    </row>
    <row r="605" spans="38:57" hidden="1" x14ac:dyDescent="0.3">
      <c r="AL605" t="s">
        <v>532</v>
      </c>
      <c r="AM605">
        <v>45342</v>
      </c>
      <c r="AN605" t="s">
        <v>53</v>
      </c>
      <c r="AO605" t="s">
        <v>17</v>
      </c>
      <c r="AP605" t="s">
        <v>38</v>
      </c>
      <c r="AQ605">
        <v>60</v>
      </c>
      <c r="AR605">
        <v>71</v>
      </c>
      <c r="AS605">
        <v>131</v>
      </c>
      <c r="AT605">
        <v>50</v>
      </c>
      <c r="AU605">
        <v>46</v>
      </c>
      <c r="AV605">
        <v>15</v>
      </c>
      <c r="AW605">
        <v>702</v>
      </c>
      <c r="AX605">
        <v>1906</v>
      </c>
      <c r="AY605">
        <v>0.5419847328244275</v>
      </c>
      <c r="AZ605">
        <v>0.5419847328244275</v>
      </c>
      <c r="BA605">
        <v>60</v>
      </c>
      <c r="BB605">
        <v>42120</v>
      </c>
      <c r="BC605" t="s">
        <v>551</v>
      </c>
      <c r="BD605" t="s">
        <v>555</v>
      </c>
      <c r="BE605">
        <v>135326</v>
      </c>
    </row>
  </sheetData>
  <phoneticPr fontId="5" type="noConversion"/>
  <conditionalFormatting sqref="R1 R2:AK1048576">
    <cfRule type="cellIs" dxfId="78" priority="9" operator="equal">
      <formula>"Dead Stocks"</formula>
    </cfRule>
    <cfRule type="cellIs" dxfId="77" priority="10" operator="equal">
      <formula>"Dead Stock"</formula>
    </cfRule>
  </conditionalFormatting>
  <conditionalFormatting sqref="BC96">
    <cfRule type="cellIs" dxfId="76" priority="7" operator="equal">
      <formula>"Dead Stocks"</formula>
    </cfRule>
    <cfRule type="cellIs" dxfId="75" priority="8" operator="equal">
      <formula>"Dead Stock"</formula>
    </cfRule>
  </conditionalFormatting>
  <conditionalFormatting sqref="BC215">
    <cfRule type="cellIs" dxfId="74" priority="3" operator="equal">
      <formula>"Dead Stocks"</formula>
    </cfRule>
    <cfRule type="cellIs" dxfId="73" priority="4" operator="equal">
      <formula>"Dead Stock"</formula>
    </cfRule>
  </conditionalFormatting>
  <conditionalFormatting sqref="BC357">
    <cfRule type="cellIs" dxfId="72" priority="1" operator="equal">
      <formula>"Dead Stocks"</formula>
    </cfRule>
    <cfRule type="cellIs" dxfId="71" priority="2" operator="equal">
      <formula>"Dead Stock"</formula>
    </cfRule>
  </conditionalFormatting>
  <pageMargins left="0.7" right="0.7" top="0.75" bottom="0.75" header="0.3" footer="0.3"/>
  <ignoredErrors>
    <ignoredError sqref="U2:V2" calculatedColumn="1"/>
  </ignoredErrors>
  <drawing r:id="rId8"/>
  <tableParts count="4">
    <tablePart r:id="rId9"/>
    <tablePart r:id="rId10"/>
    <tablePart r:id="rId11"/>
    <tablePart r:id="rId12"/>
  </tableParts>
  <extLst>
    <ext xmlns:x14="http://schemas.microsoft.com/office/spreadsheetml/2009/9/main" uri="{A8765BA9-456A-4dab-B4F3-ACF838C121DE}">
      <x14:slicerList>
        <x14:slicer r:id="rId13"/>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73BAF6-FCDC-4AF3-848F-AFF9D030523A}">
  <sheetPr codeName="Sheet2"/>
  <dimension ref="D20:K35"/>
  <sheetViews>
    <sheetView workbookViewId="0"/>
  </sheetViews>
  <sheetFormatPr defaultRowHeight="14.4" x14ac:dyDescent="0.3"/>
  <cols>
    <col min="1" max="1" width="8.88671875" style="17"/>
    <col min="2" max="2" width="10" style="17" bestFit="1" customWidth="1"/>
    <col min="3" max="3" width="17.21875" style="17" customWidth="1"/>
    <col min="4" max="4" width="8.33203125" style="17" bestFit="1" customWidth="1"/>
    <col min="5" max="5" width="7.5546875" style="17" bestFit="1" customWidth="1"/>
    <col min="6" max="6" width="8.33203125" style="17" bestFit="1" customWidth="1"/>
    <col min="7" max="7" width="13.88671875" style="17" customWidth="1"/>
    <col min="8" max="8" width="14.33203125" style="17" bestFit="1" customWidth="1"/>
    <col min="9" max="9" width="12" style="17" bestFit="1" customWidth="1"/>
    <col min="10" max="10" width="10" style="17" bestFit="1" customWidth="1"/>
    <col min="11" max="11" width="7" style="17" customWidth="1"/>
    <col min="12" max="13" width="8.88671875" style="17"/>
    <col min="14" max="14" width="6.88671875" style="17" customWidth="1"/>
    <col min="15" max="15" width="4.88671875" style="17" customWidth="1"/>
    <col min="16" max="16" width="5.88671875" style="17" customWidth="1"/>
    <col min="17" max="16384" width="8.88671875" style="17"/>
  </cols>
  <sheetData>
    <row r="20" spans="4:11" ht="15" thickBot="1" x14ac:dyDescent="0.35">
      <c r="D20" s="25">
        <v>91</v>
      </c>
    </row>
    <row r="21" spans="4:11" x14ac:dyDescent="0.3">
      <c r="D21" s="21" t="s">
        <v>0</v>
      </c>
      <c r="E21" s="22" t="s">
        <v>2</v>
      </c>
      <c r="F21" s="22" t="s">
        <v>3</v>
      </c>
      <c r="G21" s="22" t="s">
        <v>4</v>
      </c>
      <c r="H21" s="22" t="s">
        <v>535</v>
      </c>
      <c r="I21" s="23" t="s">
        <v>536</v>
      </c>
      <c r="J21" s="22" t="s">
        <v>538</v>
      </c>
      <c r="K21" s="18"/>
    </row>
    <row r="22" spans="4:11" x14ac:dyDescent="0.3">
      <c r="D22" s="31" t="str" cm="1">
        <f t="array" ref="D22:G22">INDEX('Automated raw'!AL97:AZ212,'Dead Stock'!$D$20,{1,3,4,5})</f>
        <v>ORD439</v>
      </c>
      <c r="E22" s="31" t="str">
        <v>Dress</v>
      </c>
      <c r="F22" s="31" t="str">
        <v>Women</v>
      </c>
      <c r="G22" s="31" t="str">
        <v>Fashion Hub Ltd</v>
      </c>
      <c r="H22" s="31" cm="1">
        <f t="array" ref="H22">INDEX('Automated raw'!BA97:BA212,$D$20)</f>
        <v>111</v>
      </c>
      <c r="I22" s="33" cm="1">
        <f t="array" ref="I22">INDEX('Automated raw'!BB97:BB212,$D$20)</f>
        <v>53058</v>
      </c>
      <c r="J22" s="32" t="str" cm="1">
        <f t="array" ref="J22">INDEX('Automated raw'!BC97:BC212,$D$20)</f>
        <v>Dead Stock</v>
      </c>
      <c r="K22" s="19"/>
    </row>
    <row r="23" spans="4:11" x14ac:dyDescent="0.3">
      <c r="D23" s="31" t="str" cm="1">
        <f t="array" ref="D23:G23">INDEX('Automated raw'!AL98:AZ213,'Dead Stock'!$D$20,{1,3,4,5})</f>
        <v>ORD183</v>
      </c>
      <c r="E23" s="31" t="str">
        <v>Sweater</v>
      </c>
      <c r="F23" s="31" t="str">
        <v>Kids</v>
      </c>
      <c r="G23" s="31" t="str">
        <v>Fashion Hub Ltd</v>
      </c>
      <c r="H23" s="31" cm="1">
        <f t="array" ref="H23">INDEX('Automated raw'!BA98:BA213,$D$20)</f>
        <v>79</v>
      </c>
      <c r="I23" s="33" cm="1">
        <f t="array" ref="I23">INDEX('Automated raw'!BB98:BB213,$D$20)</f>
        <v>51745</v>
      </c>
      <c r="J23" s="32" t="str" cm="1">
        <f t="array" ref="J23">INDEX('Automated raw'!BC98:BC213,$D$20)</f>
        <v>Dead Stock</v>
      </c>
      <c r="K23" s="19"/>
    </row>
    <row r="24" spans="4:11" x14ac:dyDescent="0.3">
      <c r="D24" s="31" t="str" cm="1">
        <f t="array" ref="D24:G24">INDEX('Automated raw'!AL99:AZ214,'Dead Stock'!$D$20,{1,3,4,5})</f>
        <v>ORD292</v>
      </c>
      <c r="E24" s="31" t="str">
        <v>Sweater</v>
      </c>
      <c r="F24" s="31" t="str">
        <v>Men</v>
      </c>
      <c r="G24" s="31" t="str">
        <v>Clothify</v>
      </c>
      <c r="H24" s="31" cm="1">
        <f t="array" ref="H24">INDEX('Automated raw'!BA99:BA214,$D$20)</f>
        <v>82</v>
      </c>
      <c r="I24" s="33" cm="1">
        <f t="array" ref="I24">INDEX('Automated raw'!BB99:BB214,$D$20)</f>
        <v>49528</v>
      </c>
      <c r="J24" s="32" t="str" cm="1">
        <f t="array" ref="J24">INDEX('Automated raw'!BC99:BC214,$D$20)</f>
        <v>Dead Stock</v>
      </c>
      <c r="K24" s="19"/>
    </row>
    <row r="25" spans="4:11" x14ac:dyDescent="0.3">
      <c r="D25" s="31" t="str" cm="1">
        <f t="array" ref="D25:G25">INDEX('Automated raw'!AL100:AZ215,'Dead Stock'!$D$20,{1,3,4,5})</f>
        <v>ORD392</v>
      </c>
      <c r="E25" s="31" t="str">
        <v>Shorts</v>
      </c>
      <c r="F25" s="31" t="str">
        <v>Women</v>
      </c>
      <c r="G25" s="31" t="str">
        <v>StyleStreet</v>
      </c>
      <c r="H25" s="31" cm="1">
        <f t="array" ref="H25">INDEX('Automated raw'!BA100:BA215,$D$20)</f>
        <v>112</v>
      </c>
      <c r="I25" s="33" cm="1">
        <f t="array" ref="I25">INDEX('Automated raw'!BB100:BB215,$D$20)</f>
        <v>48496</v>
      </c>
      <c r="J25" s="32" t="str" cm="1">
        <f t="array" ref="J25">INDEX('Automated raw'!BC100:BC215,$D$20)</f>
        <v>Dead Stock</v>
      </c>
      <c r="K25" s="19"/>
    </row>
    <row r="26" spans="4:11" x14ac:dyDescent="0.3">
      <c r="D26" s="31" t="str" cm="1">
        <f t="array" ref="D26:G26">INDEX('Automated raw'!AL101:AZ216,'Dead Stock'!$D$20,{1,3,4,5})</f>
        <v>ORD227</v>
      </c>
      <c r="E26" s="31" t="str">
        <v>shirt</v>
      </c>
      <c r="F26" s="31" t="str">
        <v>Women</v>
      </c>
      <c r="G26" s="31" t="str">
        <v>StyleStreet</v>
      </c>
      <c r="H26" s="31" cm="1">
        <f t="array" ref="H26">INDEX('Automated raw'!BA101:BA216,$D$20)</f>
        <v>80</v>
      </c>
      <c r="I26" s="33" cm="1">
        <f t="array" ref="I26">INDEX('Automated raw'!BB101:BB216,$D$20)</f>
        <v>48240</v>
      </c>
      <c r="J26" s="32" t="str" cm="1">
        <f t="array" ref="J26">INDEX('Automated raw'!BC101:BC216,$D$20)</f>
        <v>Dead Stock</v>
      </c>
      <c r="K26" s="19"/>
    </row>
    <row r="27" spans="4:11" x14ac:dyDescent="0.3">
      <c r="D27" s="31" t="str" cm="1">
        <f t="array" ref="D27:G27">INDEX('Automated raw'!AL102:AZ217,'Dead Stock'!$D$20,{1,3,4,5})</f>
        <v>ORD194</v>
      </c>
      <c r="E27" s="31" t="str">
        <v>Hoodie</v>
      </c>
      <c r="F27" s="31" t="str">
        <v>Women</v>
      </c>
      <c r="G27" s="31" t="str">
        <v>Fashion Hub Ltd</v>
      </c>
      <c r="H27" s="31" cm="1">
        <f t="array" ref="H27">INDEX('Automated raw'!BA102:BA217,$D$20)</f>
        <v>36</v>
      </c>
      <c r="I27" s="33" cm="1">
        <f t="array" ref="I27">INDEX('Automated raw'!BB102:BB217,$D$20)</f>
        <v>47988</v>
      </c>
      <c r="J27" s="32" t="str" cm="1">
        <f t="array" ref="J27">INDEX('Automated raw'!BC102:BC217,$D$20)</f>
        <v>Dead Stock</v>
      </c>
      <c r="K27" s="19"/>
    </row>
    <row r="28" spans="4:11" x14ac:dyDescent="0.3">
      <c r="D28" s="31" t="str" cm="1">
        <f t="array" ref="D28:G28">INDEX('Automated raw'!AL103:AZ218,'Dead Stock'!$D$20,{1,3,4,5})</f>
        <v>ORD326</v>
      </c>
      <c r="E28" s="31" t="str">
        <v>Jacket</v>
      </c>
      <c r="F28" s="31" t="str">
        <v>Women</v>
      </c>
      <c r="G28" s="31" t="str">
        <v>Fashion Hub Ltd</v>
      </c>
      <c r="H28" s="31" cm="1">
        <f t="array" ref="H28">INDEX('Automated raw'!BA103:BA218,$D$20)</f>
        <v>119</v>
      </c>
      <c r="I28" s="33" cm="1">
        <f t="array" ref="I28">INDEX('Automated raw'!BB103:BB218,$D$20)</f>
        <v>47838</v>
      </c>
      <c r="J28" s="32" t="str" cm="1">
        <f t="array" ref="J28">INDEX('Automated raw'!BC103:BC218,$D$20)</f>
        <v>Dead Stock</v>
      </c>
      <c r="K28" s="19"/>
    </row>
    <row r="29" spans="4:11" x14ac:dyDescent="0.3">
      <c r="D29" s="31" t="str" cm="1">
        <f t="array" ref="D29:G29">INDEX('Automated raw'!AL104:AZ219,'Dead Stock'!$D$20,{1,3,4,5})</f>
        <v>ORD26</v>
      </c>
      <c r="E29" s="31" t="str">
        <v>Jeans</v>
      </c>
      <c r="F29" s="31" t="str">
        <v>Kids</v>
      </c>
      <c r="G29" s="31" t="str">
        <v>Clothify</v>
      </c>
      <c r="H29" s="31" cm="1">
        <f t="array" ref="H29">INDEX('Automated raw'!BA104:BA219,$D$20)</f>
        <v>121</v>
      </c>
      <c r="I29" s="33" cm="1">
        <f t="array" ref="I29">INDEX('Automated raw'!BB104:BB219,$D$20)</f>
        <v>44044</v>
      </c>
      <c r="J29" s="32" t="str" cm="1">
        <f t="array" ref="J29">INDEX('Automated raw'!BC104:BC219,$D$20)</f>
        <v>Dead Stock</v>
      </c>
      <c r="K29" s="19"/>
    </row>
    <row r="30" spans="4:11" x14ac:dyDescent="0.3">
      <c r="D30" s="31" t="str" cm="1">
        <f t="array" ref="D30:G30">INDEX('Automated raw'!AL105:AZ220,'Dead Stock'!$D$20,{1,3,4,5})</f>
        <v>ORD59</v>
      </c>
      <c r="E30" s="31" t="str">
        <v>Sweater</v>
      </c>
      <c r="F30" s="31" t="str">
        <v>Women</v>
      </c>
      <c r="G30" s="31" t="str">
        <v>Fashion Hub Ltd</v>
      </c>
      <c r="H30" s="31" cm="1">
        <f t="array" ref="H30">INDEX('Automated raw'!BA105:BA220,$D$20)</f>
        <v>84</v>
      </c>
      <c r="I30" s="33" cm="1">
        <f t="array" ref="I30">INDEX('Automated raw'!BB105:BB220,$D$20)</f>
        <v>42252</v>
      </c>
      <c r="J30" s="32" t="str" cm="1">
        <f t="array" ref="J30">INDEX('Automated raw'!BC105:BC220,$D$20)</f>
        <v>Dead Stock</v>
      </c>
      <c r="K30" s="19"/>
    </row>
    <row r="31" spans="4:11" x14ac:dyDescent="0.3">
      <c r="D31" s="31" t="str" cm="1">
        <f t="array" ref="D31:G31">INDEX('Automated raw'!AL106:AZ221,'Dead Stock'!$D$20,{1,3,4,5})</f>
        <v>ORD100</v>
      </c>
      <c r="E31" s="31" t="str">
        <v>Shirt</v>
      </c>
      <c r="F31" s="31" t="str">
        <v>Men</v>
      </c>
      <c r="G31" s="31" t="str">
        <v>Fashion Hub Ltd</v>
      </c>
      <c r="H31" s="31" cm="1">
        <f t="array" ref="H31">INDEX('Automated raw'!BA106:BA221,$D$20)</f>
        <v>28</v>
      </c>
      <c r="I31" s="33" cm="1">
        <f t="array" ref="I31">INDEX('Automated raw'!BB106:BB221,$D$20)</f>
        <v>41860</v>
      </c>
      <c r="J31" s="32" t="str" cm="1">
        <f t="array" ref="J31">INDEX('Automated raw'!BC106:BC221,$D$20)</f>
        <v>Dead Stock</v>
      </c>
      <c r="K31" s="19"/>
    </row>
    <row r="32" spans="4:11" x14ac:dyDescent="0.3">
      <c r="D32" s="31" t="str" cm="1">
        <f t="array" ref="D32:G32">INDEX('Automated raw'!AL107:AZ222,'Dead Stock'!$D$20,{1,3,4,5})</f>
        <v>ORD81</v>
      </c>
      <c r="E32" s="31" t="str">
        <v>Jacket</v>
      </c>
      <c r="F32" s="31" t="str">
        <v>Women</v>
      </c>
      <c r="G32" s="31" t="str">
        <v>Fashion Hub Ltd</v>
      </c>
      <c r="H32" s="31" cm="1">
        <f t="array" ref="H32">INDEX('Automated raw'!BA107:BA222,$D$20)</f>
        <v>38</v>
      </c>
      <c r="I32" s="33" cm="1">
        <f t="array" ref="I32">INDEX('Automated raw'!BB107:BB222,$D$20)</f>
        <v>37658</v>
      </c>
      <c r="J32" s="32" t="str" cm="1">
        <f t="array" ref="J32">INDEX('Automated raw'!BC107:BC222,$D$20)</f>
        <v>Dead Stock</v>
      </c>
      <c r="K32" s="19"/>
    </row>
    <row r="33" spans="4:11" x14ac:dyDescent="0.3">
      <c r="D33" s="31" t="str" cm="1">
        <f t="array" ref="D33:G33">INDEX('Automated raw'!AL108:AZ223,'Dead Stock'!$D$20,{1,3,4,5})</f>
        <v>ORD285</v>
      </c>
      <c r="E33" s="31" t="str">
        <v>Jeans</v>
      </c>
      <c r="F33" s="31" t="str">
        <v>Kids</v>
      </c>
      <c r="G33" s="31" t="str">
        <v>Fashion Hub Ltd</v>
      </c>
      <c r="H33" s="31" cm="1">
        <f t="array" ref="H33">INDEX('Automated raw'!BA108:BA223,$D$20)</f>
        <v>96</v>
      </c>
      <c r="I33" s="33" cm="1">
        <f t="array" ref="I33">INDEX('Automated raw'!BB108:BB223,$D$20)</f>
        <v>36288</v>
      </c>
      <c r="J33" s="32" t="str" cm="1">
        <f t="array" ref="J33">INDEX('Automated raw'!BC108:BC223,$D$20)</f>
        <v>Dead Stock</v>
      </c>
      <c r="K33" s="19"/>
    </row>
    <row r="34" spans="4:11" x14ac:dyDescent="0.3">
      <c r="D34" s="31" t="str" cm="1">
        <f t="array" ref="D34:G34">INDEX('Automated raw'!AL109:AZ224,'Dead Stock'!$D$20,{1,3,4,5})</f>
        <v>ORD105</v>
      </c>
      <c r="E34" s="31" t="str">
        <v>Jeans</v>
      </c>
      <c r="F34" s="31" t="str">
        <v>Men</v>
      </c>
      <c r="G34" s="31" t="str">
        <v>Not Available</v>
      </c>
      <c r="H34" s="31" cm="1">
        <f t="array" ref="H34">INDEX('Automated raw'!BA109:BA224,$D$20)</f>
        <v>67</v>
      </c>
      <c r="I34" s="33" cm="1">
        <f t="array" ref="I34">INDEX('Automated raw'!BB109:BB224,$D$20)</f>
        <v>34639</v>
      </c>
      <c r="J34" s="32" t="str" cm="1">
        <f t="array" ref="J34">INDEX('Automated raw'!BC109:BC224,$D$20)</f>
        <v>Dead Stock</v>
      </c>
      <c r="K34" s="19"/>
    </row>
    <row r="35" spans="4:11" ht="15" thickBot="1" x14ac:dyDescent="0.35">
      <c r="D35" s="31" t="str" cm="1">
        <f t="array" ref="D35:G35">INDEX('Automated raw'!AL110:AZ225,'Dead Stock'!$D$20,{1,3,4,5})</f>
        <v>ORD436</v>
      </c>
      <c r="E35" s="31" t="str">
        <v>Jeans</v>
      </c>
      <c r="F35" s="31" t="str">
        <v>Women</v>
      </c>
      <c r="G35" s="31" t="str">
        <v>Clothify</v>
      </c>
      <c r="H35" s="31" cm="1">
        <f t="array" ref="H35">INDEX('Automated raw'!BA110:BA225,$D$20)</f>
        <v>116</v>
      </c>
      <c r="I35" s="33" cm="1">
        <f t="array" ref="I35">INDEX('Automated raw'!BB110:BB225,$D$20)</f>
        <v>33176</v>
      </c>
      <c r="J35" s="32" t="str" cm="1">
        <f t="array" ref="J35">INDEX('Automated raw'!BC110:BC225,$D$20)</f>
        <v>Dead Stock</v>
      </c>
      <c r="K35" s="20"/>
    </row>
  </sheetData>
  <conditionalFormatting sqref="J21">
    <cfRule type="cellIs" dxfId="18" priority="3" operator="equal">
      <formula>"Dead Stocks"</formula>
    </cfRule>
    <cfRule type="cellIs" dxfId="17" priority="4" operator="equal">
      <formula>"Dead Stock"</formula>
    </cfRule>
  </conditionalFormatting>
  <conditionalFormatting sqref="J22:J35">
    <cfRule type="cellIs" dxfId="16" priority="2" operator="equal">
      <formula>"Dead Stock"</formula>
    </cfRule>
  </conditionalFormatting>
  <conditionalFormatting sqref="I22:I35">
    <cfRule type="dataBar" priority="1">
      <dataBar>
        <cfvo type="min"/>
        <cfvo type="max"/>
        <color rgb="FFFF555A"/>
      </dataBar>
      <extLst>
        <ext xmlns:x14="http://schemas.microsoft.com/office/spreadsheetml/2009/9/main" uri="{B025F937-C7B1-47D3-B67F-A62EFF666E3E}">
          <x14:id>{929F9B00-7E25-43C1-8BB6-1B4B78E4006A}</x14:id>
        </ext>
      </extLst>
    </cfRule>
  </conditionalFormatting>
  <pageMargins left="0.7" right="0.7" top="0.75" bottom="0.75" header="0.3" footer="0.3"/>
  <ignoredErrors>
    <ignoredError sqref="H23:H24 H25:H35 I23:I35" formulaRange="1"/>
  </ignoredErrors>
  <drawing r:id="rId1"/>
  <legacyDrawing r:id="rId2"/>
  <mc:AlternateContent xmlns:mc="http://schemas.openxmlformats.org/markup-compatibility/2006">
    <mc:Choice Requires="x14">
      <controls>
        <mc:AlternateContent xmlns:mc="http://schemas.openxmlformats.org/markup-compatibility/2006">
          <mc:Choice Requires="x14">
            <control shapeId="1025" r:id="rId3" name="Scroll Bar 1">
              <controlPr defaultSize="0" autoPict="0">
                <anchor moveWithCells="1">
                  <from>
                    <xdr:col>10</xdr:col>
                    <xdr:colOff>30480</xdr:colOff>
                    <xdr:row>20</xdr:row>
                    <xdr:rowOff>22860</xdr:rowOff>
                  </from>
                  <to>
                    <xdr:col>10</xdr:col>
                    <xdr:colOff>457200</xdr:colOff>
                    <xdr:row>34</xdr:row>
                    <xdr:rowOff>167640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929F9B00-7E25-43C1-8BB6-1B4B78E4006A}">
            <x14:dataBar minLength="0" maxLength="100" gradient="0">
              <x14:cfvo type="autoMin"/>
              <x14:cfvo type="autoMax"/>
              <x14:negativeFillColor rgb="FFFF0000"/>
              <x14:axisColor rgb="FF000000"/>
            </x14:dataBar>
          </x14:cfRule>
          <xm:sqref>I22:I35</xm:sqref>
        </x14:conditionalFormatting>
      </x14:conditionalFormattings>
    </ex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0B943-13F6-46C5-97DD-658EFFC1D93C}">
  <dimension ref="A9:W33"/>
  <sheetViews>
    <sheetView showGridLines="0" tabSelected="1" workbookViewId="0">
      <selection activeCell="O35" sqref="O35"/>
    </sheetView>
  </sheetViews>
  <sheetFormatPr defaultRowHeight="14.4" x14ac:dyDescent="0.3"/>
  <cols>
    <col min="1" max="1" width="8.33203125" bestFit="1" customWidth="1"/>
    <col min="2" max="2" width="7.5546875" bestFit="1" customWidth="1"/>
    <col min="3" max="3" width="8.33203125" bestFit="1" customWidth="1"/>
    <col min="4" max="4" width="13.88671875" bestFit="1" customWidth="1"/>
    <col min="5" max="5" width="14.77734375" bestFit="1" customWidth="1"/>
    <col min="6" max="6" width="12.88671875" bestFit="1" customWidth="1"/>
    <col min="7" max="7" width="6.109375" bestFit="1" customWidth="1"/>
    <col min="12" max="12" width="2.6640625" customWidth="1"/>
    <col min="13" max="13" width="7.6640625" bestFit="1" customWidth="1"/>
    <col min="14" max="14" width="7.5546875" customWidth="1"/>
    <col min="15" max="15" width="7.21875" bestFit="1" customWidth="1"/>
    <col min="16" max="16" width="13.88671875" bestFit="1" customWidth="1"/>
    <col min="17" max="17" width="12" bestFit="1" customWidth="1"/>
    <col min="18" max="18" width="6.77734375" customWidth="1"/>
    <col min="19" max="19" width="6.109375" bestFit="1" customWidth="1"/>
  </cols>
  <sheetData>
    <row r="9" spans="1:23" ht="15" thickBot="1" x14ac:dyDescent="0.35"/>
    <row r="10" spans="1:23" ht="21" customHeight="1" thickBot="1" x14ac:dyDescent="0.45">
      <c r="A10" s="125" t="s">
        <v>585</v>
      </c>
      <c r="B10" s="126"/>
      <c r="C10" s="126"/>
      <c r="D10" s="126"/>
      <c r="E10" s="126"/>
      <c r="F10" s="126"/>
      <c r="G10" s="126"/>
      <c r="H10" s="126"/>
      <c r="I10" s="126"/>
      <c r="J10" s="126"/>
      <c r="K10" s="126"/>
      <c r="L10" s="127"/>
      <c r="M10" s="128" t="s">
        <v>586</v>
      </c>
      <c r="N10" s="129"/>
      <c r="O10" s="129"/>
      <c r="P10" s="129"/>
      <c r="Q10" s="129"/>
      <c r="R10" s="129"/>
      <c r="S10" s="129"/>
      <c r="T10" s="129"/>
      <c r="U10" s="129"/>
      <c r="V10" s="129"/>
      <c r="W10" s="130"/>
    </row>
    <row r="11" spans="1:23" ht="7.2" customHeight="1" thickBot="1" x14ac:dyDescent="0.35">
      <c r="A11" s="71"/>
      <c r="B11" s="72"/>
      <c r="C11" s="135">
        <v>1</v>
      </c>
      <c r="D11" s="72"/>
      <c r="E11" s="72"/>
      <c r="F11" s="72"/>
      <c r="G11" s="72"/>
      <c r="H11" s="72"/>
      <c r="I11" s="72"/>
      <c r="J11" s="72"/>
      <c r="K11" s="72"/>
      <c r="L11" s="73"/>
      <c r="M11" s="77"/>
      <c r="N11" s="78"/>
      <c r="O11" s="134">
        <v>1</v>
      </c>
      <c r="P11" s="78"/>
      <c r="Q11" s="78"/>
      <c r="R11" s="78"/>
      <c r="S11" s="78"/>
      <c r="T11" s="78"/>
      <c r="U11" s="78"/>
      <c r="V11" s="78"/>
      <c r="W11" s="79"/>
    </row>
    <row r="12" spans="1:23" x14ac:dyDescent="0.3">
      <c r="A12" s="62" t="s">
        <v>0</v>
      </c>
      <c r="B12" s="59" t="s">
        <v>2</v>
      </c>
      <c r="C12" s="59" t="s">
        <v>3</v>
      </c>
      <c r="D12" s="59" t="s">
        <v>4</v>
      </c>
      <c r="E12" s="60" t="s">
        <v>584</v>
      </c>
      <c r="F12" s="59" t="s">
        <v>550</v>
      </c>
      <c r="G12" s="119"/>
      <c r="H12" s="69"/>
      <c r="I12" s="69"/>
      <c r="J12" s="69"/>
      <c r="K12" s="69"/>
      <c r="L12" s="70"/>
      <c r="M12" s="99" t="s">
        <v>0</v>
      </c>
      <c r="N12" s="100" t="s">
        <v>2</v>
      </c>
      <c r="O12" s="100" t="s">
        <v>3</v>
      </c>
      <c r="P12" s="100" t="s">
        <v>4</v>
      </c>
      <c r="Q12" s="101" t="s">
        <v>584</v>
      </c>
      <c r="R12" s="100" t="s">
        <v>550</v>
      </c>
      <c r="S12" s="122"/>
      <c r="T12" s="17"/>
      <c r="U12" s="17"/>
      <c r="V12" s="17"/>
      <c r="W12" s="76"/>
    </row>
    <row r="13" spans="1:23" x14ac:dyDescent="0.3">
      <c r="A13" s="63" t="str" cm="1">
        <f t="array" ref="A13:F13">INDEX('Automated raw'!AL217:BE241,$C$11,{1,3,4,5,20,19})</f>
        <v>ORD464</v>
      </c>
      <c r="B13" s="9" t="str">
        <v>t-shirt</v>
      </c>
      <c r="C13" s="9" t="str">
        <v>Kids</v>
      </c>
      <c r="D13" s="9" t="str">
        <v>Fashion Hub Ltd</v>
      </c>
      <c r="E13" s="10">
        <v>336027</v>
      </c>
      <c r="F13" s="61" t="str">
        <v>Oct</v>
      </c>
      <c r="G13" s="120"/>
      <c r="H13" s="69"/>
      <c r="I13" s="69"/>
      <c r="J13" s="69"/>
      <c r="K13" s="69"/>
      <c r="L13" s="70"/>
      <c r="M13" s="104" t="str" cm="1">
        <f t="array" ref="M13:R13">INDEX('Automated raw'!AL360:BF602,$O$11,{1,3,4,5,20,19})</f>
        <v>ORD10</v>
      </c>
      <c r="N13" s="104" t="str">
        <v>Dress</v>
      </c>
      <c r="O13" s="104" t="str">
        <v>Women</v>
      </c>
      <c r="P13" s="104" t="str">
        <v>Urban Wear Co</v>
      </c>
      <c r="Q13" s="105">
        <v>232200</v>
      </c>
      <c r="R13" s="106" t="str">
        <v>Oct</v>
      </c>
      <c r="S13" s="123"/>
      <c r="T13" s="17"/>
      <c r="U13" s="17"/>
      <c r="V13" s="17"/>
      <c r="W13" s="76"/>
    </row>
    <row r="14" spans="1:23" x14ac:dyDescent="0.3">
      <c r="A14" s="63" t="str" cm="1">
        <f t="array" ref="A14:F14">INDEX('Automated raw'!AL218:BE242,$C$11,{1,3,4,5,20,19})</f>
        <v>ORD350</v>
      </c>
      <c r="B14" s="9" t="str">
        <v>Sweater</v>
      </c>
      <c r="C14" s="9" t="str">
        <v>Kids</v>
      </c>
      <c r="D14" s="9" t="str">
        <v>Urban Wear Co</v>
      </c>
      <c r="E14" s="10">
        <v>329788</v>
      </c>
      <c r="F14" s="61" t="str">
        <v>Dec</v>
      </c>
      <c r="G14" s="120"/>
      <c r="H14" s="69"/>
      <c r="I14" s="69"/>
      <c r="J14" s="69"/>
      <c r="K14" s="69"/>
      <c r="L14" s="70"/>
      <c r="M14" s="104" t="str" cm="1">
        <f t="array" ref="M14:R14">INDEX('Automated raw'!AL361:BF603,$O$11,{1,3,4,5,20,19})</f>
        <v>ORD11</v>
      </c>
      <c r="N14" s="104" t="str">
        <v>Dress</v>
      </c>
      <c r="O14" s="104" t="str">
        <v>Men</v>
      </c>
      <c r="P14" s="104" t="str">
        <v>Fashion Hub Ltd</v>
      </c>
      <c r="Q14" s="105">
        <v>119280</v>
      </c>
      <c r="R14" s="106" t="str">
        <v>Jul</v>
      </c>
      <c r="S14" s="123"/>
      <c r="T14" s="17"/>
      <c r="U14" s="17"/>
      <c r="V14" s="17"/>
      <c r="W14" s="76"/>
    </row>
    <row r="15" spans="1:23" x14ac:dyDescent="0.3">
      <c r="A15" s="63" t="str" cm="1">
        <f t="array" ref="A15:F15">INDEX('Automated raw'!AL219:BE243,$C$11,{1,3,4,5,20,19})</f>
        <v>ORD290</v>
      </c>
      <c r="B15" s="9" t="str">
        <v>Shirt</v>
      </c>
      <c r="C15" s="9" t="str">
        <v>Women</v>
      </c>
      <c r="D15" s="9" t="str">
        <v>Fashion Hub Ltd</v>
      </c>
      <c r="E15" s="10">
        <v>321784</v>
      </c>
      <c r="F15" s="61" t="str">
        <v>Aug</v>
      </c>
      <c r="G15" s="120"/>
      <c r="H15" s="69"/>
      <c r="I15" s="69"/>
      <c r="J15" s="69"/>
      <c r="K15" s="69"/>
      <c r="L15" s="70"/>
      <c r="M15" s="104" t="str" cm="1">
        <f t="array" ref="M15:R15">INDEX('Automated raw'!AL362:BF604,$O$11,{1,3,4,5,20,19})</f>
        <v>ORD12</v>
      </c>
      <c r="N15" s="104" t="str">
        <v>jacket</v>
      </c>
      <c r="O15" s="104" t="str">
        <v>Men</v>
      </c>
      <c r="P15" s="104" t="str">
        <v>StyleStreet</v>
      </c>
      <c r="Q15" s="105">
        <v>84534</v>
      </c>
      <c r="R15" s="106" t="str">
        <v>Jan</v>
      </c>
      <c r="S15" s="123"/>
      <c r="T15" s="17"/>
      <c r="U15" s="17"/>
      <c r="V15" s="17"/>
      <c r="W15" s="76"/>
    </row>
    <row r="16" spans="1:23" x14ac:dyDescent="0.3">
      <c r="A16" s="63" t="str" cm="1">
        <f t="array" ref="A16:F16">INDEX('Automated raw'!AL220:BE244,$C$11,{1,3,4,5,20,19})</f>
        <v>ORD108</v>
      </c>
      <c r="B16" s="9" t="str">
        <v>Hoodie</v>
      </c>
      <c r="C16" s="9" t="str">
        <v>Women</v>
      </c>
      <c r="D16" s="9" t="str">
        <v>Urban Wear Co</v>
      </c>
      <c r="E16" s="10">
        <v>313601</v>
      </c>
      <c r="F16" s="61" t="str">
        <v>Dec</v>
      </c>
      <c r="G16" s="120"/>
      <c r="H16" s="69"/>
      <c r="I16" s="69"/>
      <c r="J16" s="69"/>
      <c r="K16" s="69"/>
      <c r="L16" s="70"/>
      <c r="M16" s="104" t="str" cm="1">
        <f t="array" ref="M16:R16">INDEX('Automated raw'!AL363:BF605,$O$11,{1,3,4,5,20,19})</f>
        <v>ORD15</v>
      </c>
      <c r="N16" s="104" t="str">
        <v>Hoodie</v>
      </c>
      <c r="O16" s="104" t="str">
        <v>Women</v>
      </c>
      <c r="P16" s="104" t="str">
        <v>Clothify</v>
      </c>
      <c r="Q16" s="105">
        <v>165870</v>
      </c>
      <c r="R16" s="106" t="str">
        <v>Jan</v>
      </c>
      <c r="S16" s="123"/>
      <c r="T16" s="17"/>
      <c r="U16" s="17"/>
      <c r="V16" s="17"/>
      <c r="W16" s="76"/>
    </row>
    <row r="17" spans="1:23" x14ac:dyDescent="0.3">
      <c r="A17" s="63" t="str" cm="1">
        <f t="array" ref="A17:F17">INDEX('Automated raw'!AL221:BE245,$C$11,{1,3,4,5,20,19})</f>
        <v>ORD85</v>
      </c>
      <c r="B17" s="9" t="str">
        <v>Sweater</v>
      </c>
      <c r="C17" s="9" t="str">
        <v>Men</v>
      </c>
      <c r="D17" s="9" t="str">
        <v>Urban Wear Co</v>
      </c>
      <c r="E17" s="10">
        <v>300240</v>
      </c>
      <c r="F17" s="61" t="str">
        <v>Nov</v>
      </c>
      <c r="G17" s="120"/>
      <c r="H17" s="69"/>
      <c r="I17" s="69"/>
      <c r="J17" s="69"/>
      <c r="K17" s="69"/>
      <c r="L17" s="70"/>
      <c r="M17" s="104" t="str" cm="1">
        <f t="array" ref="M17:R17">INDEX('Automated raw'!AL364:BF606,$O$11,{1,3,4,5,20,19})</f>
        <v>ORD17</v>
      </c>
      <c r="N17" s="104" t="str">
        <v>Jeans</v>
      </c>
      <c r="O17" s="104" t="str">
        <v>Women</v>
      </c>
      <c r="P17" s="104" t="str">
        <v>Clothify</v>
      </c>
      <c r="Q17" s="105">
        <v>255566</v>
      </c>
      <c r="R17" s="106" t="str">
        <v>Apr</v>
      </c>
      <c r="S17" s="123"/>
      <c r="T17" s="17"/>
      <c r="U17" s="17"/>
      <c r="V17" s="17"/>
      <c r="W17" s="76"/>
    </row>
    <row r="18" spans="1:23" x14ac:dyDescent="0.3">
      <c r="A18" s="63" t="str" cm="1">
        <f t="array" ref="A18:F18">INDEX('Automated raw'!AL222:BE246,$C$11,{1,3,4,5,20,19})</f>
        <v>ORD264</v>
      </c>
      <c r="B18" s="9" t="str">
        <v>Shirt</v>
      </c>
      <c r="C18" s="9" t="str">
        <v>Kids</v>
      </c>
      <c r="D18" s="9" t="str">
        <v>StyleStreet</v>
      </c>
      <c r="E18" s="10">
        <v>286653</v>
      </c>
      <c r="F18" s="61" t="str">
        <v>Jul</v>
      </c>
      <c r="G18" s="120"/>
      <c r="H18" s="69"/>
      <c r="I18" s="69"/>
      <c r="J18" s="69"/>
      <c r="K18" s="69"/>
      <c r="L18" s="70"/>
      <c r="M18" s="104" t="str" cm="1">
        <f t="array" ref="M18:R18">INDEX('Automated raw'!AL365:BF607,$O$11,{1,3,4,5,20,19})</f>
        <v>ORD18</v>
      </c>
      <c r="N18" s="104" t="str">
        <v>Hoodie</v>
      </c>
      <c r="O18" s="104" t="str">
        <v>Women</v>
      </c>
      <c r="P18" s="104" t="str">
        <v>Fashion Hub Ltd</v>
      </c>
      <c r="Q18" s="105">
        <v>35568</v>
      </c>
      <c r="R18" s="106" t="str">
        <v>Oct</v>
      </c>
      <c r="S18" s="123"/>
      <c r="T18" s="17"/>
      <c r="U18" s="17"/>
      <c r="V18" s="17"/>
      <c r="W18" s="76"/>
    </row>
    <row r="19" spans="1:23" x14ac:dyDescent="0.3">
      <c r="A19" s="63" t="str" cm="1">
        <f t="array" ref="A19:F19">INDEX('Automated raw'!AL223:BE247,$C$11,{1,3,4,5,20,19})</f>
        <v>ORD13</v>
      </c>
      <c r="B19" s="9" t="str">
        <v>Shirt</v>
      </c>
      <c r="C19" s="9" t="str">
        <v>Kids</v>
      </c>
      <c r="D19" s="9" t="str">
        <v>Clothify</v>
      </c>
      <c r="E19" s="10">
        <v>285600</v>
      </c>
      <c r="F19" s="61" t="str">
        <v>Jun</v>
      </c>
      <c r="G19" s="120"/>
      <c r="H19" s="69"/>
      <c r="I19" s="69"/>
      <c r="J19" s="69"/>
      <c r="K19" s="69"/>
      <c r="L19" s="70"/>
      <c r="M19" s="104" t="str" cm="1">
        <f t="array" ref="M19:R19">INDEX('Automated raw'!AL366:BF608,$O$11,{1,3,4,5,20,19})</f>
        <v>ORD23</v>
      </c>
      <c r="N19" s="104" t="str">
        <v>hoodie</v>
      </c>
      <c r="O19" s="104" t="str">
        <v>Men</v>
      </c>
      <c r="P19" s="104" t="str">
        <v>Fashion Hub Ltd</v>
      </c>
      <c r="Q19" s="105">
        <v>90558</v>
      </c>
      <c r="R19" s="106" t="str">
        <v>Nov</v>
      </c>
      <c r="S19" s="123"/>
      <c r="T19" s="17"/>
      <c r="U19" s="17"/>
      <c r="V19" s="17"/>
      <c r="W19" s="76"/>
    </row>
    <row r="20" spans="1:23" ht="15" thickBot="1" x14ac:dyDescent="0.35">
      <c r="A20" s="63" t="str" cm="1">
        <f t="array" ref="A20:F20">INDEX('Automated raw'!AL224:BE248,$C$11,{1,3,4,5,20,19})</f>
        <v>ORD455</v>
      </c>
      <c r="B20" s="9" t="str">
        <v>T-Shirt</v>
      </c>
      <c r="C20" s="9" t="str">
        <v>Kids</v>
      </c>
      <c r="D20" s="9" t="str">
        <v>Urban Wear Co</v>
      </c>
      <c r="E20" s="10">
        <v>281502</v>
      </c>
      <c r="F20" s="61" t="str">
        <v>Jun</v>
      </c>
      <c r="G20" s="121"/>
      <c r="H20" s="69"/>
      <c r="I20" s="69"/>
      <c r="J20" s="69"/>
      <c r="K20" s="69"/>
      <c r="L20" s="70"/>
      <c r="M20" s="104" t="str" cm="1">
        <f t="array" ref="M20:R20">INDEX('Automated raw'!AL367:BF609,$O$11,{1,3,4,5,20,19})</f>
        <v>ORD24</v>
      </c>
      <c r="N20" s="104" t="str">
        <v>Hoodie</v>
      </c>
      <c r="O20" s="104" t="str">
        <v>Men</v>
      </c>
      <c r="P20" s="104" t="str">
        <v>StyleStreet</v>
      </c>
      <c r="Q20" s="105">
        <v>98670</v>
      </c>
      <c r="R20" s="106" t="str">
        <v>Nov</v>
      </c>
      <c r="S20" s="124"/>
      <c r="T20" s="17"/>
      <c r="U20" s="17"/>
      <c r="V20" s="17"/>
      <c r="W20" s="76"/>
    </row>
    <row r="21" spans="1:23" ht="15" thickBot="1" x14ac:dyDescent="0.35">
      <c r="A21" s="68"/>
      <c r="B21" s="69"/>
      <c r="C21" s="69"/>
      <c r="D21" s="69"/>
      <c r="E21" s="69"/>
      <c r="F21" s="69"/>
      <c r="G21" s="69"/>
      <c r="H21" s="69"/>
      <c r="I21" s="69"/>
      <c r="J21" s="69"/>
      <c r="K21" s="69"/>
      <c r="L21" s="70"/>
      <c r="M21" s="75"/>
      <c r="N21" s="17"/>
      <c r="O21" s="17"/>
      <c r="P21" s="17"/>
      <c r="Q21" s="17"/>
      <c r="R21" s="17"/>
      <c r="S21" s="17"/>
      <c r="T21" s="17"/>
      <c r="U21" s="17"/>
      <c r="V21" s="17"/>
      <c r="W21" s="76"/>
    </row>
    <row r="22" spans="1:23" ht="28.8" x14ac:dyDescent="0.55000000000000004">
      <c r="A22" s="117" t="s">
        <v>593</v>
      </c>
      <c r="B22" s="118"/>
      <c r="C22" s="118"/>
      <c r="D22" s="118"/>
      <c r="E22" s="118"/>
      <c r="F22" s="118"/>
      <c r="G22" s="118"/>
      <c r="H22" s="69"/>
      <c r="I22" s="69"/>
      <c r="J22" s="69"/>
      <c r="K22" s="69"/>
      <c r="L22" s="69"/>
      <c r="M22" s="131" t="s">
        <v>594</v>
      </c>
      <c r="N22" s="132"/>
      <c r="O22" s="132"/>
      <c r="P22" s="132"/>
      <c r="Q22" s="132"/>
      <c r="R22" s="132"/>
      <c r="S22" s="133"/>
      <c r="T22" s="17"/>
      <c r="U22" s="17"/>
      <c r="V22" s="17"/>
      <c r="W22" s="76"/>
    </row>
    <row r="23" spans="1:23" x14ac:dyDescent="0.3">
      <c r="A23" s="94" t="s">
        <v>0</v>
      </c>
      <c r="B23" s="94" t="s">
        <v>2</v>
      </c>
      <c r="C23" s="94" t="s">
        <v>3</v>
      </c>
      <c r="D23" s="94" t="s">
        <v>4</v>
      </c>
      <c r="E23" s="94" t="s">
        <v>592</v>
      </c>
      <c r="F23" s="95" t="s">
        <v>537</v>
      </c>
      <c r="G23" s="96" t="s">
        <v>550</v>
      </c>
      <c r="H23" s="69"/>
      <c r="I23" s="69"/>
      <c r="J23" s="69"/>
      <c r="K23" s="69"/>
      <c r="L23" s="69"/>
      <c r="M23" s="102" t="s">
        <v>0</v>
      </c>
      <c r="N23" s="97" t="s">
        <v>2</v>
      </c>
      <c r="O23" s="97" t="s">
        <v>3</v>
      </c>
      <c r="P23" s="97" t="s">
        <v>4</v>
      </c>
      <c r="Q23" s="97" t="s">
        <v>592</v>
      </c>
      <c r="R23" s="98" t="s">
        <v>537</v>
      </c>
      <c r="S23" s="103" t="s">
        <v>550</v>
      </c>
      <c r="T23" s="17"/>
      <c r="U23" s="17"/>
      <c r="V23" s="17"/>
      <c r="W23" s="76"/>
    </row>
    <row r="24" spans="1:23" x14ac:dyDescent="0.3">
      <c r="A24" s="115" t="s">
        <v>11</v>
      </c>
      <c r="B24" s="115" t="s">
        <v>12</v>
      </c>
      <c r="C24" s="115" t="s">
        <v>13</v>
      </c>
      <c r="D24" s="115" t="s">
        <v>14</v>
      </c>
      <c r="E24" s="115">
        <v>13</v>
      </c>
      <c r="F24" s="116">
        <v>0.94262295081967218</v>
      </c>
      <c r="G24" s="115" t="s">
        <v>563</v>
      </c>
      <c r="H24" s="69"/>
      <c r="I24" s="69"/>
      <c r="J24" s="69"/>
      <c r="K24" s="69"/>
      <c r="L24" s="69"/>
      <c r="M24" s="107" t="s">
        <v>412</v>
      </c>
      <c r="N24" s="108" t="s">
        <v>19</v>
      </c>
      <c r="O24" s="108" t="s">
        <v>13</v>
      </c>
      <c r="P24" s="108" t="s">
        <v>38</v>
      </c>
      <c r="Q24" s="108">
        <v>13</v>
      </c>
      <c r="R24" s="109">
        <v>0.56441717791411039</v>
      </c>
      <c r="S24" s="110" t="s">
        <v>564</v>
      </c>
      <c r="T24" s="17"/>
      <c r="U24" s="17"/>
      <c r="V24" s="17"/>
      <c r="W24" s="76"/>
    </row>
    <row r="25" spans="1:23" x14ac:dyDescent="0.3">
      <c r="A25" s="115" t="s">
        <v>60</v>
      </c>
      <c r="B25" s="115" t="s">
        <v>19</v>
      </c>
      <c r="C25" s="115" t="s">
        <v>13</v>
      </c>
      <c r="D25" s="115" t="s">
        <v>21</v>
      </c>
      <c r="E25" s="115">
        <v>9</v>
      </c>
      <c r="F25" s="116">
        <v>0.94186046511627908</v>
      </c>
      <c r="G25" s="115" t="s">
        <v>559</v>
      </c>
      <c r="H25" s="69"/>
      <c r="I25" s="69"/>
      <c r="J25" s="69"/>
      <c r="K25" s="69"/>
      <c r="L25" s="69"/>
      <c r="M25" s="107" t="s">
        <v>339</v>
      </c>
      <c r="N25" s="108" t="s">
        <v>45</v>
      </c>
      <c r="O25" s="108" t="s">
        <v>20</v>
      </c>
      <c r="P25" s="108" t="s">
        <v>21</v>
      </c>
      <c r="Q25" s="108">
        <v>13</v>
      </c>
      <c r="R25" s="109">
        <v>0.51552795031055898</v>
      </c>
      <c r="S25" s="110" t="s">
        <v>564</v>
      </c>
      <c r="T25" s="17"/>
      <c r="U25" s="17"/>
      <c r="V25" s="17"/>
      <c r="W25" s="76"/>
    </row>
    <row r="26" spans="1:23" x14ac:dyDescent="0.3">
      <c r="A26" s="115" t="s">
        <v>82</v>
      </c>
      <c r="B26" s="115" t="s">
        <v>19</v>
      </c>
      <c r="C26" s="115" t="s">
        <v>20</v>
      </c>
      <c r="D26" s="115" t="s">
        <v>33</v>
      </c>
      <c r="E26" s="115">
        <v>13</v>
      </c>
      <c r="F26" s="116">
        <v>0.90654205607476634</v>
      </c>
      <c r="G26" s="115" t="s">
        <v>562</v>
      </c>
      <c r="H26" s="69"/>
      <c r="I26" s="69"/>
      <c r="J26" s="69"/>
      <c r="K26" s="69"/>
      <c r="L26" s="69"/>
      <c r="M26" s="107" t="s">
        <v>215</v>
      </c>
      <c r="N26" s="108" t="s">
        <v>30</v>
      </c>
      <c r="O26" s="108" t="s">
        <v>17</v>
      </c>
      <c r="P26" s="108" t="s">
        <v>14</v>
      </c>
      <c r="Q26" s="108">
        <v>12</v>
      </c>
      <c r="R26" s="109">
        <v>0.41116751269035534</v>
      </c>
      <c r="S26" s="110" t="s">
        <v>555</v>
      </c>
      <c r="T26" s="17"/>
      <c r="U26" s="17"/>
      <c r="V26" s="17"/>
      <c r="W26" s="76"/>
    </row>
    <row r="27" spans="1:23" x14ac:dyDescent="0.3">
      <c r="A27" s="115" t="s">
        <v>88</v>
      </c>
      <c r="B27" s="115" t="s">
        <v>45</v>
      </c>
      <c r="C27" s="115" t="s">
        <v>13</v>
      </c>
      <c r="D27" s="115" t="s">
        <v>33</v>
      </c>
      <c r="E27" s="115">
        <v>4</v>
      </c>
      <c r="F27" s="116">
        <v>0.94736842105263153</v>
      </c>
      <c r="G27" s="115" t="s">
        <v>561</v>
      </c>
      <c r="H27" s="69"/>
      <c r="I27" s="69"/>
      <c r="J27" s="69"/>
      <c r="K27" s="69"/>
      <c r="L27" s="69"/>
      <c r="M27" s="107" t="s">
        <v>370</v>
      </c>
      <c r="N27" s="108" t="s">
        <v>19</v>
      </c>
      <c r="O27" s="108" t="s">
        <v>20</v>
      </c>
      <c r="P27" s="108" t="s">
        <v>21</v>
      </c>
      <c r="Q27" s="108">
        <v>8</v>
      </c>
      <c r="R27" s="109">
        <v>0.45161290322580644</v>
      </c>
      <c r="S27" s="110" t="s">
        <v>561</v>
      </c>
      <c r="T27" s="17"/>
      <c r="U27" s="17"/>
      <c r="V27" s="17"/>
      <c r="W27" s="76"/>
    </row>
    <row r="28" spans="1:23" x14ac:dyDescent="0.3">
      <c r="A28" s="115" t="s">
        <v>112</v>
      </c>
      <c r="B28" s="115" t="s">
        <v>26</v>
      </c>
      <c r="C28" s="115" t="s">
        <v>17</v>
      </c>
      <c r="D28" s="115" t="s">
        <v>21</v>
      </c>
      <c r="E28" s="115">
        <v>6</v>
      </c>
      <c r="F28" s="116">
        <v>0.91428571428571426</v>
      </c>
      <c r="G28" s="115" t="s">
        <v>555</v>
      </c>
      <c r="H28" s="69"/>
      <c r="I28" s="69"/>
      <c r="J28" s="69"/>
      <c r="K28" s="69"/>
      <c r="L28" s="69"/>
      <c r="M28" s="107" t="s">
        <v>396</v>
      </c>
      <c r="N28" s="108" t="s">
        <v>12</v>
      </c>
      <c r="O28" s="108" t="s">
        <v>13</v>
      </c>
      <c r="P28" s="108" t="s">
        <v>21</v>
      </c>
      <c r="Q28" s="108">
        <v>5</v>
      </c>
      <c r="R28" s="109">
        <v>0.77464788732394363</v>
      </c>
      <c r="S28" s="110" t="s">
        <v>561</v>
      </c>
      <c r="T28" s="17"/>
      <c r="U28" s="17"/>
      <c r="V28" s="17"/>
      <c r="W28" s="76"/>
    </row>
    <row r="29" spans="1:23" x14ac:dyDescent="0.3">
      <c r="A29" s="115" t="s">
        <v>262</v>
      </c>
      <c r="B29" s="115" t="s">
        <v>37</v>
      </c>
      <c r="C29" s="115" t="s">
        <v>20</v>
      </c>
      <c r="D29" s="115" t="s">
        <v>14</v>
      </c>
      <c r="E29" s="115">
        <v>11</v>
      </c>
      <c r="F29" s="116">
        <v>0.95867768595041325</v>
      </c>
      <c r="G29" s="115" t="s">
        <v>557</v>
      </c>
      <c r="H29" s="69"/>
      <c r="I29" s="69"/>
      <c r="J29" s="69"/>
      <c r="K29" s="69"/>
      <c r="L29" s="69"/>
      <c r="M29" s="107" t="s">
        <v>193</v>
      </c>
      <c r="N29" s="108" t="s">
        <v>157</v>
      </c>
      <c r="O29" s="108" t="s">
        <v>20</v>
      </c>
      <c r="P29" s="108" t="s">
        <v>33</v>
      </c>
      <c r="Q29" s="108">
        <v>13</v>
      </c>
      <c r="R29" s="109">
        <v>0.32432432432432434</v>
      </c>
      <c r="S29" s="110" t="s">
        <v>560</v>
      </c>
      <c r="T29" s="17"/>
      <c r="U29" s="17"/>
      <c r="V29" s="17"/>
      <c r="W29" s="76"/>
    </row>
    <row r="30" spans="1:23" x14ac:dyDescent="0.3">
      <c r="A30" s="115" t="s">
        <v>275</v>
      </c>
      <c r="B30" s="115" t="s">
        <v>53</v>
      </c>
      <c r="C30" s="115" t="s">
        <v>17</v>
      </c>
      <c r="D30" s="115" t="s">
        <v>14</v>
      </c>
      <c r="E30" s="115">
        <v>11</v>
      </c>
      <c r="F30" s="116">
        <v>0.94</v>
      </c>
      <c r="G30" s="115" t="s">
        <v>561</v>
      </c>
      <c r="H30" s="69"/>
      <c r="I30" s="69"/>
      <c r="J30" s="69"/>
      <c r="K30" s="69"/>
      <c r="L30" s="69"/>
      <c r="M30" s="107" t="s">
        <v>147</v>
      </c>
      <c r="N30" s="108" t="s">
        <v>16</v>
      </c>
      <c r="O30" s="108" t="s">
        <v>20</v>
      </c>
      <c r="P30" s="108" t="s">
        <v>38</v>
      </c>
      <c r="Q30" s="108">
        <v>2</v>
      </c>
      <c r="R30" s="109">
        <v>0.29646017699115046</v>
      </c>
      <c r="S30" s="110" t="s">
        <v>559</v>
      </c>
      <c r="T30" s="17"/>
      <c r="U30" s="17"/>
      <c r="V30" s="17"/>
      <c r="W30" s="76"/>
    </row>
    <row r="31" spans="1:23" x14ac:dyDescent="0.3">
      <c r="A31" s="115" t="s">
        <v>372</v>
      </c>
      <c r="B31" s="115" t="s">
        <v>45</v>
      </c>
      <c r="C31" s="115" t="s">
        <v>13</v>
      </c>
      <c r="D31" s="115" t="s">
        <v>21</v>
      </c>
      <c r="E31" s="115">
        <v>4</v>
      </c>
      <c r="F31" s="116">
        <v>0.9509803921568627</v>
      </c>
      <c r="G31" s="115" t="s">
        <v>554</v>
      </c>
      <c r="H31" s="69"/>
      <c r="I31" s="69"/>
      <c r="J31" s="69"/>
      <c r="K31" s="69"/>
      <c r="L31" s="69"/>
      <c r="M31" s="107" t="s">
        <v>393</v>
      </c>
      <c r="N31" s="108" t="s">
        <v>16</v>
      </c>
      <c r="O31" s="108" t="s">
        <v>13</v>
      </c>
      <c r="P31" s="108" t="s">
        <v>14</v>
      </c>
      <c r="Q31" s="108">
        <v>12</v>
      </c>
      <c r="R31" s="109">
        <v>0.68553459119496851</v>
      </c>
      <c r="S31" s="110" t="s">
        <v>561</v>
      </c>
      <c r="T31" s="17"/>
      <c r="U31" s="17"/>
      <c r="V31" s="17"/>
      <c r="W31" s="76"/>
    </row>
    <row r="32" spans="1:23" x14ac:dyDescent="0.3">
      <c r="A32" s="115" t="s">
        <v>489</v>
      </c>
      <c r="B32" s="115" t="s">
        <v>26</v>
      </c>
      <c r="C32" s="115" t="s">
        <v>13</v>
      </c>
      <c r="D32" s="115" t="s">
        <v>21</v>
      </c>
      <c r="E32" s="115">
        <v>8</v>
      </c>
      <c r="F32" s="116">
        <v>0.93600000000000005</v>
      </c>
      <c r="G32" s="115" t="s">
        <v>559</v>
      </c>
      <c r="H32" s="69"/>
      <c r="I32" s="69"/>
      <c r="J32" s="69"/>
      <c r="K32" s="69"/>
      <c r="L32" s="69"/>
      <c r="M32" s="107" t="s">
        <v>103</v>
      </c>
      <c r="N32" s="108" t="s">
        <v>30</v>
      </c>
      <c r="O32" s="108" t="s">
        <v>13</v>
      </c>
      <c r="P32" s="108" t="s">
        <v>38</v>
      </c>
      <c r="Q32" s="108">
        <v>5</v>
      </c>
      <c r="R32" s="109">
        <v>0.36224489795918369</v>
      </c>
      <c r="S32" s="110" t="s">
        <v>555</v>
      </c>
      <c r="T32" s="17"/>
      <c r="U32" s="17"/>
      <c r="V32" s="17"/>
      <c r="W32" s="76"/>
    </row>
    <row r="33" spans="1:23" ht="15" thickBot="1" x14ac:dyDescent="0.35">
      <c r="A33" s="115" t="s">
        <v>509</v>
      </c>
      <c r="B33" s="115" t="s">
        <v>53</v>
      </c>
      <c r="C33" s="115" t="s">
        <v>20</v>
      </c>
      <c r="D33" s="115" t="s">
        <v>38</v>
      </c>
      <c r="E33" s="115">
        <v>13</v>
      </c>
      <c r="F33" s="116">
        <v>0.92391304347826086</v>
      </c>
      <c r="G33" s="115" t="s">
        <v>556</v>
      </c>
      <c r="H33" s="74"/>
      <c r="I33" s="74"/>
      <c r="J33" s="74"/>
      <c r="K33" s="74"/>
      <c r="L33" s="74"/>
      <c r="M33" s="111" t="s">
        <v>217</v>
      </c>
      <c r="N33" s="112" t="s">
        <v>12</v>
      </c>
      <c r="O33" s="112" t="s">
        <v>13</v>
      </c>
      <c r="P33" s="112" t="s">
        <v>38</v>
      </c>
      <c r="Q33" s="112">
        <v>13</v>
      </c>
      <c r="R33" s="113">
        <v>0.48795180722891568</v>
      </c>
      <c r="S33" s="114" t="s">
        <v>558</v>
      </c>
      <c r="T33" s="80"/>
      <c r="U33" s="80"/>
      <c r="V33" s="80"/>
      <c r="W33" s="81"/>
    </row>
  </sheetData>
  <mergeCells count="6">
    <mergeCell ref="A22:G22"/>
    <mergeCell ref="G12:G20"/>
    <mergeCell ref="S12:S20"/>
    <mergeCell ref="A10:L10"/>
    <mergeCell ref="M10:W10"/>
    <mergeCell ref="M22:S22"/>
  </mergeCells>
  <conditionalFormatting sqref="G24:G33">
    <cfRule type="cellIs" dxfId="82" priority="3" operator="equal">
      <formula>"Dead Stocks"</formula>
    </cfRule>
    <cfRule type="cellIs" dxfId="81" priority="4" operator="equal">
      <formula>"Dead Stock"</formula>
    </cfRule>
  </conditionalFormatting>
  <conditionalFormatting sqref="S24:S33">
    <cfRule type="cellIs" dxfId="80" priority="1" operator="equal">
      <formula>"Dead Stocks"</formula>
    </cfRule>
    <cfRule type="cellIs" dxfId="79" priority="2" operator="equal">
      <formula>"Dead Stock"</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Scroll Bar 1">
              <controlPr defaultSize="0" autoPict="0">
                <anchor moveWithCells="1">
                  <from>
                    <xdr:col>6</xdr:col>
                    <xdr:colOff>22860</xdr:colOff>
                    <xdr:row>11</xdr:row>
                    <xdr:rowOff>22860</xdr:rowOff>
                  </from>
                  <to>
                    <xdr:col>6</xdr:col>
                    <xdr:colOff>396240</xdr:colOff>
                    <xdr:row>19</xdr:row>
                    <xdr:rowOff>182880</xdr:rowOff>
                  </to>
                </anchor>
              </controlPr>
            </control>
          </mc:Choice>
        </mc:AlternateContent>
        <mc:AlternateContent xmlns:mc="http://schemas.openxmlformats.org/markup-compatibility/2006">
          <mc:Choice Requires="x14">
            <control shapeId="3074" r:id="rId4" name="Scroll Bar 2">
              <controlPr defaultSize="0" autoPict="0">
                <anchor moveWithCells="1">
                  <from>
                    <xdr:col>18</xdr:col>
                    <xdr:colOff>22860</xdr:colOff>
                    <xdr:row>11</xdr:row>
                    <xdr:rowOff>38100</xdr:rowOff>
                  </from>
                  <to>
                    <xdr:col>18</xdr:col>
                    <xdr:colOff>396240</xdr:colOff>
                    <xdr:row>19</xdr:row>
                    <xdr:rowOff>167640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2F047CD-EF9A-4B2E-8444-02D64DF369E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Automated raw</vt:lpstr>
      <vt:lpstr>Dead Stock</vt:lpstr>
      <vt:lpstr>Slow Vs Fast Selling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Akash Sheet</dc:creator>
  <cp:lastModifiedBy>Akash Sheet</cp:lastModifiedBy>
  <dcterms:created xsi:type="dcterms:W3CDTF">2026-04-29T15:03:53Z</dcterms:created>
  <dcterms:modified xsi:type="dcterms:W3CDTF">2026-06-16T11:56:56Z</dcterms:modified>
</cp:coreProperties>
</file>